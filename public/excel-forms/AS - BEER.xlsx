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Ashburn/02. INVENTORY ORDER FORMS/01. BEVERAGE INVENTORIES/"/>
    </mc:Choice>
  </mc:AlternateContent>
  <xr:revisionPtr revIDLastSave="2484" documentId="13_ncr:1_{4ADDE8F7-6758-46E9-B7E0-D55B13BC5B7E}" xr6:coauthVersionLast="47" xr6:coauthVersionMax="47" xr10:uidLastSave="{BCD023AA-CCCB-4AF6-A2E4-586E41A70839}"/>
  <bookViews>
    <workbookView xWindow="-120" yWindow="-120" windowWidth="29040" windowHeight="15720" xr2:uid="{E13CAF2E-8C5F-4BA2-84B0-934DA5037566}"/>
  </bookViews>
  <sheets>
    <sheet name="AS BEER" sheetId="2" r:id="rId1"/>
    <sheet name="PURCHASING ONLY TAB" sheetId="3" r:id="rId2"/>
    <sheet name="9.4 pmix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E12" i="2" l="1"/>
  <c r="AQA12" i="2"/>
  <c r="AQC12" i="2" s="1"/>
  <c r="AQE11" i="2"/>
  <c r="AQA11" i="2"/>
  <c r="AQC11" i="2" s="1"/>
  <c r="AQE10" i="2"/>
  <c r="AQA10" i="2"/>
  <c r="AQC10" i="2" s="1"/>
  <c r="AQE7" i="2"/>
  <c r="AQA7" i="2"/>
  <c r="AQC7" i="2" s="1"/>
  <c r="AQE6" i="2"/>
  <c r="AQC6" i="2"/>
  <c r="AQA6" i="2"/>
  <c r="AQE5" i="2"/>
  <c r="AQA5" i="2"/>
  <c r="AQC5" i="2" s="1"/>
  <c r="AQE4" i="2"/>
  <c r="AQA4" i="2"/>
  <c r="AQC4" i="2" s="1"/>
  <c r="AQE3" i="2"/>
  <c r="AQA3" i="2"/>
  <c r="AQC3" i="2" s="1"/>
  <c r="APU12" i="2" l="1"/>
  <c r="APQ12" i="2"/>
  <c r="APS12" i="2" s="1"/>
  <c r="APU11" i="2"/>
  <c r="APQ11" i="2"/>
  <c r="APS11" i="2" s="1"/>
  <c r="APU10" i="2"/>
  <c r="APQ10" i="2"/>
  <c r="APS10" i="2" s="1"/>
  <c r="APU7" i="2"/>
  <c r="APQ7" i="2"/>
  <c r="APS7" i="2" s="1"/>
  <c r="APU6" i="2"/>
  <c r="APQ6" i="2"/>
  <c r="APS6" i="2" s="1"/>
  <c r="APU5" i="2"/>
  <c r="APQ5" i="2"/>
  <c r="APS5" i="2" s="1"/>
  <c r="APU4" i="2"/>
  <c r="APQ4" i="2"/>
  <c r="APS4" i="2" s="1"/>
  <c r="APU3" i="2"/>
  <c r="APQ3" i="2"/>
  <c r="APS3" i="2" s="1"/>
  <c r="APK12" i="2"/>
  <c r="APG12" i="2"/>
  <c r="API12" i="2" s="1"/>
  <c r="APK11" i="2"/>
  <c r="APG11" i="2"/>
  <c r="API11" i="2" s="1"/>
  <c r="APK10" i="2"/>
  <c r="APG10" i="2"/>
  <c r="API10" i="2" s="1"/>
  <c r="APK7" i="2"/>
  <c r="APG7" i="2"/>
  <c r="API7" i="2" s="1"/>
  <c r="APK6" i="2"/>
  <c r="APG6" i="2"/>
  <c r="API6" i="2" s="1"/>
  <c r="APK5" i="2"/>
  <c r="APG5" i="2"/>
  <c r="API5" i="2" s="1"/>
  <c r="APK4" i="2"/>
  <c r="APG4" i="2"/>
  <c r="API4" i="2" s="1"/>
  <c r="APK3" i="2"/>
  <c r="APG3" i="2"/>
  <c r="API3" i="2" s="1"/>
  <c r="AOW12" i="4"/>
  <c r="AOY12" i="4" s="1"/>
  <c r="APA12" i="4" s="1"/>
  <c r="AOM12" i="4"/>
  <c r="AOC12" i="4"/>
  <c r="AOO12" i="4" s="1"/>
  <c r="AOQ12" i="4" s="1"/>
  <c r="ANS12" i="4"/>
  <c r="ANU12" i="4" s="1"/>
  <c r="ANW12" i="4" s="1"/>
  <c r="ANK12" i="4"/>
  <c r="ANM12" i="4" s="1"/>
  <c r="ANI12" i="4"/>
  <c r="AMY12" i="4"/>
  <c r="ANA12" i="4" s="1"/>
  <c r="ANC12" i="4" s="1"/>
  <c r="AMO12" i="4"/>
  <c r="AME12" i="4"/>
  <c r="AMG12" i="4" s="1"/>
  <c r="AMI12" i="4" s="1"/>
  <c r="ALU12" i="4"/>
  <c r="ALW12" i="4" s="1"/>
  <c r="ALY12" i="4" s="1"/>
  <c r="ALK12" i="4"/>
  <c r="ALA12" i="4"/>
  <c r="AKS12" i="4"/>
  <c r="AKU12" i="4" s="1"/>
  <c r="AKQ12" i="4"/>
  <c r="AKG12" i="4"/>
  <c r="AJW12" i="4"/>
  <c r="AJM12" i="4"/>
  <c r="AJO12" i="4" s="1"/>
  <c r="AJQ12" i="4" s="1"/>
  <c r="AJC12" i="4"/>
  <c r="AIU12" i="4"/>
  <c r="AIW12" i="4" s="1"/>
  <c r="AIS12" i="4"/>
  <c r="AJE12" i="4" s="1"/>
  <c r="AJG12" i="4" s="1"/>
  <c r="AII12" i="4"/>
  <c r="AIK12" i="4" s="1"/>
  <c r="AIM12" i="4" s="1"/>
  <c r="AIC12" i="4"/>
  <c r="AIA12" i="4"/>
  <c r="AHY12" i="4"/>
  <c r="AHO12" i="4"/>
  <c r="AHE12" i="4"/>
  <c r="AGU12" i="4"/>
  <c r="AGW12" i="4" s="1"/>
  <c r="AGY12" i="4" s="1"/>
  <c r="AGO12" i="4"/>
  <c r="AGM12" i="4"/>
  <c r="AGK12" i="4"/>
  <c r="AGA12" i="4"/>
  <c r="AFQ12" i="4"/>
  <c r="AFS12" i="4" s="1"/>
  <c r="AFU12" i="4" s="1"/>
  <c r="AFG12" i="4"/>
  <c r="AEY12" i="4"/>
  <c r="AFA12" i="4" s="1"/>
  <c r="AEW12" i="4"/>
  <c r="AFI12" i="4" s="1"/>
  <c r="AFK12" i="4" s="1"/>
  <c r="AEM12" i="4"/>
  <c r="AEO12" i="4" s="1"/>
  <c r="AEQ12" i="4" s="1"/>
  <c r="AEC12" i="4"/>
  <c r="AEE12" i="4" s="1"/>
  <c r="AEG12" i="4" s="1"/>
  <c r="ADU12" i="4"/>
  <c r="ADW12" i="4" s="1"/>
  <c r="ADS12" i="4"/>
  <c r="ADK12" i="4"/>
  <c r="ADM12" i="4" s="1"/>
  <c r="ADI12" i="4"/>
  <c r="ADC12" i="4"/>
  <c r="ACY12" i="4"/>
  <c r="ADA12" i="4" s="1"/>
  <c r="ACS12" i="4"/>
  <c r="ACQ12" i="4"/>
  <c r="ACO12" i="4"/>
  <c r="ACE12" i="4"/>
  <c r="ACG12" i="4" s="1"/>
  <c r="ACI12" i="4" s="1"/>
  <c r="ABU12" i="4"/>
  <c r="ABK12" i="4"/>
  <c r="ABM12" i="4" s="1"/>
  <c r="ABO12" i="4" s="1"/>
  <c r="ABE12" i="4"/>
  <c r="ABC12" i="4"/>
  <c r="ABA12" i="4"/>
  <c r="AAQ12" i="4"/>
  <c r="AAG12" i="4"/>
  <c r="AAI12" i="4" s="1"/>
  <c r="AAK12" i="4" s="1"/>
  <c r="ZW12" i="4"/>
  <c r="ZM12" i="4"/>
  <c r="ZO12" i="4" s="1"/>
  <c r="ZQ12" i="4" s="1"/>
  <c r="ZC12" i="4"/>
  <c r="ZE12" i="4" s="1"/>
  <c r="ZG12" i="4" s="1"/>
  <c r="YS12" i="4"/>
  <c r="YU12" i="4" s="1"/>
  <c r="YW12" i="4" s="1"/>
  <c r="YI12" i="4"/>
  <c r="XY12" i="4"/>
  <c r="XO12" i="4"/>
  <c r="XQ12" i="4" s="1"/>
  <c r="XS12" i="4" s="1"/>
  <c r="XI12" i="4"/>
  <c r="XG12" i="4"/>
  <c r="XE12" i="4"/>
  <c r="WU12" i="4"/>
  <c r="WW12" i="4" s="1"/>
  <c r="WY12" i="4" s="1"/>
  <c r="WK12" i="4"/>
  <c r="WM12" i="4" s="1"/>
  <c r="WO12" i="4" s="1"/>
  <c r="WA12" i="4"/>
  <c r="VS12" i="4"/>
  <c r="VU12" i="4" s="1"/>
  <c r="VQ12" i="4"/>
  <c r="WC12" i="4" s="1"/>
  <c r="WE12" i="4" s="1"/>
  <c r="VG12" i="4"/>
  <c r="VA12" i="4"/>
  <c r="UW12" i="4"/>
  <c r="UY12" i="4" s="1"/>
  <c r="UM12" i="4"/>
  <c r="UC12" i="4"/>
  <c r="UE12" i="4" s="1"/>
  <c r="UG12" i="4" s="1"/>
  <c r="TS12" i="4"/>
  <c r="TU12" i="4" s="1"/>
  <c r="TW12" i="4" s="1"/>
  <c r="TI12" i="4"/>
  <c r="TK12" i="4" s="1"/>
  <c r="TM12" i="4" s="1"/>
  <c r="SY12" i="4"/>
  <c r="SO12" i="4"/>
  <c r="TA12" i="4" s="1"/>
  <c r="TC12" i="4" s="1"/>
  <c r="SE12" i="4"/>
  <c r="SQ12" i="4" s="1"/>
  <c r="SS12" i="4" s="1"/>
  <c r="RY12" i="4"/>
  <c r="RW12" i="4"/>
  <c r="RU12" i="4"/>
  <c r="RK12" i="4"/>
  <c r="RA12" i="4"/>
  <c r="RC12" i="4" s="1"/>
  <c r="RE12" i="4" s="1"/>
  <c r="QQ12" i="4"/>
  <c r="QS12" i="4" s="1"/>
  <c r="QU12" i="4" s="1"/>
  <c r="QG12" i="4"/>
  <c r="QI12" i="4" s="1"/>
  <c r="QK12" i="4" s="1"/>
  <c r="PW12" i="4"/>
  <c r="PM12" i="4"/>
  <c r="PO12" i="4" s="1"/>
  <c r="PQ12" i="4" s="1"/>
  <c r="PE12" i="4"/>
  <c r="PG12" i="4" s="1"/>
  <c r="PC12" i="4"/>
  <c r="OS12" i="4"/>
  <c r="OI12" i="4"/>
  <c r="OK12" i="4" s="1"/>
  <c r="OM12" i="4" s="1"/>
  <c r="NY12" i="4"/>
  <c r="OA12" i="4" s="1"/>
  <c r="OC12" i="4" s="1"/>
  <c r="NQ12" i="4"/>
  <c r="NS12" i="4" s="1"/>
  <c r="NO12" i="4"/>
  <c r="NG12" i="4"/>
  <c r="NI12" i="4" s="1"/>
  <c r="NE12" i="4"/>
  <c r="MY12" i="4"/>
  <c r="MW12" i="4"/>
  <c r="MU12" i="4"/>
  <c r="MM12" i="4"/>
  <c r="MO12" i="4" s="1"/>
  <c r="MK12" i="4"/>
  <c r="MA12" i="4"/>
  <c r="LQ12" i="4"/>
  <c r="LG12" i="4"/>
  <c r="LI12" i="4" s="1"/>
  <c r="LK12" i="4" s="1"/>
  <c r="KY12" i="4"/>
  <c r="LA12" i="4" s="1"/>
  <c r="KW12" i="4"/>
  <c r="KM12" i="4"/>
  <c r="KC12" i="4"/>
  <c r="JS12" i="4"/>
  <c r="JI12" i="4"/>
  <c r="JU12" i="4" s="1"/>
  <c r="JW12" i="4" s="1"/>
  <c r="JA12" i="4"/>
  <c r="JC12" i="4" s="1"/>
  <c r="IY12" i="4"/>
  <c r="IO12" i="4"/>
  <c r="IQ12" i="4" s="1"/>
  <c r="IS12" i="4" s="1"/>
  <c r="IG12" i="4"/>
  <c r="II12" i="4" s="1"/>
  <c r="IE12" i="4"/>
  <c r="HU12" i="4"/>
  <c r="HW12" i="4" s="1"/>
  <c r="HY12" i="4" s="1"/>
  <c r="HK12" i="4"/>
  <c r="HM12" i="4" s="1"/>
  <c r="HO12" i="4" s="1"/>
  <c r="HE12" i="4"/>
  <c r="HC12" i="4"/>
  <c r="HA12" i="4"/>
  <c r="GQ12" i="4"/>
  <c r="GS12" i="4" s="1"/>
  <c r="GU12" i="4" s="1"/>
  <c r="GK12" i="4"/>
  <c r="GG12" i="4"/>
  <c r="GI12" i="4" s="1"/>
  <c r="FW12" i="4"/>
  <c r="FM12" i="4"/>
  <c r="FC12" i="4"/>
  <c r="ES12" i="4"/>
  <c r="EU12" i="4" s="1"/>
  <c r="EW12" i="4" s="1"/>
  <c r="EI12" i="4"/>
  <c r="DY12" i="4"/>
  <c r="EA12" i="4" s="1"/>
  <c r="EC12" i="4" s="1"/>
  <c r="DS12" i="4"/>
  <c r="DQ12" i="4"/>
  <c r="DO12" i="4"/>
  <c r="DE12" i="4"/>
  <c r="DG12" i="4" s="1"/>
  <c r="DI12" i="4" s="1"/>
  <c r="CU12" i="4"/>
  <c r="CK12" i="4"/>
  <c r="CE12" i="4"/>
  <c r="CA12" i="4"/>
  <c r="CC12" i="4" s="1"/>
  <c r="BS12" i="4"/>
  <c r="BU12" i="4" s="1"/>
  <c r="BQ12" i="4"/>
  <c r="BG12" i="4"/>
  <c r="BI12" i="4" s="1"/>
  <c r="BK12" i="4" s="1"/>
  <c r="AW12" i="4"/>
  <c r="AO12" i="4"/>
  <c r="AQ12" i="4" s="1"/>
  <c r="AM12" i="4"/>
  <c r="AC12" i="4"/>
  <c r="AE12" i="4" s="1"/>
  <c r="AG12" i="4" s="1"/>
  <c r="S12" i="4"/>
  <c r="U12" i="4" s="1"/>
  <c r="W12" i="4" s="1"/>
  <c r="M12" i="4"/>
  <c r="I12" i="4"/>
  <c r="APA11" i="4"/>
  <c r="AOW11" i="4"/>
  <c r="AOY11" i="4" s="1"/>
  <c r="AOM11" i="4"/>
  <c r="AOO11" i="4" s="1"/>
  <c r="AOQ11" i="4" s="1"/>
  <c r="AOG11" i="4"/>
  <c r="AOC11" i="4"/>
  <c r="AOE11" i="4" s="1"/>
  <c r="ANW11" i="4"/>
  <c r="ANS11" i="4"/>
  <c r="ANU11" i="4" s="1"/>
  <c r="ANI11" i="4"/>
  <c r="ANK11" i="4" s="1"/>
  <c r="ANM11" i="4" s="1"/>
  <c r="AMY11" i="4"/>
  <c r="AMO11" i="4"/>
  <c r="AMQ11" i="4" s="1"/>
  <c r="AMS11" i="4" s="1"/>
  <c r="AME11" i="4"/>
  <c r="AMG11" i="4" s="1"/>
  <c r="AMI11" i="4" s="1"/>
  <c r="ALU11" i="4"/>
  <c r="ALW11" i="4" s="1"/>
  <c r="ALY11" i="4" s="1"/>
  <c r="ALK11" i="4"/>
  <c r="ALA11" i="4"/>
  <c r="ALM11" i="4" s="1"/>
  <c r="ALO11" i="4" s="1"/>
  <c r="AKQ11" i="4"/>
  <c r="AKS11" i="4" s="1"/>
  <c r="AKU11" i="4" s="1"/>
  <c r="AKI11" i="4"/>
  <c r="AKK11" i="4" s="1"/>
  <c r="AKG11" i="4"/>
  <c r="AJW11" i="4"/>
  <c r="AJM11" i="4"/>
  <c r="AJO11" i="4" s="1"/>
  <c r="AJQ11" i="4" s="1"/>
  <c r="AJC11" i="4"/>
  <c r="AJE11" i="4" s="1"/>
  <c r="AJG11" i="4" s="1"/>
  <c r="AIS11" i="4"/>
  <c r="AIU11" i="4" s="1"/>
  <c r="AIW11" i="4" s="1"/>
  <c r="AII11" i="4"/>
  <c r="AHY11" i="4"/>
  <c r="AIA11" i="4" s="1"/>
  <c r="AIC11" i="4" s="1"/>
  <c r="AHQ11" i="4"/>
  <c r="AHS11" i="4" s="1"/>
  <c r="AHO11" i="4"/>
  <c r="AHE11" i="4"/>
  <c r="AGU11" i="4"/>
  <c r="AGW11" i="4" s="1"/>
  <c r="AGY11" i="4" s="1"/>
  <c r="AGK11" i="4"/>
  <c r="AGM11" i="4" s="1"/>
  <c r="AGO11" i="4" s="1"/>
  <c r="AGC11" i="4"/>
  <c r="AGE11" i="4" s="1"/>
  <c r="AGA11" i="4"/>
  <c r="AFS11" i="4"/>
  <c r="AFU11" i="4" s="1"/>
  <c r="AFQ11" i="4"/>
  <c r="AFK11" i="4"/>
  <c r="AFI11" i="4"/>
  <c r="AFG11" i="4"/>
  <c r="AEY11" i="4"/>
  <c r="AFA11" i="4" s="1"/>
  <c r="AEW11" i="4"/>
  <c r="AEM11" i="4"/>
  <c r="AEC11" i="4"/>
  <c r="ADS11" i="4"/>
  <c r="ADU11" i="4" s="1"/>
  <c r="ADW11" i="4" s="1"/>
  <c r="ADK11" i="4"/>
  <c r="ADM11" i="4" s="1"/>
  <c r="ADI11" i="4"/>
  <c r="ACY11" i="4"/>
  <c r="ACO11" i="4"/>
  <c r="ACE11" i="4"/>
  <c r="ABU11" i="4"/>
  <c r="ACG11" i="4" s="1"/>
  <c r="ACI11" i="4" s="1"/>
  <c r="ABM11" i="4"/>
  <c r="ABO11" i="4" s="1"/>
  <c r="ABK11" i="4"/>
  <c r="ABA11" i="4"/>
  <c r="ABC11" i="4" s="1"/>
  <c r="ABE11" i="4" s="1"/>
  <c r="AAS11" i="4"/>
  <c r="AAU11" i="4" s="1"/>
  <c r="AAQ11" i="4"/>
  <c r="AAG11" i="4"/>
  <c r="AAI11" i="4" s="1"/>
  <c r="AAK11" i="4" s="1"/>
  <c r="ZW11" i="4"/>
  <c r="ZY11" i="4" s="1"/>
  <c r="AAA11" i="4" s="1"/>
  <c r="ZQ11" i="4"/>
  <c r="ZO11" i="4"/>
  <c r="ZM11" i="4"/>
  <c r="ZC11" i="4"/>
  <c r="ZE11" i="4" s="1"/>
  <c r="ZG11" i="4" s="1"/>
  <c r="YW11" i="4"/>
  <c r="YS11" i="4"/>
  <c r="YU11" i="4" s="1"/>
  <c r="YI11" i="4"/>
  <c r="XY11" i="4"/>
  <c r="XO11" i="4"/>
  <c r="XE11" i="4"/>
  <c r="WU11" i="4"/>
  <c r="WK11" i="4"/>
  <c r="WM11" i="4" s="1"/>
  <c r="WO11" i="4" s="1"/>
  <c r="WE11" i="4"/>
  <c r="WC11" i="4"/>
  <c r="WA11" i="4"/>
  <c r="VQ11" i="4"/>
  <c r="VS11" i="4" s="1"/>
  <c r="VU11" i="4" s="1"/>
  <c r="VG11" i="4"/>
  <c r="UW11" i="4"/>
  <c r="UM11" i="4"/>
  <c r="UO11" i="4" s="1"/>
  <c r="UQ11" i="4" s="1"/>
  <c r="UE11" i="4"/>
  <c r="UG11" i="4" s="1"/>
  <c r="UC11" i="4"/>
  <c r="TS11" i="4"/>
  <c r="TU11" i="4" s="1"/>
  <c r="TW11" i="4" s="1"/>
  <c r="TI11" i="4"/>
  <c r="TA11" i="4"/>
  <c r="TC11" i="4" s="1"/>
  <c r="SY11" i="4"/>
  <c r="SO11" i="4"/>
  <c r="SQ11" i="4" s="1"/>
  <c r="SS11" i="4" s="1"/>
  <c r="SE11" i="4"/>
  <c r="RY11" i="4"/>
  <c r="RU11" i="4"/>
  <c r="RM11" i="4"/>
  <c r="RO11" i="4" s="1"/>
  <c r="RK11" i="4"/>
  <c r="RA11" i="4"/>
  <c r="RC11" i="4" s="1"/>
  <c r="RE11" i="4" s="1"/>
  <c r="QU11" i="4"/>
  <c r="QQ11" i="4"/>
  <c r="QS11" i="4" s="1"/>
  <c r="QG11" i="4"/>
  <c r="QI11" i="4" s="1"/>
  <c r="QK11" i="4" s="1"/>
  <c r="PY11" i="4"/>
  <c r="QA11" i="4" s="1"/>
  <c r="PW11" i="4"/>
  <c r="PO11" i="4"/>
  <c r="PQ11" i="4" s="1"/>
  <c r="PM11" i="4"/>
  <c r="PE11" i="4"/>
  <c r="PG11" i="4" s="1"/>
  <c r="PC11" i="4"/>
  <c r="OU11" i="4"/>
  <c r="OW11" i="4" s="1"/>
  <c r="OS11" i="4"/>
  <c r="OI11" i="4"/>
  <c r="NY11" i="4"/>
  <c r="NQ11" i="4"/>
  <c r="NS11" i="4" s="1"/>
  <c r="NO11" i="4"/>
  <c r="NE11" i="4"/>
  <c r="NG11" i="4" s="1"/>
  <c r="NI11" i="4" s="1"/>
  <c r="MU11" i="4"/>
  <c r="MK11" i="4"/>
  <c r="MA11" i="4"/>
  <c r="LQ11" i="4"/>
  <c r="LS11" i="4" s="1"/>
  <c r="LU11" i="4" s="1"/>
  <c r="LG11" i="4"/>
  <c r="LI11" i="4" s="1"/>
  <c r="LK11" i="4" s="1"/>
  <c r="KW11" i="4"/>
  <c r="KY11" i="4" s="1"/>
  <c r="LA11" i="4" s="1"/>
  <c r="KO11" i="4"/>
  <c r="KQ11" i="4" s="1"/>
  <c r="KM11" i="4"/>
  <c r="KG11" i="4"/>
  <c r="KC11" i="4"/>
  <c r="JU11" i="4"/>
  <c r="JW11" i="4" s="1"/>
  <c r="JS11" i="4"/>
  <c r="KE11" i="4" s="1"/>
  <c r="JK11" i="4"/>
  <c r="JM11" i="4" s="1"/>
  <c r="JI11" i="4"/>
  <c r="IY11" i="4"/>
  <c r="JA11" i="4" s="1"/>
  <c r="JC11" i="4" s="1"/>
  <c r="IO11" i="4"/>
  <c r="IG11" i="4"/>
  <c r="II11" i="4" s="1"/>
  <c r="IE11" i="4"/>
  <c r="HU11" i="4"/>
  <c r="HW11" i="4" s="1"/>
  <c r="HY11" i="4" s="1"/>
  <c r="HK11" i="4"/>
  <c r="HA11" i="4"/>
  <c r="GQ11" i="4"/>
  <c r="GI11" i="4"/>
  <c r="GK11" i="4" s="1"/>
  <c r="GG11" i="4"/>
  <c r="GS11" i="4" s="1"/>
  <c r="GU11" i="4" s="1"/>
  <c r="FW11" i="4"/>
  <c r="FY11" i="4" s="1"/>
  <c r="GA11" i="4" s="1"/>
  <c r="FM11" i="4"/>
  <c r="FO11" i="4" s="1"/>
  <c r="FQ11" i="4" s="1"/>
  <c r="FC11" i="4"/>
  <c r="ES11" i="4"/>
  <c r="FE11" i="4" s="1"/>
  <c r="FG11" i="4" s="1"/>
  <c r="EI11" i="4"/>
  <c r="EK11" i="4" s="1"/>
  <c r="EM11" i="4" s="1"/>
  <c r="EA11" i="4"/>
  <c r="EC11" i="4" s="1"/>
  <c r="DY11" i="4"/>
  <c r="DO11" i="4"/>
  <c r="DQ11" i="4" s="1"/>
  <c r="DS11" i="4" s="1"/>
  <c r="DE11" i="4"/>
  <c r="CU11" i="4"/>
  <c r="CK11" i="4"/>
  <c r="CM11" i="4" s="1"/>
  <c r="CO11" i="4" s="1"/>
  <c r="CA11" i="4"/>
  <c r="BQ11" i="4"/>
  <c r="BS11" i="4" s="1"/>
  <c r="BU11" i="4" s="1"/>
  <c r="BI11" i="4"/>
  <c r="BK11" i="4" s="1"/>
  <c r="BG11" i="4"/>
  <c r="AW11" i="4"/>
  <c r="AM11" i="4"/>
  <c r="AC11" i="4"/>
  <c r="AE11" i="4" s="1"/>
  <c r="AG11" i="4" s="1"/>
  <c r="S11" i="4"/>
  <c r="M11" i="4"/>
  <c r="I11" i="4"/>
  <c r="U11" i="4" s="1"/>
  <c r="W11" i="4" s="1"/>
  <c r="AOW10" i="4"/>
  <c r="AOY10" i="4" s="1"/>
  <c r="APA10" i="4" s="1"/>
  <c r="AOO10" i="4"/>
  <c r="AOQ10" i="4" s="1"/>
  <c r="AOM10" i="4"/>
  <c r="AOC10" i="4"/>
  <c r="AOE10" i="4" s="1"/>
  <c r="AOG10" i="4" s="1"/>
  <c r="ANS10" i="4"/>
  <c r="ANI10" i="4"/>
  <c r="ANC10" i="4"/>
  <c r="AMY10" i="4"/>
  <c r="ANA10" i="4" s="1"/>
  <c r="AMQ10" i="4"/>
  <c r="AMS10" i="4" s="1"/>
  <c r="AMO10" i="4"/>
  <c r="AME10" i="4"/>
  <c r="AMG10" i="4" s="1"/>
  <c r="AMI10" i="4" s="1"/>
  <c r="ALU10" i="4"/>
  <c r="ALM10" i="4"/>
  <c r="ALO10" i="4" s="1"/>
  <c r="ALK10" i="4"/>
  <c r="ALA10" i="4"/>
  <c r="ALC10" i="4" s="1"/>
  <c r="ALE10" i="4" s="1"/>
  <c r="AKQ10" i="4"/>
  <c r="AKG10" i="4"/>
  <c r="AJW10" i="4"/>
  <c r="AJY10" i="4" s="1"/>
  <c r="AKA10" i="4" s="1"/>
  <c r="AJM10" i="4"/>
  <c r="AJE10" i="4"/>
  <c r="AJG10" i="4" s="1"/>
  <c r="AJC10" i="4"/>
  <c r="AJO10" i="4" s="1"/>
  <c r="AJQ10" i="4" s="1"/>
  <c r="AIS10" i="4"/>
  <c r="AIU10" i="4" s="1"/>
  <c r="AIW10" i="4" s="1"/>
  <c r="AIK10" i="4"/>
  <c r="AIM10" i="4" s="1"/>
  <c r="AII10" i="4"/>
  <c r="AHY10" i="4"/>
  <c r="AHQ10" i="4"/>
  <c r="AHS10" i="4" s="1"/>
  <c r="AHO10" i="4"/>
  <c r="AIA10" i="4" s="1"/>
  <c r="AIC10" i="4" s="1"/>
  <c r="AHI10" i="4"/>
  <c r="AHG10" i="4"/>
  <c r="AHE10" i="4"/>
  <c r="AGU10" i="4"/>
  <c r="AGW10" i="4" s="1"/>
  <c r="AGY10" i="4" s="1"/>
  <c r="AGK10" i="4"/>
  <c r="AGA10" i="4"/>
  <c r="AGC10" i="4" s="1"/>
  <c r="AGE10" i="4" s="1"/>
  <c r="AFQ10" i="4"/>
  <c r="AFS10" i="4" s="1"/>
  <c r="AFU10" i="4" s="1"/>
  <c r="AFG10" i="4"/>
  <c r="AFI10" i="4" s="1"/>
  <c r="AFK10" i="4" s="1"/>
  <c r="AEW10" i="4"/>
  <c r="AEM10" i="4"/>
  <c r="AEO10" i="4" s="1"/>
  <c r="AEQ10" i="4" s="1"/>
  <c r="AEC10" i="4"/>
  <c r="ADS10" i="4"/>
  <c r="ADU10" i="4" s="1"/>
  <c r="ADW10" i="4" s="1"/>
  <c r="ADI10" i="4"/>
  <c r="ADK10" i="4" s="1"/>
  <c r="ADM10" i="4" s="1"/>
  <c r="ADA10" i="4"/>
  <c r="ADC10" i="4" s="1"/>
  <c r="ACY10" i="4"/>
  <c r="ACO10" i="4"/>
  <c r="ACE10" i="4"/>
  <c r="ABW10" i="4"/>
  <c r="ABY10" i="4" s="1"/>
  <c r="ABU10" i="4"/>
  <c r="ABK10" i="4"/>
  <c r="ABA10" i="4"/>
  <c r="AAS10" i="4"/>
  <c r="AAU10" i="4" s="1"/>
  <c r="AAQ10" i="4"/>
  <c r="AAK10" i="4"/>
  <c r="AAI10" i="4"/>
  <c r="AAG10" i="4"/>
  <c r="ZW10" i="4"/>
  <c r="ZM10" i="4"/>
  <c r="ZC10" i="4"/>
  <c r="ZE10" i="4" s="1"/>
  <c r="ZG10" i="4" s="1"/>
  <c r="YS10" i="4"/>
  <c r="YI10" i="4"/>
  <c r="YU10" i="4" s="1"/>
  <c r="YW10" i="4" s="1"/>
  <c r="XY10" i="4"/>
  <c r="YA10" i="4" s="1"/>
  <c r="YC10" i="4" s="1"/>
  <c r="XO10" i="4"/>
  <c r="XG10" i="4"/>
  <c r="XI10" i="4" s="1"/>
  <c r="XE10" i="4"/>
  <c r="XQ10" i="4" s="1"/>
  <c r="XS10" i="4" s="1"/>
  <c r="WU10" i="4"/>
  <c r="WW10" i="4" s="1"/>
  <c r="WY10" i="4" s="1"/>
  <c r="WM10" i="4"/>
  <c r="WO10" i="4" s="1"/>
  <c r="WK10" i="4"/>
  <c r="WA10" i="4"/>
  <c r="WC10" i="4" s="1"/>
  <c r="WE10" i="4" s="1"/>
  <c r="VQ10" i="4"/>
  <c r="VS10" i="4" s="1"/>
  <c r="VU10" i="4" s="1"/>
  <c r="VG10" i="4"/>
  <c r="VI10" i="4" s="1"/>
  <c r="VK10" i="4" s="1"/>
  <c r="VA10" i="4"/>
  <c r="UW10" i="4"/>
  <c r="UY10" i="4" s="1"/>
  <c r="UM10" i="4"/>
  <c r="UC10" i="4"/>
  <c r="TS10" i="4"/>
  <c r="TI10" i="4"/>
  <c r="TK10" i="4" s="1"/>
  <c r="TM10" i="4" s="1"/>
  <c r="SY10" i="4"/>
  <c r="TA10" i="4" s="1"/>
  <c r="TC10" i="4" s="1"/>
  <c r="SO10" i="4"/>
  <c r="SQ10" i="4" s="1"/>
  <c r="SS10" i="4" s="1"/>
  <c r="SE10" i="4"/>
  <c r="RW10" i="4"/>
  <c r="RY10" i="4" s="1"/>
  <c r="RU10" i="4"/>
  <c r="SG10" i="4" s="1"/>
  <c r="SI10" i="4" s="1"/>
  <c r="RO10" i="4"/>
  <c r="RM10" i="4"/>
  <c r="RK10" i="4"/>
  <c r="RC10" i="4"/>
  <c r="RE10" i="4" s="1"/>
  <c r="RA10" i="4"/>
  <c r="QQ10" i="4"/>
  <c r="QG10" i="4"/>
  <c r="PW10" i="4"/>
  <c r="PM10" i="4"/>
  <c r="PO10" i="4" s="1"/>
  <c r="PQ10" i="4" s="1"/>
  <c r="PC10" i="4"/>
  <c r="OS10" i="4"/>
  <c r="OK10" i="4"/>
  <c r="OM10" i="4" s="1"/>
  <c r="OI10" i="4"/>
  <c r="NY10" i="4"/>
  <c r="NO10" i="4"/>
  <c r="NQ10" i="4" s="1"/>
  <c r="NS10" i="4" s="1"/>
  <c r="NE10" i="4"/>
  <c r="NG10" i="4" s="1"/>
  <c r="NI10" i="4" s="1"/>
  <c r="MW10" i="4"/>
  <c r="MY10" i="4" s="1"/>
  <c r="MU10" i="4"/>
  <c r="MO10" i="4"/>
  <c r="MK10" i="4"/>
  <c r="MM10" i="4" s="1"/>
  <c r="ME10" i="4"/>
  <c r="MC10" i="4"/>
  <c r="MA10" i="4"/>
  <c r="LS10" i="4"/>
  <c r="LU10" i="4" s="1"/>
  <c r="LQ10" i="4"/>
  <c r="LG10" i="4"/>
  <c r="KW10" i="4"/>
  <c r="KO10" i="4"/>
  <c r="KQ10" i="4" s="1"/>
  <c r="KM10" i="4"/>
  <c r="KC10" i="4"/>
  <c r="KE10" i="4" s="1"/>
  <c r="KG10" i="4" s="1"/>
  <c r="JS10" i="4"/>
  <c r="JI10" i="4"/>
  <c r="JA10" i="4"/>
  <c r="JC10" i="4" s="1"/>
  <c r="IY10" i="4"/>
  <c r="IS10" i="4"/>
  <c r="IO10" i="4"/>
  <c r="IE10" i="4"/>
  <c r="IG10" i="4" s="1"/>
  <c r="II10" i="4" s="1"/>
  <c r="HU10" i="4"/>
  <c r="HW10" i="4" s="1"/>
  <c r="HY10" i="4" s="1"/>
  <c r="HM10" i="4"/>
  <c r="HO10" i="4" s="1"/>
  <c r="HK10" i="4"/>
  <c r="HA10" i="4"/>
  <c r="HC10" i="4" s="1"/>
  <c r="HE10" i="4" s="1"/>
  <c r="GU10" i="4"/>
  <c r="GQ10" i="4"/>
  <c r="GS10" i="4" s="1"/>
  <c r="GI10" i="4"/>
  <c r="GK10" i="4" s="1"/>
  <c r="GG10" i="4"/>
  <c r="FW10" i="4"/>
  <c r="FM10" i="4"/>
  <c r="FC10" i="4"/>
  <c r="ES10" i="4"/>
  <c r="EI10" i="4"/>
  <c r="DY10" i="4"/>
  <c r="DO10" i="4"/>
  <c r="DQ10" i="4" s="1"/>
  <c r="DS10" i="4" s="1"/>
  <c r="DE10" i="4"/>
  <c r="DG10" i="4" s="1"/>
  <c r="DI10" i="4" s="1"/>
  <c r="CW10" i="4"/>
  <c r="CY10" i="4" s="1"/>
  <c r="CU10" i="4"/>
  <c r="CK10" i="4"/>
  <c r="CA10" i="4"/>
  <c r="CM10" i="4" s="1"/>
  <c r="CO10" i="4" s="1"/>
  <c r="BQ10" i="4"/>
  <c r="BG10" i="4"/>
  <c r="BI10" i="4" s="1"/>
  <c r="BK10" i="4" s="1"/>
  <c r="AY10" i="4"/>
  <c r="BA10" i="4" s="1"/>
  <c r="AW10" i="4"/>
  <c r="AM10" i="4"/>
  <c r="AC10" i="4"/>
  <c r="S10" i="4"/>
  <c r="M10" i="4"/>
  <c r="I10" i="4"/>
  <c r="U10" i="4" s="1"/>
  <c r="W10" i="4" s="1"/>
  <c r="APA7" i="4"/>
  <c r="AOY7" i="4"/>
  <c r="AOW7" i="4"/>
  <c r="AOQ7" i="4"/>
  <c r="AOM7" i="4"/>
  <c r="AOG7" i="4"/>
  <c r="AOC7" i="4"/>
  <c r="ANW7" i="4"/>
  <c r="ANS7" i="4"/>
  <c r="ANU7" i="4" s="1"/>
  <c r="ANM7" i="4"/>
  <c r="ANI7" i="4"/>
  <c r="ANK7" i="4" s="1"/>
  <c r="AMY7" i="4"/>
  <c r="AMS7" i="4"/>
  <c r="AMO7" i="4"/>
  <c r="AMQ7" i="4" s="1"/>
  <c r="AMI7" i="4"/>
  <c r="AMG7" i="4"/>
  <c r="AME7" i="4"/>
  <c r="ALY7" i="4"/>
  <c r="ALU7" i="4"/>
  <c r="ALO7" i="4"/>
  <c r="ALM7" i="4"/>
  <c r="ALK7" i="4"/>
  <c r="ALW7" i="4" s="1"/>
  <c r="ALE7" i="4"/>
  <c r="ALA7" i="4"/>
  <c r="AKU7" i="4"/>
  <c r="AKQ7" i="4"/>
  <c r="ALC7" i="4" s="1"/>
  <c r="AKG7" i="4"/>
  <c r="AKS7" i="4" s="1"/>
  <c r="AKA7" i="4"/>
  <c r="AJY7" i="4"/>
  <c r="AJW7" i="4"/>
  <c r="AJO7" i="4"/>
  <c r="AJQ7" i="4" s="1"/>
  <c r="AJM7" i="4"/>
  <c r="AJG7" i="4"/>
  <c r="AJC7" i="4"/>
  <c r="AJE7" i="4" s="1"/>
  <c r="AIW7" i="4"/>
  <c r="AIS7" i="4"/>
  <c r="AIM7" i="4"/>
  <c r="AII7" i="4"/>
  <c r="AIK7" i="4" s="1"/>
  <c r="AIC7" i="4"/>
  <c r="AIA7" i="4"/>
  <c r="AHY7" i="4"/>
  <c r="AHS7" i="4"/>
  <c r="AHO7" i="4"/>
  <c r="AHQ7" i="4" s="1"/>
  <c r="AHI7" i="4"/>
  <c r="AHE7" i="4"/>
  <c r="AGY7" i="4"/>
  <c r="AGW7" i="4"/>
  <c r="AGU7" i="4"/>
  <c r="AGK7" i="4"/>
  <c r="AGE7" i="4"/>
  <c r="AGC7" i="4"/>
  <c r="AGA7" i="4"/>
  <c r="AFU7" i="4"/>
  <c r="AFQ7" i="4"/>
  <c r="AFK7" i="4"/>
  <c r="AFI7" i="4"/>
  <c r="AFG7" i="4"/>
  <c r="AFS7" i="4" s="1"/>
  <c r="AFA7" i="4"/>
  <c r="AEY7" i="4"/>
  <c r="AEW7" i="4"/>
  <c r="AEQ7" i="4"/>
  <c r="AEM7" i="4"/>
  <c r="AEO7" i="4" s="1"/>
  <c r="AEE7" i="4"/>
  <c r="AEG7" i="4" s="1"/>
  <c r="AEC7" i="4"/>
  <c r="ADW7" i="4"/>
  <c r="ADS7" i="4"/>
  <c r="ADM7" i="4"/>
  <c r="ADI7" i="4"/>
  <c r="ADC7" i="4"/>
  <c r="ACY7" i="4"/>
  <c r="ADA7" i="4" s="1"/>
  <c r="ACS7" i="4"/>
  <c r="ACO7" i="4"/>
  <c r="ACQ7" i="4" s="1"/>
  <c r="ACI7" i="4"/>
  <c r="ACE7" i="4"/>
  <c r="ACG7" i="4" s="1"/>
  <c r="ABY7" i="4"/>
  <c r="ABU7" i="4"/>
  <c r="ABW7" i="4" s="1"/>
  <c r="ABO7" i="4"/>
  <c r="ABK7" i="4"/>
  <c r="ABE7" i="4"/>
  <c r="ABA7" i="4"/>
  <c r="AAQ7" i="4"/>
  <c r="AAS7" i="4" s="1"/>
  <c r="AAU7" i="4" s="1"/>
  <c r="AAG7" i="4"/>
  <c r="AAA7" i="4"/>
  <c r="ZY7" i="4"/>
  <c r="ZW7" i="4"/>
  <c r="AAI7" i="4" s="1"/>
  <c r="AAK7" i="4" s="1"/>
  <c r="ZQ7" i="4"/>
  <c r="ZM7" i="4"/>
  <c r="ZG7" i="4"/>
  <c r="ZE7" i="4"/>
  <c r="ZC7" i="4"/>
  <c r="ZO7" i="4" s="1"/>
  <c r="YU7" i="4"/>
  <c r="YW7" i="4" s="1"/>
  <c r="YS7" i="4"/>
  <c r="YI7" i="4"/>
  <c r="YK7" i="4" s="1"/>
  <c r="YM7" i="4" s="1"/>
  <c r="YC7" i="4"/>
  <c r="XY7" i="4"/>
  <c r="XO7" i="4"/>
  <c r="XQ7" i="4" s="1"/>
  <c r="XS7" i="4" s="1"/>
  <c r="XI7" i="4"/>
  <c r="XE7" i="4"/>
  <c r="XG7" i="4" s="1"/>
  <c r="WU7" i="4"/>
  <c r="WO7" i="4"/>
  <c r="WK7" i="4"/>
  <c r="WE7" i="4"/>
  <c r="WA7" i="4"/>
  <c r="WC7" i="4" s="1"/>
  <c r="VU7" i="4"/>
  <c r="VQ7" i="4"/>
  <c r="VS7" i="4" s="1"/>
  <c r="VK7" i="4"/>
  <c r="VI7" i="4"/>
  <c r="VG7" i="4"/>
  <c r="VA7" i="4"/>
  <c r="UW7" i="4"/>
  <c r="UQ7" i="4"/>
  <c r="UM7" i="4"/>
  <c r="UY7" i="4" s="1"/>
  <c r="UG7" i="4"/>
  <c r="UE7" i="4"/>
  <c r="UC7" i="4"/>
  <c r="UO7" i="4" s="1"/>
  <c r="TW7" i="4"/>
  <c r="TS7" i="4"/>
  <c r="TU7" i="4" s="1"/>
  <c r="TM7" i="4"/>
  <c r="TK7" i="4"/>
  <c r="TI7" i="4"/>
  <c r="TC7" i="4"/>
  <c r="SY7" i="4"/>
  <c r="TA7" i="4" s="1"/>
  <c r="SS7" i="4"/>
  <c r="SO7" i="4"/>
  <c r="SI7" i="4"/>
  <c r="SE7" i="4"/>
  <c r="SG7" i="4" s="1"/>
  <c r="RY7" i="4"/>
  <c r="RW7" i="4"/>
  <c r="RU7" i="4"/>
  <c r="RO7" i="4"/>
  <c r="RK7" i="4"/>
  <c r="RM7" i="4" s="1"/>
  <c r="RA7" i="4"/>
  <c r="QU7" i="4"/>
  <c r="QQ7" i="4"/>
  <c r="QS7" i="4" s="1"/>
  <c r="QK7" i="4"/>
  <c r="QG7" i="4"/>
  <c r="QI7" i="4" s="1"/>
  <c r="QA7" i="4"/>
  <c r="PY7" i="4"/>
  <c r="PW7" i="4"/>
  <c r="PQ7" i="4"/>
  <c r="PM7" i="4"/>
  <c r="PG7" i="4"/>
  <c r="PE7" i="4"/>
  <c r="PC7" i="4"/>
  <c r="PO7" i="4" s="1"/>
  <c r="OW7" i="4"/>
  <c r="OS7" i="4"/>
  <c r="OU7" i="4" s="1"/>
  <c r="OM7" i="4"/>
  <c r="OK7" i="4"/>
  <c r="OI7" i="4"/>
  <c r="OA7" i="4"/>
  <c r="OC7" i="4" s="1"/>
  <c r="NY7" i="4"/>
  <c r="NS7" i="4"/>
  <c r="NO7" i="4"/>
  <c r="NQ7" i="4" s="1"/>
  <c r="NI7" i="4"/>
  <c r="NE7" i="4"/>
  <c r="NG7" i="4" s="1"/>
  <c r="MU7" i="4"/>
  <c r="MO7" i="4"/>
  <c r="MK7" i="4"/>
  <c r="MM7" i="4" s="1"/>
  <c r="ME7" i="4"/>
  <c r="MA7" i="4"/>
  <c r="MC7" i="4" s="1"/>
  <c r="LU7" i="4"/>
  <c r="LQ7" i="4"/>
  <c r="LG7" i="4"/>
  <c r="LI7" i="4" s="1"/>
  <c r="LK7" i="4" s="1"/>
  <c r="KY7" i="4"/>
  <c r="LA7" i="4" s="1"/>
  <c r="KW7" i="4"/>
  <c r="KM7" i="4"/>
  <c r="KO7" i="4" s="1"/>
  <c r="KQ7" i="4" s="1"/>
  <c r="KG7" i="4"/>
  <c r="KC7" i="4"/>
  <c r="JS7" i="4"/>
  <c r="KE7" i="4" s="1"/>
  <c r="JI7" i="4"/>
  <c r="JU7" i="4" s="1"/>
  <c r="JW7" i="4" s="1"/>
  <c r="JC7" i="4"/>
  <c r="IY7" i="4"/>
  <c r="JA7" i="4" s="1"/>
  <c r="IS7" i="4"/>
  <c r="IQ7" i="4"/>
  <c r="IO7" i="4"/>
  <c r="II7" i="4"/>
  <c r="IE7" i="4"/>
  <c r="HU7" i="4"/>
  <c r="HM7" i="4"/>
  <c r="HO7" i="4" s="1"/>
  <c r="HK7" i="4"/>
  <c r="HA7" i="4"/>
  <c r="HC7" i="4" s="1"/>
  <c r="HE7" i="4" s="1"/>
  <c r="GU7" i="4"/>
  <c r="GQ7" i="4"/>
  <c r="GS7" i="4" s="1"/>
  <c r="GG7" i="4"/>
  <c r="FW7" i="4"/>
  <c r="FY7" i="4" s="1"/>
  <c r="GA7" i="4" s="1"/>
  <c r="FQ7" i="4"/>
  <c r="FM7" i="4"/>
  <c r="FG7" i="4"/>
  <c r="FC7" i="4"/>
  <c r="FE7" i="4" s="1"/>
  <c r="EW7" i="4"/>
  <c r="ES7" i="4"/>
  <c r="EK7" i="4"/>
  <c r="EM7" i="4" s="1"/>
  <c r="EI7" i="4"/>
  <c r="EU7" i="4" s="1"/>
  <c r="EC7" i="4"/>
  <c r="DY7" i="4"/>
  <c r="DO7" i="4"/>
  <c r="DQ7" i="4" s="1"/>
  <c r="DS7" i="4" s="1"/>
  <c r="DI7" i="4"/>
  <c r="DG7" i="4"/>
  <c r="DE7" i="4"/>
  <c r="CU7" i="4"/>
  <c r="CO7" i="4"/>
  <c r="CK7" i="4"/>
  <c r="CE7" i="4"/>
  <c r="CC7" i="4"/>
  <c r="CA7" i="4"/>
  <c r="BU7" i="4"/>
  <c r="BQ7" i="4"/>
  <c r="BK7" i="4"/>
  <c r="BI7" i="4"/>
  <c r="BG7" i="4"/>
  <c r="AW7" i="4"/>
  <c r="AY7" i="4" s="1"/>
  <c r="BA7" i="4" s="1"/>
  <c r="AM7" i="4"/>
  <c r="AG7" i="4"/>
  <c r="AC7" i="4"/>
  <c r="AE7" i="4" s="1"/>
  <c r="U7" i="4"/>
  <c r="W7" i="4" s="1"/>
  <c r="S7" i="4"/>
  <c r="M7" i="4"/>
  <c r="I7" i="4"/>
  <c r="APA6" i="4"/>
  <c r="AOW6" i="4"/>
  <c r="AOQ6" i="4"/>
  <c r="AOM6" i="4"/>
  <c r="AOO6" i="4" s="1"/>
  <c r="AOG6" i="4"/>
  <c r="AOC6" i="4"/>
  <c r="ANW6" i="4"/>
  <c r="ANS6" i="4"/>
  <c r="ANU6" i="4" s="1"/>
  <c r="ANM6" i="4"/>
  <c r="ANI6" i="4"/>
  <c r="ANK6" i="4" s="1"/>
  <c r="AMY6" i="4"/>
  <c r="AMS6" i="4"/>
  <c r="AMQ6" i="4"/>
  <c r="AMO6" i="4"/>
  <c r="AMI6" i="4"/>
  <c r="AMG6" i="4"/>
  <c r="AME6" i="4"/>
  <c r="ALU6" i="4"/>
  <c r="ALW6" i="4" s="1"/>
  <c r="ALY6" i="4" s="1"/>
  <c r="ALO6" i="4"/>
  <c r="ALK6" i="4"/>
  <c r="ALM6" i="4" s="1"/>
  <c r="ALA6" i="4"/>
  <c r="AKU6" i="4"/>
  <c r="AKQ6" i="4"/>
  <c r="AKI6" i="4"/>
  <c r="AKK6" i="4" s="1"/>
  <c r="AKG6" i="4"/>
  <c r="AKA6" i="4"/>
  <c r="AJY6" i="4"/>
  <c r="AJW6" i="4"/>
  <c r="AJQ6" i="4"/>
  <c r="AJM6" i="4"/>
  <c r="AJG6" i="4"/>
  <c r="AJC6" i="4"/>
  <c r="AJE6" i="4" s="1"/>
  <c r="AIS6" i="4"/>
  <c r="AIU6" i="4" s="1"/>
  <c r="AIW6" i="4" s="1"/>
  <c r="AIM6" i="4"/>
  <c r="AII6" i="4"/>
  <c r="AIK6" i="4" s="1"/>
  <c r="AHY6" i="4"/>
  <c r="AHS6" i="4"/>
  <c r="AHO6" i="4"/>
  <c r="AHQ6" i="4" s="1"/>
  <c r="AHE6" i="4"/>
  <c r="AHG6" i="4" s="1"/>
  <c r="AHI6" i="4" s="1"/>
  <c r="AGY6" i="4"/>
  <c r="AGU6" i="4"/>
  <c r="AGK6" i="4"/>
  <c r="AGM6" i="4" s="1"/>
  <c r="AGO6" i="4" s="1"/>
  <c r="AGE6" i="4"/>
  <c r="AGA6" i="4"/>
  <c r="AGC6" i="4" s="1"/>
  <c r="AFU6" i="4"/>
  <c r="AFQ6" i="4"/>
  <c r="AFG6" i="4"/>
  <c r="AFA6" i="4"/>
  <c r="AEY6" i="4"/>
  <c r="AEW6" i="4"/>
  <c r="AEO6" i="4"/>
  <c r="AEQ6" i="4" s="1"/>
  <c r="AEM6" i="4"/>
  <c r="AEC6" i="4"/>
  <c r="ADS6" i="4"/>
  <c r="ADM6" i="4"/>
  <c r="ADI6" i="4"/>
  <c r="ACY6" i="4"/>
  <c r="ADA6" i="4" s="1"/>
  <c r="ADC6" i="4" s="1"/>
  <c r="ACS6" i="4"/>
  <c r="ACO6" i="4"/>
  <c r="ACQ6" i="4" s="1"/>
  <c r="ACI6" i="4"/>
  <c r="ACE6" i="4"/>
  <c r="ABY6" i="4"/>
  <c r="ABU6" i="4"/>
  <c r="ABO6" i="4"/>
  <c r="ABK6" i="4"/>
  <c r="ABM6" i="4" s="1"/>
  <c r="ABA6" i="4"/>
  <c r="ABC6" i="4" s="1"/>
  <c r="ABE6" i="4" s="1"/>
  <c r="AAU6" i="4"/>
  <c r="AAQ6" i="4"/>
  <c r="AAS6" i="4" s="1"/>
  <c r="AAI6" i="4"/>
  <c r="AAK6" i="4" s="1"/>
  <c r="AAG6" i="4"/>
  <c r="AAA6" i="4"/>
  <c r="ZW6" i="4"/>
  <c r="ZQ6" i="4"/>
  <c r="ZM6" i="4"/>
  <c r="ZY6" i="4" s="1"/>
  <c r="ZG6" i="4"/>
  <c r="ZE6" i="4"/>
  <c r="ZC6" i="4"/>
  <c r="YS6" i="4"/>
  <c r="YM6" i="4"/>
  <c r="YI6" i="4"/>
  <c r="XY6" i="4"/>
  <c r="YA6" i="4" s="1"/>
  <c r="YC6" i="4" s="1"/>
  <c r="XS6" i="4"/>
  <c r="XO6" i="4"/>
  <c r="XQ6" i="4" s="1"/>
  <c r="XI6" i="4"/>
  <c r="XE6" i="4"/>
  <c r="WU6" i="4"/>
  <c r="WK6" i="4"/>
  <c r="WM6" i="4" s="1"/>
  <c r="WO6" i="4" s="1"/>
  <c r="WE6" i="4"/>
  <c r="WA6" i="4"/>
  <c r="WC6" i="4" s="1"/>
  <c r="VQ6" i="4"/>
  <c r="VS6" i="4" s="1"/>
  <c r="VU6" i="4" s="1"/>
  <c r="VG6" i="4"/>
  <c r="VI6" i="4" s="1"/>
  <c r="VK6" i="4" s="1"/>
  <c r="VA6" i="4"/>
  <c r="UY6" i="4"/>
  <c r="UW6" i="4"/>
  <c r="UQ6" i="4"/>
  <c r="UM6" i="4"/>
  <c r="UC6" i="4"/>
  <c r="UE6" i="4" s="1"/>
  <c r="UG6" i="4" s="1"/>
  <c r="TW6" i="4"/>
  <c r="TU6" i="4"/>
  <c r="TS6" i="4"/>
  <c r="TM6" i="4"/>
  <c r="TI6" i="4"/>
  <c r="SY6" i="4"/>
  <c r="SQ6" i="4"/>
  <c r="SS6" i="4" s="1"/>
  <c r="SO6" i="4"/>
  <c r="SE6" i="4"/>
  <c r="SG6" i="4" s="1"/>
  <c r="SI6" i="4" s="1"/>
  <c r="RU6" i="4"/>
  <c r="RW6" i="4" s="1"/>
  <c r="RY6" i="4" s="1"/>
  <c r="RK6" i="4"/>
  <c r="RM6" i="4" s="1"/>
  <c r="RO6" i="4" s="1"/>
  <c r="RA6" i="4"/>
  <c r="QQ6" i="4"/>
  <c r="QS6" i="4" s="1"/>
  <c r="QU6" i="4" s="1"/>
  <c r="QI6" i="4"/>
  <c r="QK6" i="4" s="1"/>
  <c r="QG6" i="4"/>
  <c r="QA6" i="4"/>
  <c r="PW6" i="4"/>
  <c r="PY6" i="4" s="1"/>
  <c r="PO6" i="4"/>
  <c r="PQ6" i="4" s="1"/>
  <c r="PM6" i="4"/>
  <c r="PG6" i="4"/>
  <c r="PE6" i="4"/>
  <c r="PC6" i="4"/>
  <c r="OU6" i="4"/>
  <c r="OW6" i="4" s="1"/>
  <c r="OS6" i="4"/>
  <c r="OK6" i="4"/>
  <c r="OM6" i="4" s="1"/>
  <c r="OI6" i="4"/>
  <c r="NY6" i="4"/>
  <c r="NS6" i="4"/>
  <c r="NO6" i="4"/>
  <c r="NE6" i="4"/>
  <c r="NG6" i="4" s="1"/>
  <c r="NI6" i="4" s="1"/>
  <c r="MU6" i="4"/>
  <c r="MW6" i="4" s="1"/>
  <c r="MY6" i="4" s="1"/>
  <c r="MO6" i="4"/>
  <c r="MK6" i="4"/>
  <c r="ME6" i="4"/>
  <c r="MA6" i="4"/>
  <c r="LU6" i="4"/>
  <c r="LQ6" i="4"/>
  <c r="LS6" i="4" s="1"/>
  <c r="LI6" i="4"/>
  <c r="LK6" i="4" s="1"/>
  <c r="LG6" i="4"/>
  <c r="LA6" i="4"/>
  <c r="KY6" i="4"/>
  <c r="KW6" i="4"/>
  <c r="KM6" i="4"/>
  <c r="KO6" i="4" s="1"/>
  <c r="KQ6" i="4" s="1"/>
  <c r="KG6" i="4"/>
  <c r="KC6" i="4"/>
  <c r="JS6" i="4"/>
  <c r="KE6" i="4" s="1"/>
  <c r="JI6" i="4"/>
  <c r="JK6" i="4" s="1"/>
  <c r="JM6" i="4" s="1"/>
  <c r="JC6" i="4"/>
  <c r="JA6" i="4"/>
  <c r="IY6" i="4"/>
  <c r="IO6" i="4"/>
  <c r="II6" i="4"/>
  <c r="IE6" i="4"/>
  <c r="HU6" i="4"/>
  <c r="HW6" i="4" s="1"/>
  <c r="HY6" i="4" s="1"/>
  <c r="HO6" i="4"/>
  <c r="HK6" i="4"/>
  <c r="HM6" i="4" s="1"/>
  <c r="HA6" i="4"/>
  <c r="GQ6" i="4"/>
  <c r="GS6" i="4" s="1"/>
  <c r="GU6" i="4" s="1"/>
  <c r="GI6" i="4"/>
  <c r="GK6" i="4" s="1"/>
  <c r="GG6" i="4"/>
  <c r="FW6" i="4"/>
  <c r="FQ6" i="4"/>
  <c r="FM6" i="4"/>
  <c r="FO6" i="4" s="1"/>
  <c r="FG6" i="4"/>
  <c r="FE6" i="4"/>
  <c r="FC6" i="4"/>
  <c r="EW6" i="4"/>
  <c r="EU6" i="4"/>
  <c r="ES6" i="4"/>
  <c r="EM6" i="4"/>
  <c r="EK6" i="4"/>
  <c r="EI6" i="4"/>
  <c r="EC6" i="4"/>
  <c r="EA6" i="4"/>
  <c r="DY6" i="4"/>
  <c r="DQ6" i="4"/>
  <c r="DS6" i="4" s="1"/>
  <c r="DO6" i="4"/>
  <c r="DE6" i="4"/>
  <c r="DG6" i="4" s="1"/>
  <c r="DI6" i="4" s="1"/>
  <c r="CU6" i="4"/>
  <c r="CO6" i="4"/>
  <c r="CM6" i="4"/>
  <c r="CK6" i="4"/>
  <c r="CA6" i="4"/>
  <c r="CC6" i="4" s="1"/>
  <c r="CE6" i="4" s="1"/>
  <c r="BU6" i="4"/>
  <c r="BQ6" i="4"/>
  <c r="BG6" i="4"/>
  <c r="AW6" i="4"/>
  <c r="AM6" i="4"/>
  <c r="AO6" i="4" s="1"/>
  <c r="AQ6" i="4" s="1"/>
  <c r="AG6" i="4"/>
  <c r="AC6" i="4"/>
  <c r="AE6" i="4" s="1"/>
  <c r="W6" i="4"/>
  <c r="U6" i="4"/>
  <c r="S6" i="4"/>
  <c r="M6" i="4"/>
  <c r="I6" i="4"/>
  <c r="AOW5" i="4"/>
  <c r="AOQ5" i="4"/>
  <c r="AOM5" i="4"/>
  <c r="AOO5" i="4" s="1"/>
  <c r="AOG5" i="4"/>
  <c r="AOE5" i="4"/>
  <c r="AOC5" i="4"/>
  <c r="ANW5" i="4"/>
  <c r="ANS5" i="4"/>
  <c r="ANM5" i="4"/>
  <c r="ANI5" i="4"/>
  <c r="ANA5" i="4"/>
  <c r="ANC5" i="4" s="1"/>
  <c r="AMY5" i="4"/>
  <c r="AMS5" i="4"/>
  <c r="AMO5" i="4"/>
  <c r="AMG5" i="4"/>
  <c r="AMI5" i="4" s="1"/>
  <c r="AME5" i="4"/>
  <c r="ALY5" i="4"/>
  <c r="ALU5" i="4"/>
  <c r="ALW5" i="4" s="1"/>
  <c r="ALO5" i="4"/>
  <c r="ALM5" i="4"/>
  <c r="ALK5" i="4"/>
  <c r="ALE5" i="4"/>
  <c r="ALC5" i="4"/>
  <c r="ALA5" i="4"/>
  <c r="AKU5" i="4"/>
  <c r="AKQ5" i="4"/>
  <c r="AKS5" i="4" s="1"/>
  <c r="AKI5" i="4"/>
  <c r="AKK5" i="4" s="1"/>
  <c r="AKG5" i="4"/>
  <c r="AJW5" i="4"/>
  <c r="AJM5" i="4"/>
  <c r="AJG5" i="4"/>
  <c r="AJC5" i="4"/>
  <c r="AJE5" i="4" s="1"/>
  <c r="AIW5" i="4"/>
  <c r="AIS5" i="4"/>
  <c r="AIU5" i="4" s="1"/>
  <c r="AII5" i="4"/>
  <c r="AHY5" i="4"/>
  <c r="AHO5" i="4"/>
  <c r="AHE5" i="4"/>
  <c r="AHG5" i="4" s="1"/>
  <c r="AHI5" i="4" s="1"/>
  <c r="AGU5" i="4"/>
  <c r="AGW5" i="4" s="1"/>
  <c r="AGY5" i="4" s="1"/>
  <c r="AGO5" i="4"/>
  <c r="AGK5" i="4"/>
  <c r="AGM5" i="4" s="1"/>
  <c r="AGC5" i="4"/>
  <c r="AGE5" i="4" s="1"/>
  <c r="AGA5" i="4"/>
  <c r="AFU5" i="4"/>
  <c r="AFQ5" i="4"/>
  <c r="AFG5" i="4"/>
  <c r="AFI5" i="4" s="1"/>
  <c r="AFK5" i="4" s="1"/>
  <c r="AFA5" i="4"/>
  <c r="AEY5" i="4"/>
  <c r="AEW5" i="4"/>
  <c r="AEQ5" i="4"/>
  <c r="AEM5" i="4"/>
  <c r="AEG5" i="4"/>
  <c r="AEC5" i="4"/>
  <c r="ADS5" i="4"/>
  <c r="ADU5" i="4" s="1"/>
  <c r="ADW5" i="4" s="1"/>
  <c r="ADM5" i="4"/>
  <c r="ADI5" i="4"/>
  <c r="ADK5" i="4" s="1"/>
  <c r="ACY5" i="4"/>
  <c r="ACS5" i="4"/>
  <c r="ACO5" i="4"/>
  <c r="ACI5" i="4"/>
  <c r="ACE5" i="4"/>
  <c r="ABU5" i="4"/>
  <c r="ACG5" i="4" s="1"/>
  <c r="ABO5" i="4"/>
  <c r="ABK5" i="4"/>
  <c r="ABM5" i="4" s="1"/>
  <c r="ABA5" i="4"/>
  <c r="ABC5" i="4" s="1"/>
  <c r="ABE5" i="4" s="1"/>
  <c r="AAS5" i="4"/>
  <c r="AAU5" i="4" s="1"/>
  <c r="AAQ5" i="4"/>
  <c r="AAG5" i="4"/>
  <c r="AAI5" i="4" s="1"/>
  <c r="AAK5" i="4" s="1"/>
  <c r="AAA5" i="4"/>
  <c r="ZW5" i="4"/>
  <c r="ZY5" i="4" s="1"/>
  <c r="ZO5" i="4"/>
  <c r="ZQ5" i="4" s="1"/>
  <c r="ZM5" i="4"/>
  <c r="ZC5" i="4"/>
  <c r="YS5" i="4"/>
  <c r="YM5" i="4"/>
  <c r="YI5" i="4"/>
  <c r="XY5" i="4"/>
  <c r="XS5" i="4"/>
  <c r="XO5" i="4"/>
  <c r="XE5" i="4"/>
  <c r="WU5" i="4"/>
  <c r="WO5" i="4"/>
  <c r="WM5" i="4"/>
  <c r="WK5" i="4"/>
  <c r="WE5" i="4"/>
  <c r="WC5" i="4"/>
  <c r="WA5" i="4"/>
  <c r="VQ5" i="4"/>
  <c r="VS5" i="4" s="1"/>
  <c r="VU5" i="4" s="1"/>
  <c r="VK5" i="4"/>
  <c r="VI5" i="4"/>
  <c r="VG5" i="4"/>
  <c r="UW5" i="4"/>
  <c r="UQ5" i="4"/>
  <c r="UM5" i="4"/>
  <c r="UO5" i="4" s="1"/>
  <c r="UG5" i="4"/>
  <c r="UE5" i="4"/>
  <c r="UC5" i="4"/>
  <c r="TS5" i="4"/>
  <c r="TM5" i="4"/>
  <c r="TI5" i="4"/>
  <c r="TC5" i="4"/>
  <c r="SY5" i="4"/>
  <c r="TA5" i="4" s="1"/>
  <c r="SS5" i="4"/>
  <c r="SQ5" i="4"/>
  <c r="SO5" i="4"/>
  <c r="SI5" i="4"/>
  <c r="SE5" i="4"/>
  <c r="RY5" i="4"/>
  <c r="RU5" i="4"/>
  <c r="RO5" i="4"/>
  <c r="RM5" i="4"/>
  <c r="RK5" i="4"/>
  <c r="RE5" i="4"/>
  <c r="RA5" i="4"/>
  <c r="QQ5" i="4"/>
  <c r="RC5" i="4" s="1"/>
  <c r="QG5" i="4"/>
  <c r="QI5" i="4" s="1"/>
  <c r="QK5" i="4" s="1"/>
  <c r="PW5" i="4"/>
  <c r="PQ5" i="4"/>
  <c r="PM5" i="4"/>
  <c r="PY5" i="4" s="1"/>
  <c r="QA5" i="4" s="1"/>
  <c r="PC5" i="4"/>
  <c r="PE5" i="4" s="1"/>
  <c r="PG5" i="4" s="1"/>
  <c r="OW5" i="4"/>
  <c r="OU5" i="4"/>
  <c r="OS5" i="4"/>
  <c r="OM5" i="4"/>
  <c r="OI5" i="4"/>
  <c r="NY5" i="4"/>
  <c r="NO5" i="4"/>
  <c r="NQ5" i="4" s="1"/>
  <c r="NS5" i="4" s="1"/>
  <c r="NI5" i="4"/>
  <c r="NG5" i="4"/>
  <c r="NE5" i="4"/>
  <c r="MU5" i="4"/>
  <c r="MO5" i="4"/>
  <c r="MK5" i="4"/>
  <c r="ME5" i="4"/>
  <c r="MA5" i="4"/>
  <c r="MC5" i="4" s="1"/>
  <c r="LS5" i="4"/>
  <c r="LU5" i="4" s="1"/>
  <c r="LQ5" i="4"/>
  <c r="LI5" i="4"/>
  <c r="LK5" i="4" s="1"/>
  <c r="LG5" i="4"/>
  <c r="KW5" i="4"/>
  <c r="KY5" i="4" s="1"/>
  <c r="LA5" i="4" s="1"/>
  <c r="KM5" i="4"/>
  <c r="KC5" i="4"/>
  <c r="KO5" i="4" s="1"/>
  <c r="KQ5" i="4" s="1"/>
  <c r="JS5" i="4"/>
  <c r="JU5" i="4" s="1"/>
  <c r="JW5" i="4" s="1"/>
  <c r="JK5" i="4"/>
  <c r="JM5" i="4" s="1"/>
  <c r="JI5" i="4"/>
  <c r="IY5" i="4"/>
  <c r="IS5" i="4"/>
  <c r="IO5" i="4"/>
  <c r="IG5" i="4"/>
  <c r="II5" i="4" s="1"/>
  <c r="IE5" i="4"/>
  <c r="HY5" i="4"/>
  <c r="HW5" i="4"/>
  <c r="HU5" i="4"/>
  <c r="HO5" i="4"/>
  <c r="HK5" i="4"/>
  <c r="HE5" i="4"/>
  <c r="HA5" i="4"/>
  <c r="GQ5" i="4"/>
  <c r="GS5" i="4" s="1"/>
  <c r="GU5" i="4" s="1"/>
  <c r="GG5" i="4"/>
  <c r="FW5" i="4"/>
  <c r="FY5" i="4" s="1"/>
  <c r="GA5" i="4" s="1"/>
  <c r="FM5" i="4"/>
  <c r="FO5" i="4" s="1"/>
  <c r="FQ5" i="4" s="1"/>
  <c r="FE5" i="4"/>
  <c r="FG5" i="4" s="1"/>
  <c r="FC5" i="4"/>
  <c r="EW5" i="4"/>
  <c r="ES5" i="4"/>
  <c r="EI5" i="4"/>
  <c r="EK5" i="4" s="1"/>
  <c r="EM5" i="4" s="1"/>
  <c r="EA5" i="4"/>
  <c r="EC5" i="4" s="1"/>
  <c r="DY5" i="4"/>
  <c r="DS5" i="4"/>
  <c r="DO5" i="4"/>
  <c r="DE5" i="4"/>
  <c r="CU5" i="4"/>
  <c r="CK5" i="4"/>
  <c r="CM5" i="4" s="1"/>
  <c r="CO5" i="4" s="1"/>
  <c r="CE5" i="4"/>
  <c r="CA5" i="4"/>
  <c r="BQ5" i="4"/>
  <c r="BK5" i="4"/>
  <c r="BG5" i="4"/>
  <c r="AW5" i="4"/>
  <c r="AY5" i="4" s="1"/>
  <c r="BA5" i="4" s="1"/>
  <c r="AQ5" i="4"/>
  <c r="AO5" i="4"/>
  <c r="AM5" i="4"/>
  <c r="AC5" i="4"/>
  <c r="U5" i="4"/>
  <c r="W5" i="4" s="1"/>
  <c r="S5" i="4"/>
  <c r="AE5" i="4" s="1"/>
  <c r="AG5" i="4" s="1"/>
  <c r="M5" i="4"/>
  <c r="I5" i="4"/>
  <c r="APA4" i="4"/>
  <c r="AOW4" i="4"/>
  <c r="AOQ4" i="4"/>
  <c r="AOM4" i="4"/>
  <c r="AOO4" i="4" s="1"/>
  <c r="AOG4" i="4"/>
  <c r="AOC4" i="4"/>
  <c r="ANU4" i="4"/>
  <c r="ANW4" i="4" s="1"/>
  <c r="ANS4" i="4"/>
  <c r="AOE4" i="4" s="1"/>
  <c r="ANM4" i="4"/>
  <c r="ANK4" i="4"/>
  <c r="ANI4" i="4"/>
  <c r="ANC4" i="4"/>
  <c r="ANA4" i="4"/>
  <c r="AMY4" i="4"/>
  <c r="AMQ4" i="4"/>
  <c r="AMS4" i="4" s="1"/>
  <c r="AMO4" i="4"/>
  <c r="AMI4" i="4"/>
  <c r="AME4" i="4"/>
  <c r="ALU4" i="4"/>
  <c r="ALW4" i="4" s="1"/>
  <c r="ALY4" i="4" s="1"/>
  <c r="ALO4" i="4"/>
  <c r="ALK4" i="4"/>
  <c r="ALM4" i="4" s="1"/>
  <c r="ALE4" i="4"/>
  <c r="ALA4" i="4"/>
  <c r="ALC4" i="4" s="1"/>
  <c r="AKU4" i="4"/>
  <c r="AKQ4" i="4"/>
  <c r="AKG4" i="4"/>
  <c r="AJW4" i="4"/>
  <c r="AJM4" i="4"/>
  <c r="AJO4" i="4" s="1"/>
  <c r="AJQ4" i="4" s="1"/>
  <c r="AJC4" i="4"/>
  <c r="AJE4" i="4" s="1"/>
  <c r="AJG4" i="4" s="1"/>
  <c r="AIS4" i="4"/>
  <c r="AIM4" i="4"/>
  <c r="AIK4" i="4"/>
  <c r="AII4" i="4"/>
  <c r="AIU4" i="4" s="1"/>
  <c r="AIW4" i="4" s="1"/>
  <c r="AIC4" i="4"/>
  <c r="AHY4" i="4"/>
  <c r="AHS4" i="4"/>
  <c r="AHO4" i="4"/>
  <c r="AHQ4" i="4" s="1"/>
  <c r="AHI4" i="4"/>
  <c r="AHG4" i="4"/>
  <c r="AHE4" i="4"/>
  <c r="AGY4" i="4"/>
  <c r="AGU4" i="4"/>
  <c r="AGK4" i="4"/>
  <c r="AGM4" i="4" s="1"/>
  <c r="AGO4" i="4" s="1"/>
  <c r="AGE4" i="4"/>
  <c r="AGC4" i="4"/>
  <c r="AGA4" i="4"/>
  <c r="AFQ4" i="4"/>
  <c r="AFK4" i="4"/>
  <c r="AFG4" i="4"/>
  <c r="AFI4" i="4" s="1"/>
  <c r="AFA4" i="4"/>
  <c r="AEW4" i="4"/>
  <c r="AEM4" i="4"/>
  <c r="AEG4" i="4"/>
  <c r="AEC4" i="4"/>
  <c r="AEE4" i="4" s="1"/>
  <c r="ADS4" i="4"/>
  <c r="ADU4" i="4" s="1"/>
  <c r="ADW4" i="4" s="1"/>
  <c r="ADM4" i="4"/>
  <c r="ADI4" i="4"/>
  <c r="ADK4" i="4" s="1"/>
  <c r="ADA4" i="4"/>
  <c r="ADC4" i="4" s="1"/>
  <c r="ACY4" i="4"/>
  <c r="ACS4" i="4"/>
  <c r="ACO4" i="4"/>
  <c r="ACI4" i="4"/>
  <c r="ACE4" i="4"/>
  <c r="ACG4" i="4" s="1"/>
  <c r="ABY4" i="4"/>
  <c r="ABU4" i="4"/>
  <c r="ABK4" i="4"/>
  <c r="ABM4" i="4" s="1"/>
  <c r="ABO4" i="4" s="1"/>
  <c r="ABE4" i="4"/>
  <c r="ABA4" i="4"/>
  <c r="AAU4" i="4"/>
  <c r="AAQ4" i="4"/>
  <c r="AAG4" i="4"/>
  <c r="ZW4" i="4"/>
  <c r="ZQ4" i="4"/>
  <c r="ZM4" i="4"/>
  <c r="ZO4" i="4" s="1"/>
  <c r="ZC4" i="4"/>
  <c r="YS4" i="4"/>
  <c r="YM4" i="4"/>
  <c r="YI4" i="4"/>
  <c r="XY4" i="4"/>
  <c r="YK4" i="4" s="1"/>
  <c r="XS4" i="4"/>
  <c r="XQ4" i="4"/>
  <c r="XO4" i="4"/>
  <c r="XI4" i="4"/>
  <c r="XE4" i="4"/>
  <c r="WU4" i="4"/>
  <c r="WW4" i="4" s="1"/>
  <c r="WY4" i="4" s="1"/>
  <c r="WO4" i="4"/>
  <c r="WM4" i="4"/>
  <c r="WK4" i="4"/>
  <c r="WC4" i="4"/>
  <c r="WE4" i="4" s="1"/>
  <c r="WA4" i="4"/>
  <c r="VS4" i="4"/>
  <c r="VU4" i="4" s="1"/>
  <c r="VQ4" i="4"/>
  <c r="VK4" i="4"/>
  <c r="VG4" i="4"/>
  <c r="VA4" i="4"/>
  <c r="UW4" i="4"/>
  <c r="UY4" i="4" s="1"/>
  <c r="UM4" i="4"/>
  <c r="UO4" i="4" s="1"/>
  <c r="UQ4" i="4" s="1"/>
  <c r="UC4" i="4"/>
  <c r="UE4" i="4" s="1"/>
  <c r="UG4" i="4" s="1"/>
  <c r="TW4" i="4"/>
  <c r="TS4" i="4"/>
  <c r="TU4" i="4" s="1"/>
  <c r="TM4" i="4"/>
  <c r="TI4" i="4"/>
  <c r="SY4" i="4"/>
  <c r="TA4" i="4" s="1"/>
  <c r="TC4" i="4" s="1"/>
  <c r="SO4" i="4"/>
  <c r="SQ4" i="4" s="1"/>
  <c r="SS4" i="4" s="1"/>
  <c r="SI4" i="4"/>
  <c r="SE4" i="4"/>
  <c r="SG4" i="4" s="1"/>
  <c r="RU4" i="4"/>
  <c r="RW4" i="4" s="1"/>
  <c r="RY4" i="4" s="1"/>
  <c r="RO4" i="4"/>
  <c r="RK4" i="4"/>
  <c r="RE4" i="4"/>
  <c r="RA4" i="4"/>
  <c r="RC4" i="4" s="1"/>
  <c r="QU4" i="4"/>
  <c r="QQ4" i="4"/>
  <c r="QS4" i="4" s="1"/>
  <c r="QI4" i="4"/>
  <c r="QK4" i="4" s="1"/>
  <c r="QG4" i="4"/>
  <c r="QA4" i="4"/>
  <c r="PY4" i="4"/>
  <c r="PW4" i="4"/>
  <c r="PQ4" i="4"/>
  <c r="PM4" i="4"/>
  <c r="PC4" i="4"/>
  <c r="PE4" i="4" s="1"/>
  <c r="PG4" i="4" s="1"/>
  <c r="OW4" i="4"/>
  <c r="OS4" i="4"/>
  <c r="OI4" i="4"/>
  <c r="OK4" i="4" s="1"/>
  <c r="OM4" i="4" s="1"/>
  <c r="NY4" i="4"/>
  <c r="NO4" i="4"/>
  <c r="NQ4" i="4" s="1"/>
  <c r="NS4" i="4" s="1"/>
  <c r="NG4" i="4"/>
  <c r="NI4" i="4" s="1"/>
  <c r="NE4" i="4"/>
  <c r="MU4" i="4"/>
  <c r="MK4" i="4"/>
  <c r="MM4" i="4" s="1"/>
  <c r="MO4" i="4" s="1"/>
  <c r="ME4" i="4"/>
  <c r="MA4" i="4"/>
  <c r="LQ4" i="4"/>
  <c r="MC4" i="4" s="1"/>
  <c r="LK4" i="4"/>
  <c r="LG4" i="4"/>
  <c r="LI4" i="4" s="1"/>
  <c r="KW4" i="4"/>
  <c r="KO4" i="4"/>
  <c r="KQ4" i="4" s="1"/>
  <c r="KM4" i="4"/>
  <c r="KY4" i="4" s="1"/>
  <c r="LA4" i="4" s="1"/>
  <c r="KG4" i="4"/>
  <c r="KC4" i="4"/>
  <c r="JS4" i="4"/>
  <c r="JU4" i="4" s="1"/>
  <c r="JW4" i="4" s="1"/>
  <c r="JI4" i="4"/>
  <c r="IY4" i="4"/>
  <c r="IO4" i="4"/>
  <c r="IQ4" i="4" s="1"/>
  <c r="IS4" i="4" s="1"/>
  <c r="IE4" i="4"/>
  <c r="IG4" i="4" s="1"/>
  <c r="II4" i="4" s="1"/>
  <c r="HW4" i="4"/>
  <c r="HY4" i="4" s="1"/>
  <c r="HU4" i="4"/>
  <c r="HK4" i="4"/>
  <c r="HA4" i="4"/>
  <c r="GU4" i="4"/>
  <c r="GQ4" i="4"/>
  <c r="GS4" i="4" s="1"/>
  <c r="GG4" i="4"/>
  <c r="GI4" i="4" s="1"/>
  <c r="GK4" i="4" s="1"/>
  <c r="GA4" i="4"/>
  <c r="FW4" i="4"/>
  <c r="FY4" i="4" s="1"/>
  <c r="FQ4" i="4"/>
  <c r="FM4" i="4"/>
  <c r="FC4" i="4"/>
  <c r="FO4" i="4" s="1"/>
  <c r="EW4" i="4"/>
  <c r="ES4" i="4"/>
  <c r="EU4" i="4" s="1"/>
  <c r="EM4" i="4"/>
  <c r="EI4" i="4"/>
  <c r="EK4" i="4" s="1"/>
  <c r="EA4" i="4"/>
  <c r="EC4" i="4" s="1"/>
  <c r="DY4" i="4"/>
  <c r="DO4" i="4"/>
  <c r="DE4" i="4"/>
  <c r="DG4" i="4" s="1"/>
  <c r="DI4" i="4" s="1"/>
  <c r="CY4" i="4"/>
  <c r="CW4" i="4"/>
  <c r="CU4" i="4"/>
  <c r="CO4" i="4"/>
  <c r="CK4" i="4"/>
  <c r="CE4" i="4"/>
  <c r="CA4" i="4"/>
  <c r="CC4" i="4" s="1"/>
  <c r="BU4" i="4"/>
  <c r="BQ4" i="4"/>
  <c r="BK4" i="4"/>
  <c r="BI4" i="4"/>
  <c r="BG4" i="4"/>
  <c r="AW4" i="4"/>
  <c r="AM4" i="4"/>
  <c r="AO4" i="4" s="1"/>
  <c r="AQ4" i="4" s="1"/>
  <c r="AC4" i="4"/>
  <c r="S4" i="4"/>
  <c r="M4" i="4"/>
  <c r="I4" i="4"/>
  <c r="APA3" i="4"/>
  <c r="AOY3" i="4"/>
  <c r="AOW3" i="4"/>
  <c r="AOM3" i="4"/>
  <c r="AOO3" i="4" s="1"/>
  <c r="AOQ3" i="4" s="1"/>
  <c r="AOC3" i="4"/>
  <c r="ANS3" i="4"/>
  <c r="ANM3" i="4"/>
  <c r="ANI3" i="4"/>
  <c r="ANK3" i="4" s="1"/>
  <c r="ANC3" i="4"/>
  <c r="AMY3" i="4"/>
  <c r="ANA3" i="4" s="1"/>
  <c r="AMQ3" i="4"/>
  <c r="AMS3" i="4" s="1"/>
  <c r="AMO3" i="4"/>
  <c r="AMI3" i="4"/>
  <c r="AME3" i="4"/>
  <c r="AMG3" i="4" s="1"/>
  <c r="ALU3" i="4"/>
  <c r="ALK3" i="4"/>
  <c r="ALM3" i="4" s="1"/>
  <c r="ALO3" i="4" s="1"/>
  <c r="ALA3" i="4"/>
  <c r="AKQ3" i="4"/>
  <c r="AKG3" i="4"/>
  <c r="AKI3" i="4" s="1"/>
  <c r="AKK3" i="4" s="1"/>
  <c r="AJW3" i="4"/>
  <c r="AJY3" i="4" s="1"/>
  <c r="AKA3" i="4" s="1"/>
  <c r="AJO3" i="4"/>
  <c r="AJQ3" i="4" s="1"/>
  <c r="AJM3" i="4"/>
  <c r="AJC3" i="4"/>
  <c r="AJE3" i="4" s="1"/>
  <c r="AJG3" i="4" s="1"/>
  <c r="AIU3" i="4"/>
  <c r="AIW3" i="4" s="1"/>
  <c r="AIS3" i="4"/>
  <c r="AII3" i="4"/>
  <c r="AHY3" i="4"/>
  <c r="AIK3" i="4" s="1"/>
  <c r="AIM3" i="4" s="1"/>
  <c r="AHQ3" i="4"/>
  <c r="AHS3" i="4" s="1"/>
  <c r="AHO3" i="4"/>
  <c r="AHE3" i="4"/>
  <c r="AHG3" i="4" s="1"/>
  <c r="AHI3" i="4" s="1"/>
  <c r="AGY3" i="4"/>
  <c r="AGU3" i="4"/>
  <c r="AGW3" i="4" s="1"/>
  <c r="AGK3" i="4"/>
  <c r="AGA3" i="4"/>
  <c r="AGM3" i="4" s="1"/>
  <c r="AGO3" i="4" s="1"/>
  <c r="AFQ3" i="4"/>
  <c r="AFS3" i="4" s="1"/>
  <c r="AFU3" i="4" s="1"/>
  <c r="AFG3" i="4"/>
  <c r="AFI3" i="4" s="1"/>
  <c r="AFK3" i="4" s="1"/>
  <c r="AEY3" i="4"/>
  <c r="AFA3" i="4" s="1"/>
  <c r="AEW3" i="4"/>
  <c r="AEM3" i="4"/>
  <c r="AEG3" i="4"/>
  <c r="AEC3" i="4"/>
  <c r="AEO3" i="4" s="1"/>
  <c r="AEQ3" i="4" s="1"/>
  <c r="ADS3" i="4"/>
  <c r="ADU3" i="4" s="1"/>
  <c r="ADW3" i="4" s="1"/>
  <c r="ADI3" i="4"/>
  <c r="ACY3" i="4"/>
  <c r="ADK3" i="4" s="1"/>
  <c r="ADM3" i="4" s="1"/>
  <c r="ACO3" i="4"/>
  <c r="ACE3" i="4"/>
  <c r="ACG3" i="4" s="1"/>
  <c r="ACI3" i="4" s="1"/>
  <c r="ABW3" i="4"/>
  <c r="ABY3" i="4" s="1"/>
  <c r="ABU3" i="4"/>
  <c r="ABK3" i="4"/>
  <c r="ABA3" i="4"/>
  <c r="ABC3" i="4" s="1"/>
  <c r="ABE3" i="4" s="1"/>
  <c r="AAU3" i="4"/>
  <c r="AAQ3" i="4"/>
  <c r="AAS3" i="4" s="1"/>
  <c r="AAI3" i="4"/>
  <c r="AAK3" i="4" s="1"/>
  <c r="AAG3" i="4"/>
  <c r="ZY3" i="4"/>
  <c r="AAA3" i="4" s="1"/>
  <c r="ZW3" i="4"/>
  <c r="ZM3" i="4"/>
  <c r="ZC3" i="4"/>
  <c r="ZE3" i="4" s="1"/>
  <c r="ZG3" i="4" s="1"/>
  <c r="YS3" i="4"/>
  <c r="YU3" i="4" s="1"/>
  <c r="YW3" i="4" s="1"/>
  <c r="YM3" i="4"/>
  <c r="YK3" i="4"/>
  <c r="YI3" i="4"/>
  <c r="XY3" i="4"/>
  <c r="XO3" i="4"/>
  <c r="YA3" i="4" s="1"/>
  <c r="YC3" i="4" s="1"/>
  <c r="XE3" i="4"/>
  <c r="WU3" i="4"/>
  <c r="WK3" i="4"/>
  <c r="WM3" i="4" s="1"/>
  <c r="WO3" i="4" s="1"/>
  <c r="WA3" i="4"/>
  <c r="VQ3" i="4"/>
  <c r="VG3" i="4"/>
  <c r="VA3" i="4"/>
  <c r="UW3" i="4"/>
  <c r="VI3" i="4" s="1"/>
  <c r="VK3" i="4" s="1"/>
  <c r="UM3" i="4"/>
  <c r="UO3" i="4" s="1"/>
  <c r="UQ3" i="4" s="1"/>
  <c r="UC3" i="4"/>
  <c r="TS3" i="4"/>
  <c r="TK3" i="4"/>
  <c r="TM3" i="4" s="1"/>
  <c r="TI3" i="4"/>
  <c r="SY3" i="4"/>
  <c r="TA3" i="4" s="1"/>
  <c r="TC3" i="4" s="1"/>
  <c r="SS3" i="4"/>
  <c r="SQ3" i="4"/>
  <c r="SO3" i="4"/>
  <c r="SE3" i="4"/>
  <c r="RU3" i="4"/>
  <c r="RW3" i="4" s="1"/>
  <c r="RY3" i="4" s="1"/>
  <c r="RM3" i="4"/>
  <c r="RO3" i="4" s="1"/>
  <c r="RK3" i="4"/>
  <c r="RC3" i="4"/>
  <c r="RE3" i="4" s="1"/>
  <c r="RA3" i="4"/>
  <c r="QU3" i="4"/>
  <c r="QQ3" i="4"/>
  <c r="QS3" i="4" s="1"/>
  <c r="QG3" i="4"/>
  <c r="PW3" i="4"/>
  <c r="PY3" i="4" s="1"/>
  <c r="QA3" i="4" s="1"/>
  <c r="PM3" i="4"/>
  <c r="PC3" i="4"/>
  <c r="PO3" i="4" s="1"/>
  <c r="PQ3" i="4" s="1"/>
  <c r="OU3" i="4"/>
  <c r="OW3" i="4" s="1"/>
  <c r="OS3" i="4"/>
  <c r="OI3" i="4"/>
  <c r="NY3" i="4"/>
  <c r="OA3" i="4" s="1"/>
  <c r="OC3" i="4" s="1"/>
  <c r="NQ3" i="4"/>
  <c r="NS3" i="4" s="1"/>
  <c r="NO3" i="4"/>
  <c r="NE3" i="4"/>
  <c r="MU3" i="4"/>
  <c r="NG3" i="4" s="1"/>
  <c r="NI3" i="4" s="1"/>
  <c r="MK3" i="4"/>
  <c r="MM3" i="4" s="1"/>
  <c r="MO3" i="4" s="1"/>
  <c r="MA3" i="4"/>
  <c r="LQ3" i="4"/>
  <c r="LG3" i="4"/>
  <c r="KW3" i="4"/>
  <c r="KY3" i="4" s="1"/>
  <c r="LA3" i="4" s="1"/>
  <c r="KM3" i="4"/>
  <c r="KO3" i="4" s="1"/>
  <c r="KQ3" i="4" s="1"/>
  <c r="KE3" i="4"/>
  <c r="KG3" i="4" s="1"/>
  <c r="KC3" i="4"/>
  <c r="JS3" i="4"/>
  <c r="JI3" i="4"/>
  <c r="JK3" i="4" s="1"/>
  <c r="JM3" i="4" s="1"/>
  <c r="JA3" i="4"/>
  <c r="JC3" i="4" s="1"/>
  <c r="IY3" i="4"/>
  <c r="IO3" i="4"/>
  <c r="IE3" i="4"/>
  <c r="IG3" i="4" s="1"/>
  <c r="II3" i="4" s="1"/>
  <c r="HU3" i="4"/>
  <c r="HW3" i="4" s="1"/>
  <c r="HY3" i="4" s="1"/>
  <c r="HM3" i="4"/>
  <c r="HO3" i="4" s="1"/>
  <c r="HK3" i="4"/>
  <c r="HA3" i="4"/>
  <c r="GU3" i="4"/>
  <c r="GQ3" i="4"/>
  <c r="GG3" i="4"/>
  <c r="FW3" i="4"/>
  <c r="FY3" i="4" s="1"/>
  <c r="GA3" i="4" s="1"/>
  <c r="FM3" i="4"/>
  <c r="FO3" i="4" s="1"/>
  <c r="FQ3" i="4" s="1"/>
  <c r="FC3" i="4"/>
  <c r="EW3" i="4"/>
  <c r="ES3" i="4"/>
  <c r="EU3" i="4" s="1"/>
  <c r="EI3" i="4"/>
  <c r="EA3" i="4"/>
  <c r="EC3" i="4" s="1"/>
  <c r="DY3" i="4"/>
  <c r="EK3" i="4" s="1"/>
  <c r="EM3" i="4" s="1"/>
  <c r="DO3" i="4"/>
  <c r="DQ3" i="4" s="1"/>
  <c r="DS3" i="4" s="1"/>
  <c r="DE3" i="4"/>
  <c r="CU3" i="4"/>
  <c r="CW3" i="4" s="1"/>
  <c r="CY3" i="4" s="1"/>
  <c r="CK3" i="4"/>
  <c r="CA3" i="4"/>
  <c r="CC3" i="4" s="1"/>
  <c r="CE3" i="4" s="1"/>
  <c r="BS3" i="4"/>
  <c r="BU3" i="4" s="1"/>
  <c r="BQ3" i="4"/>
  <c r="BG3" i="4"/>
  <c r="BI3" i="4" s="1"/>
  <c r="BK3" i="4" s="1"/>
  <c r="AW3" i="4"/>
  <c r="AM3" i="4"/>
  <c r="AY3" i="4" s="1"/>
  <c r="BA3" i="4" s="1"/>
  <c r="AC3" i="4"/>
  <c r="AE3" i="4" s="1"/>
  <c r="AG3" i="4" s="1"/>
  <c r="S3" i="4"/>
  <c r="M3" i="4"/>
  <c r="I3" i="4"/>
  <c r="B1" i="4"/>
  <c r="EU10" i="4" l="1"/>
  <c r="EW10" i="4" s="1"/>
  <c r="FE10" i="4"/>
  <c r="FG10" i="4" s="1"/>
  <c r="AOO7" i="4"/>
  <c r="AOE7" i="4"/>
  <c r="AKS3" i="4"/>
  <c r="AKU3" i="4" s="1"/>
  <c r="YA12" i="4"/>
  <c r="YC12" i="4" s="1"/>
  <c r="YK12" i="4"/>
  <c r="YM12" i="4" s="1"/>
  <c r="PE3" i="4"/>
  <c r="PG3" i="4" s="1"/>
  <c r="AKI10" i="4"/>
  <c r="AKK10" i="4" s="1"/>
  <c r="AEO5" i="4"/>
  <c r="AEE5" i="4"/>
  <c r="CW7" i="4"/>
  <c r="CY7" i="4" s="1"/>
  <c r="CM7" i="4"/>
  <c r="ABW4" i="4"/>
  <c r="OA4" i="4"/>
  <c r="OC4" i="4" s="1"/>
  <c r="TU3" i="4"/>
  <c r="TW3" i="4" s="1"/>
  <c r="UE3" i="4"/>
  <c r="UG3" i="4" s="1"/>
  <c r="AFS6" i="4"/>
  <c r="AFI6" i="4"/>
  <c r="AFK6" i="4" s="1"/>
  <c r="FO12" i="4"/>
  <c r="FQ12" i="4" s="1"/>
  <c r="FY12" i="4"/>
  <c r="GA12" i="4" s="1"/>
  <c r="MW3" i="4"/>
  <c r="MY3" i="4" s="1"/>
  <c r="AIA6" i="4"/>
  <c r="AIC6" i="4" s="1"/>
  <c r="ABW5" i="4"/>
  <c r="ABY5" i="4" s="1"/>
  <c r="ZE5" i="4"/>
  <c r="ZG5" i="4" s="1"/>
  <c r="YU5" i="4"/>
  <c r="YW5" i="4" s="1"/>
  <c r="GI3" i="4"/>
  <c r="GK3" i="4" s="1"/>
  <c r="PE10" i="4"/>
  <c r="PG10" i="4" s="1"/>
  <c r="OU10" i="4"/>
  <c r="OW10" i="4" s="1"/>
  <c r="JA4" i="4"/>
  <c r="JC4" i="4" s="1"/>
  <c r="JK4" i="4"/>
  <c r="JM4" i="4" s="1"/>
  <c r="ADA3" i="4"/>
  <c r="ADC3" i="4" s="1"/>
  <c r="DQ5" i="4"/>
  <c r="DG5" i="4"/>
  <c r="DI5" i="4" s="1"/>
  <c r="AKS6" i="4"/>
  <c r="ALC6" i="4"/>
  <c r="ALE6" i="4" s="1"/>
  <c r="AIA3" i="4"/>
  <c r="AIC3" i="4" s="1"/>
  <c r="U3" i="4"/>
  <c r="W3" i="4" s="1"/>
  <c r="U4" i="4"/>
  <c r="W4" i="4" s="1"/>
  <c r="AE4" i="4"/>
  <c r="AG4" i="4" s="1"/>
  <c r="JK12" i="4"/>
  <c r="JM12" i="4" s="1"/>
  <c r="UO6" i="4"/>
  <c r="FO7" i="4"/>
  <c r="UO12" i="4"/>
  <c r="UQ12" i="4" s="1"/>
  <c r="WW11" i="4"/>
  <c r="WY11" i="4" s="1"/>
  <c r="ALC11" i="4"/>
  <c r="ALE11" i="4" s="1"/>
  <c r="IQ3" i="4"/>
  <c r="IS3" i="4" s="1"/>
  <c r="WW3" i="4"/>
  <c r="WY3" i="4" s="1"/>
  <c r="ALC3" i="4"/>
  <c r="ALE3" i="4" s="1"/>
  <c r="PY10" i="4"/>
  <c r="QA10" i="4" s="1"/>
  <c r="CM3" i="4"/>
  <c r="CO3" i="4" s="1"/>
  <c r="GS3" i="4"/>
  <c r="LI3" i="4"/>
  <c r="LK3" i="4" s="1"/>
  <c r="AGC3" i="4"/>
  <c r="AGE3" i="4" s="1"/>
  <c r="ANU3" i="4"/>
  <c r="ANW3" i="4" s="1"/>
  <c r="HC4" i="4"/>
  <c r="HE4" i="4" s="1"/>
  <c r="OU4" i="4"/>
  <c r="VI4" i="4"/>
  <c r="AEO4" i="4"/>
  <c r="AEQ4" i="4" s="1"/>
  <c r="HM5" i="4"/>
  <c r="HC5" i="4"/>
  <c r="SG5" i="4"/>
  <c r="RW5" i="4"/>
  <c r="AHQ5" i="4"/>
  <c r="AHS5" i="4" s="1"/>
  <c r="YU6" i="4"/>
  <c r="YW6" i="4" s="1"/>
  <c r="YK6" i="4"/>
  <c r="ADK6" i="4"/>
  <c r="AOE6" i="4"/>
  <c r="QI10" i="4"/>
  <c r="QK10" i="4" s="1"/>
  <c r="AIK11" i="4"/>
  <c r="AIM11" i="4" s="1"/>
  <c r="VI12" i="4"/>
  <c r="VK12" i="4" s="1"/>
  <c r="IQ10" i="4"/>
  <c r="CC11" i="4"/>
  <c r="CE11" i="4" s="1"/>
  <c r="CM4" i="4"/>
  <c r="AMG4" i="4"/>
  <c r="SG3" i="4"/>
  <c r="SI3" i="4" s="1"/>
  <c r="ADK7" i="4"/>
  <c r="TU10" i="4"/>
  <c r="TW10" i="4" s="1"/>
  <c r="LS3" i="4"/>
  <c r="LU3" i="4" s="1"/>
  <c r="AEE3" i="4"/>
  <c r="FE4" i="4"/>
  <c r="FG4" i="4" s="1"/>
  <c r="QI3" i="4"/>
  <c r="QK3" i="4" s="1"/>
  <c r="KE4" i="4"/>
  <c r="AAS4" i="4"/>
  <c r="KE5" i="4"/>
  <c r="KG5" i="4" s="1"/>
  <c r="WW5" i="4"/>
  <c r="WY5" i="4" s="1"/>
  <c r="TK6" i="4"/>
  <c r="TA6" i="4"/>
  <c r="TC6" i="4" s="1"/>
  <c r="EA7" i="4"/>
  <c r="ABC10" i="4"/>
  <c r="ABE10" i="4" s="1"/>
  <c r="OK11" i="4"/>
  <c r="OM11" i="4" s="1"/>
  <c r="OA11" i="4"/>
  <c r="OC11" i="4" s="1"/>
  <c r="ABW11" i="4"/>
  <c r="ABY11" i="4" s="1"/>
  <c r="ANA11" i="4"/>
  <c r="ANC11" i="4" s="1"/>
  <c r="SG12" i="4"/>
  <c r="SI12" i="4" s="1"/>
  <c r="FE3" i="4"/>
  <c r="FG3" i="4" s="1"/>
  <c r="ALW3" i="4"/>
  <c r="ALY3" i="4" s="1"/>
  <c r="MW4" i="4"/>
  <c r="MY4" i="4" s="1"/>
  <c r="RM4" i="4"/>
  <c r="EU5" i="4"/>
  <c r="XQ5" i="4"/>
  <c r="XG5" i="4"/>
  <c r="XI5" i="4" s="1"/>
  <c r="AFS5" i="4"/>
  <c r="IG6" i="4"/>
  <c r="YK10" i="4"/>
  <c r="YM10" i="4" s="1"/>
  <c r="LS4" i="4"/>
  <c r="LU4" i="4" s="1"/>
  <c r="AMQ5" i="4"/>
  <c r="HC6" i="4"/>
  <c r="HE6" i="4" s="1"/>
  <c r="CC10" i="4"/>
  <c r="CE10" i="4" s="1"/>
  <c r="BS10" i="4"/>
  <c r="BU10" i="4" s="1"/>
  <c r="ZO3" i="4"/>
  <c r="ZQ3" i="4" s="1"/>
  <c r="YA11" i="4"/>
  <c r="YC11" i="4" s="1"/>
  <c r="YK11" i="4"/>
  <c r="YM11" i="4" s="1"/>
  <c r="HM4" i="4"/>
  <c r="HO4" i="4" s="1"/>
  <c r="TK4" i="4"/>
  <c r="AJY4" i="4"/>
  <c r="AKA4" i="4" s="1"/>
  <c r="ABC7" i="4"/>
  <c r="AKI7" i="4"/>
  <c r="AKK7" i="4" s="1"/>
  <c r="AO3" i="4"/>
  <c r="AQ3" i="4" s="1"/>
  <c r="DG3" i="4"/>
  <c r="DI3" i="4" s="1"/>
  <c r="JU3" i="4"/>
  <c r="JW3" i="4" s="1"/>
  <c r="MC3" i="4"/>
  <c r="ME3" i="4" s="1"/>
  <c r="OK3" i="4"/>
  <c r="OM3" i="4" s="1"/>
  <c r="PO4" i="4"/>
  <c r="AIA4" i="4"/>
  <c r="UY5" i="4"/>
  <c r="VA5" i="4" s="1"/>
  <c r="OA6" i="4"/>
  <c r="OC6" i="4" s="1"/>
  <c r="NQ6" i="4"/>
  <c r="WW7" i="4"/>
  <c r="WY7" i="4" s="1"/>
  <c r="WM7" i="4"/>
  <c r="EK12" i="4"/>
  <c r="EM12" i="4" s="1"/>
  <c r="AJY12" i="4"/>
  <c r="AKA12" i="4" s="1"/>
  <c r="AKI12" i="4"/>
  <c r="AKK12" i="4" s="1"/>
  <c r="ZY4" i="4"/>
  <c r="AAA4" i="4" s="1"/>
  <c r="XG3" i="4"/>
  <c r="XI3" i="4" s="1"/>
  <c r="AAI4" i="4"/>
  <c r="AAK4" i="4" s="1"/>
  <c r="AOE3" i="4"/>
  <c r="AOG3" i="4" s="1"/>
  <c r="PO5" i="4"/>
  <c r="JK7" i="4"/>
  <c r="JM7" i="4" s="1"/>
  <c r="HC3" i="4"/>
  <c r="HE3" i="4" s="1"/>
  <c r="XQ3" i="4"/>
  <c r="XS3" i="4" s="1"/>
  <c r="YA4" i="4"/>
  <c r="YC4" i="4" s="1"/>
  <c r="ACQ3" i="4"/>
  <c r="ACS3" i="4" s="1"/>
  <c r="ABC4" i="4"/>
  <c r="AFS4" i="4"/>
  <c r="AFU4" i="4" s="1"/>
  <c r="AO11" i="4"/>
  <c r="AQ11" i="4" s="1"/>
  <c r="AY11" i="4"/>
  <c r="BA11" i="4" s="1"/>
  <c r="XG4" i="4"/>
  <c r="UY3" i="4"/>
  <c r="AY4" i="4"/>
  <c r="BA4" i="4" s="1"/>
  <c r="ACQ4" i="4"/>
  <c r="AEE6" i="4"/>
  <c r="AEG6" i="4" s="1"/>
  <c r="ADU6" i="4"/>
  <c r="ADW6" i="4" s="1"/>
  <c r="VS3" i="4"/>
  <c r="VU3" i="4" s="1"/>
  <c r="BS4" i="4"/>
  <c r="YU4" i="4"/>
  <c r="YW4" i="4" s="1"/>
  <c r="CW5" i="4"/>
  <c r="CY5" i="4" s="1"/>
  <c r="OK5" i="4"/>
  <c r="OA5" i="4"/>
  <c r="OC5" i="4" s="1"/>
  <c r="QS5" i="4"/>
  <c r="QU5" i="4" s="1"/>
  <c r="YA5" i="4"/>
  <c r="YC5" i="4" s="1"/>
  <c r="YK5" i="4"/>
  <c r="ZO6" i="4"/>
  <c r="AGM7" i="4"/>
  <c r="AGO7" i="4" s="1"/>
  <c r="ACG10" i="4"/>
  <c r="ACI10" i="4" s="1"/>
  <c r="ACQ10" i="4"/>
  <c r="ACS10" i="4" s="1"/>
  <c r="PY12" i="4"/>
  <c r="QA12" i="4" s="1"/>
  <c r="BI5" i="4"/>
  <c r="GI5" i="4"/>
  <c r="GK5" i="4" s="1"/>
  <c r="AJY5" i="4"/>
  <c r="AKA5" i="4" s="1"/>
  <c r="AJO5" i="4"/>
  <c r="AJQ5" i="4" s="1"/>
  <c r="SQ7" i="4"/>
  <c r="ABM7" i="4"/>
  <c r="EK10" i="4"/>
  <c r="EM10" i="4" s="1"/>
  <c r="EA10" i="4"/>
  <c r="EC10" i="4" s="1"/>
  <c r="AEE10" i="4"/>
  <c r="AEG10" i="4" s="1"/>
  <c r="CW11" i="4"/>
  <c r="CY11" i="4" s="1"/>
  <c r="ABW12" i="4"/>
  <c r="ABY12" i="4" s="1"/>
  <c r="DQ4" i="4"/>
  <c r="DS4" i="4" s="1"/>
  <c r="AKS4" i="4"/>
  <c r="AKI4" i="4"/>
  <c r="AKK4" i="4" s="1"/>
  <c r="AOY4" i="4"/>
  <c r="CW6" i="4"/>
  <c r="CY6" i="4" s="1"/>
  <c r="JU6" i="4"/>
  <c r="JW6" i="4" s="1"/>
  <c r="MC6" i="4"/>
  <c r="RC6" i="4"/>
  <c r="RE6" i="4" s="1"/>
  <c r="LS7" i="4"/>
  <c r="ABM10" i="4"/>
  <c r="ABO10" i="4" s="1"/>
  <c r="IQ11" i="4"/>
  <c r="IS11" i="4" s="1"/>
  <c r="XQ11" i="4"/>
  <c r="XS11" i="4" s="1"/>
  <c r="XG11" i="4"/>
  <c r="XI11" i="4" s="1"/>
  <c r="MC11" i="4"/>
  <c r="ME11" i="4" s="1"/>
  <c r="SG11" i="4"/>
  <c r="SI11" i="4" s="1"/>
  <c r="RW11" i="4"/>
  <c r="ANU10" i="4"/>
  <c r="ANW10" i="4" s="1"/>
  <c r="ANK10" i="4"/>
  <c r="ANM10" i="4" s="1"/>
  <c r="CW12" i="4"/>
  <c r="CY12" i="4" s="1"/>
  <c r="CM12" i="4"/>
  <c r="CO12" i="4" s="1"/>
  <c r="ZY12" i="4"/>
  <c r="AAA12" i="4" s="1"/>
  <c r="ALC12" i="4"/>
  <c r="ALE12" i="4" s="1"/>
  <c r="AKS10" i="4"/>
  <c r="AKU10" i="4" s="1"/>
  <c r="ABM3" i="4"/>
  <c r="ABO3" i="4" s="1"/>
  <c r="AY6" i="4"/>
  <c r="BA6" i="4" s="1"/>
  <c r="XG6" i="4"/>
  <c r="AJO6" i="4"/>
  <c r="IG7" i="4"/>
  <c r="HW7" i="4"/>
  <c r="HY7" i="4" s="1"/>
  <c r="ANA7" i="4"/>
  <c r="ANC7" i="4" s="1"/>
  <c r="FY10" i="4"/>
  <c r="GA10" i="4" s="1"/>
  <c r="FO10" i="4"/>
  <c r="FQ10" i="4" s="1"/>
  <c r="KY10" i="4"/>
  <c r="LA10" i="4" s="1"/>
  <c r="AGC12" i="4"/>
  <c r="AGE12" i="4" s="1"/>
  <c r="ALM12" i="4"/>
  <c r="ALO12" i="4" s="1"/>
  <c r="ABW6" i="4"/>
  <c r="VI11" i="4"/>
  <c r="VK11" i="4" s="1"/>
  <c r="UY11" i="4"/>
  <c r="VA11" i="4" s="1"/>
  <c r="MW5" i="4"/>
  <c r="MY5" i="4" s="1"/>
  <c r="MM5" i="4"/>
  <c r="AIK5" i="4"/>
  <c r="AIM5" i="4" s="1"/>
  <c r="AIA5" i="4"/>
  <c r="AIC5" i="4" s="1"/>
  <c r="AOY5" i="4"/>
  <c r="APA5" i="4" s="1"/>
  <c r="AGW6" i="4"/>
  <c r="AO7" i="4"/>
  <c r="AQ7" i="4" s="1"/>
  <c r="MW7" i="4"/>
  <c r="MY7" i="4" s="1"/>
  <c r="AIU7" i="4"/>
  <c r="OA10" i="4"/>
  <c r="OC10" i="4" s="1"/>
  <c r="AEE11" i="4"/>
  <c r="AEG11" i="4" s="1"/>
  <c r="LS12" i="4"/>
  <c r="LU12" i="4" s="1"/>
  <c r="WW6" i="4"/>
  <c r="WY6" i="4" s="1"/>
  <c r="WC3" i="4"/>
  <c r="WE3" i="4" s="1"/>
  <c r="ZE4" i="4"/>
  <c r="ZG4" i="4" s="1"/>
  <c r="AEY4" i="4"/>
  <c r="BI6" i="4"/>
  <c r="BK6" i="4" s="1"/>
  <c r="FY6" i="4"/>
  <c r="GA6" i="4" s="1"/>
  <c r="YA7" i="4"/>
  <c r="UO10" i="4"/>
  <c r="UQ10" i="4" s="1"/>
  <c r="UE10" i="4"/>
  <c r="UG10" i="4" s="1"/>
  <c r="AHG11" i="4"/>
  <c r="AHI11" i="4" s="1"/>
  <c r="OU12" i="4"/>
  <c r="OW12" i="4" s="1"/>
  <c r="LI10" i="4"/>
  <c r="LK10" i="4" s="1"/>
  <c r="AGM10" i="4"/>
  <c r="AGO10" i="4" s="1"/>
  <c r="HM11" i="4"/>
  <c r="HO11" i="4" s="1"/>
  <c r="HC11" i="4"/>
  <c r="HE11" i="4" s="1"/>
  <c r="AEO11" i="4"/>
  <c r="AEQ11" i="4" s="1"/>
  <c r="FE12" i="4"/>
  <c r="FG12" i="4" s="1"/>
  <c r="MC12" i="4"/>
  <c r="ME12" i="4" s="1"/>
  <c r="MM6" i="4"/>
  <c r="AOY6" i="4"/>
  <c r="AHG7" i="4"/>
  <c r="ZY10" i="4"/>
  <c r="AAA10" i="4" s="1"/>
  <c r="ZO10" i="4"/>
  <c r="ZQ10" i="4" s="1"/>
  <c r="EU11" i="4"/>
  <c r="EW11" i="4" s="1"/>
  <c r="AHG12" i="4"/>
  <c r="AHI12" i="4" s="1"/>
  <c r="AOE12" i="4"/>
  <c r="AOG12" i="4" s="1"/>
  <c r="CC5" i="4"/>
  <c r="BS5" i="4"/>
  <c r="BU5" i="4" s="1"/>
  <c r="TU5" i="4"/>
  <c r="TW5" i="4" s="1"/>
  <c r="TK5" i="4"/>
  <c r="ANU5" i="4"/>
  <c r="ANK5" i="4"/>
  <c r="ACG6" i="4"/>
  <c r="JU10" i="4"/>
  <c r="JW10" i="4" s="1"/>
  <c r="JK10" i="4"/>
  <c r="JM10" i="4" s="1"/>
  <c r="ACQ11" i="4"/>
  <c r="ACS11" i="4" s="1"/>
  <c r="KE12" i="4"/>
  <c r="KG12" i="4" s="1"/>
  <c r="AAS12" i="4"/>
  <c r="AAU12" i="4" s="1"/>
  <c r="AHQ12" i="4"/>
  <c r="AHS12" i="4" s="1"/>
  <c r="AGW4" i="4"/>
  <c r="JA5" i="4"/>
  <c r="JC5" i="4" s="1"/>
  <c r="IQ5" i="4"/>
  <c r="ADA5" i="4"/>
  <c r="ADC5" i="4" s="1"/>
  <c r="ACQ5" i="4"/>
  <c r="IQ6" i="4"/>
  <c r="IS6" i="4" s="1"/>
  <c r="ANA6" i="4"/>
  <c r="ANC6" i="4" s="1"/>
  <c r="GI7" i="4"/>
  <c r="GK7" i="4" s="1"/>
  <c r="ADU7" i="4"/>
  <c r="AO10" i="4"/>
  <c r="AQ10" i="4" s="1"/>
  <c r="AE10" i="4"/>
  <c r="AG10" i="4" s="1"/>
  <c r="QS10" i="4"/>
  <c r="QU10" i="4" s="1"/>
  <c r="ALW10" i="4"/>
  <c r="ALY10" i="4" s="1"/>
  <c r="MW11" i="4"/>
  <c r="MY11" i="4" s="1"/>
  <c r="MM11" i="4"/>
  <c r="MO11" i="4" s="1"/>
  <c r="TK11" i="4"/>
  <c r="TM11" i="4" s="1"/>
  <c r="ADA11" i="4"/>
  <c r="ADC11" i="4" s="1"/>
  <c r="AJY11" i="4"/>
  <c r="AKA11" i="4" s="1"/>
  <c r="AY12" i="4"/>
  <c r="BA12" i="4" s="1"/>
  <c r="KO12" i="4"/>
  <c r="KQ12" i="4" s="1"/>
  <c r="RM12" i="4"/>
  <c r="RO12" i="4" s="1"/>
  <c r="RC7" i="4"/>
  <c r="RE7" i="4" s="1"/>
  <c r="AEY10" i="4"/>
  <c r="AFA10" i="4" s="1"/>
  <c r="DG11" i="4"/>
  <c r="DI11" i="4" s="1"/>
  <c r="AMQ12" i="4"/>
  <c r="AMS12" i="4" s="1"/>
  <c r="AOW4" i="2"/>
  <c r="AOY4" i="2" s="1"/>
  <c r="AOW5" i="2"/>
  <c r="AOY5" i="2" s="1"/>
  <c r="AOW6" i="2"/>
  <c r="AOY6" i="2" s="1"/>
  <c r="AOW12" i="2"/>
  <c r="AOY12" i="2" s="1"/>
  <c r="APA12" i="2" s="1"/>
  <c r="AOW11" i="2"/>
  <c r="AOY11" i="2" s="1"/>
  <c r="APA11" i="2" s="1"/>
  <c r="AOW10" i="2"/>
  <c r="AOY10" i="2" s="1"/>
  <c r="APA10" i="2" s="1"/>
  <c r="APA7" i="2"/>
  <c r="AOW7" i="2"/>
  <c r="AOY7" i="2" s="1"/>
  <c r="APA6" i="2"/>
  <c r="APA5" i="2"/>
  <c r="APA4" i="2"/>
  <c r="APA3" i="2"/>
  <c r="AOW3" i="2"/>
  <c r="AOY3" i="2" s="1"/>
  <c r="AOQ12" i="2"/>
  <c r="AOM12" i="2"/>
  <c r="AOO12" i="2" s="1"/>
  <c r="AOQ11" i="2"/>
  <c r="AOM11" i="2"/>
  <c r="AOO11" i="2" s="1"/>
  <c r="AOQ10" i="2"/>
  <c r="AOM10" i="2"/>
  <c r="AOO10" i="2" s="1"/>
  <c r="AOQ7" i="2"/>
  <c r="AOM7" i="2"/>
  <c r="AOO7" i="2" s="1"/>
  <c r="AOQ6" i="2"/>
  <c r="AOM6" i="2"/>
  <c r="AOO6" i="2" s="1"/>
  <c r="AOQ5" i="2"/>
  <c r="AOM5" i="2"/>
  <c r="AOO5" i="2" s="1"/>
  <c r="AOQ4" i="2"/>
  <c r="AOM4" i="2"/>
  <c r="AOO4" i="2" s="1"/>
  <c r="AOQ3" i="2"/>
  <c r="AOM3" i="2"/>
  <c r="AOO3" i="2" s="1"/>
  <c r="AOG12" i="2"/>
  <c r="AOC12" i="2"/>
  <c r="AOE12" i="2" s="1"/>
  <c r="AOC11" i="2"/>
  <c r="AOG10" i="2"/>
  <c r="AOC10" i="2"/>
  <c r="AOE10" i="2" s="1"/>
  <c r="AOG7" i="2"/>
  <c r="AOC7" i="2"/>
  <c r="AOE7" i="2" s="1"/>
  <c r="AOG6" i="2"/>
  <c r="AOC6" i="2"/>
  <c r="AOE6" i="2" s="1"/>
  <c r="AOG5" i="2"/>
  <c r="AOC5" i="2"/>
  <c r="AOE5" i="2" s="1"/>
  <c r="AOG4" i="2"/>
  <c r="AOC4" i="2"/>
  <c r="AOE4" i="2" s="1"/>
  <c r="AOG3" i="2"/>
  <c r="AOC3" i="2"/>
  <c r="AOE3" i="2" s="1"/>
  <c r="ANW12" i="2" l="1"/>
  <c r="ANS12" i="2"/>
  <c r="ANU12" i="2" s="1"/>
  <c r="ANS11" i="2"/>
  <c r="ANU11" i="2" s="1"/>
  <c r="ANW11" i="2" s="1"/>
  <c r="ANW10" i="2"/>
  <c r="ANS10" i="2"/>
  <c r="ANU10" i="2" s="1"/>
  <c r="ANW7" i="2"/>
  <c r="ANS7" i="2"/>
  <c r="ANU7" i="2" s="1"/>
  <c r="ANW6" i="2"/>
  <c r="ANS6" i="2"/>
  <c r="ANU6" i="2" s="1"/>
  <c r="ANW5" i="2"/>
  <c r="ANS5" i="2"/>
  <c r="ANU5" i="2" s="1"/>
  <c r="ANW4" i="2"/>
  <c r="ANS4" i="2"/>
  <c r="ANU4" i="2" s="1"/>
  <c r="ANW3" i="2"/>
  <c r="ANS3" i="2"/>
  <c r="ANU3" i="2" s="1"/>
  <c r="AOE11" i="2" l="1"/>
  <c r="AOG11" i="2" s="1"/>
  <c r="ANM12" i="2"/>
  <c r="ANI12" i="2"/>
  <c r="ANK12" i="2" s="1"/>
  <c r="ANM11" i="2"/>
  <c r="ANI11" i="2"/>
  <c r="ANK11" i="2" s="1"/>
  <c r="ANM10" i="2"/>
  <c r="ANI10" i="2"/>
  <c r="ANK10" i="2" s="1"/>
  <c r="ANM7" i="2"/>
  <c r="ANI7" i="2"/>
  <c r="ANK7" i="2" s="1"/>
  <c r="ANM6" i="2"/>
  <c r="ANI6" i="2"/>
  <c r="ANK6" i="2" s="1"/>
  <c r="ANM5" i="2"/>
  <c r="ANI5" i="2"/>
  <c r="ANK5" i="2" s="1"/>
  <c r="ANM4" i="2"/>
  <c r="ANI4" i="2"/>
  <c r="ANK4" i="2" s="1"/>
  <c r="ANM3" i="2"/>
  <c r="ANI3" i="2"/>
  <c r="ANK3" i="2" s="1"/>
  <c r="ANC12" i="2" l="1"/>
  <c r="AMY12" i="2"/>
  <c r="ANA12" i="2" s="1"/>
  <c r="ANC11" i="2"/>
  <c r="AMY11" i="2"/>
  <c r="ANA11" i="2" s="1"/>
  <c r="ANC10" i="2"/>
  <c r="AMY10" i="2"/>
  <c r="ANA10" i="2" s="1"/>
  <c r="ANC7" i="2"/>
  <c r="AMY7" i="2"/>
  <c r="ANA7" i="2" s="1"/>
  <c r="ANC6" i="2"/>
  <c r="AMY6" i="2"/>
  <c r="ANA6" i="2" s="1"/>
  <c r="ANC5" i="2"/>
  <c r="AMY5" i="2"/>
  <c r="ANA5" i="2" s="1"/>
  <c r="ANC4" i="2"/>
  <c r="AMY4" i="2"/>
  <c r="ANA4" i="2" s="1"/>
  <c r="ANC3" i="2"/>
  <c r="AMY3" i="2"/>
  <c r="ANA3" i="2" s="1"/>
  <c r="AMO12" i="2"/>
  <c r="AMO11" i="2"/>
  <c r="AMO10" i="2"/>
  <c r="AMS7" i="2"/>
  <c r="AMO7" i="2"/>
  <c r="AMQ7" i="2" s="1"/>
  <c r="AMS6" i="2"/>
  <c r="AMO6" i="2"/>
  <c r="AMQ6" i="2" s="1"/>
  <c r="AMS5" i="2"/>
  <c r="AMO5" i="2"/>
  <c r="AMQ5" i="2" s="1"/>
  <c r="AMS4" i="2"/>
  <c r="AMO4" i="2"/>
  <c r="AMQ4" i="2" s="1"/>
  <c r="AMS3" i="2"/>
  <c r="AMO3" i="2"/>
  <c r="AMQ3" i="2" s="1"/>
  <c r="AMQ11" i="2" l="1"/>
  <c r="AMS11" i="2" s="1"/>
  <c r="AME12" i="2"/>
  <c r="AMG12" i="2" s="1"/>
  <c r="AMI12" i="2" s="1"/>
  <c r="AME11" i="2"/>
  <c r="AMG11" i="2" s="1"/>
  <c r="AMI11" i="2" s="1"/>
  <c r="AME10" i="2"/>
  <c r="AMG10" i="2" s="1"/>
  <c r="AMI10" i="2" s="1"/>
  <c r="AMI7" i="2"/>
  <c r="AME7" i="2"/>
  <c r="AMG7" i="2" s="1"/>
  <c r="AMI6" i="2"/>
  <c r="AME6" i="2"/>
  <c r="AMG6" i="2" s="1"/>
  <c r="AMI5" i="2"/>
  <c r="AME5" i="2"/>
  <c r="AMG5" i="2" s="1"/>
  <c r="AMI4" i="2"/>
  <c r="AME4" i="2"/>
  <c r="AMG4" i="2" s="1"/>
  <c r="AME3" i="2"/>
  <c r="AMG3" i="2" s="1"/>
  <c r="AMI3" i="2" s="1"/>
  <c r="AMQ10" i="2" l="1"/>
  <c r="AMS10" i="2" s="1"/>
  <c r="AMQ12" i="2"/>
  <c r="AMS12" i="2" s="1"/>
  <c r="R4" i="3"/>
  <c r="R5" i="3"/>
  <c r="R6" i="3"/>
  <c r="R7" i="3"/>
  <c r="ALW4" i="2"/>
  <c r="ALW5" i="2"/>
  <c r="ALW6" i="2"/>
  <c r="ALW7" i="2"/>
  <c r="R12" i="3" l="1"/>
  <c r="R11" i="3"/>
  <c r="R10" i="3"/>
  <c r="ALY12" i="2"/>
  <c r="ALU12" i="2"/>
  <c r="ALW12" i="2" s="1"/>
  <c r="ALY11" i="2"/>
  <c r="ALU11" i="2"/>
  <c r="ALW11" i="2" s="1"/>
  <c r="ALY10" i="2"/>
  <c r="ALU10" i="2"/>
  <c r="ALW10" i="2" s="1"/>
  <c r="ALU7" i="2"/>
  <c r="ALY7" i="2" s="1"/>
  <c r="ALU6" i="2"/>
  <c r="ALY5" i="2"/>
  <c r="ALU5" i="2"/>
  <c r="ALY4" i="2"/>
  <c r="ALU4" i="2"/>
  <c r="ALY3" i="2"/>
  <c r="ALU3" i="2"/>
  <c r="ALW3" i="2" s="1"/>
  <c r="ALK12" i="2" l="1"/>
  <c r="ALK11" i="2"/>
  <c r="ALK10" i="2"/>
  <c r="ALO7" i="2"/>
  <c r="ALK7" i="2"/>
  <c r="ALY6" i="2" s="1"/>
  <c r="ALO6" i="2"/>
  <c r="ALK6" i="2"/>
  <c r="ALO5" i="2"/>
  <c r="ALK5" i="2"/>
  <c r="ALO4" i="2"/>
  <c r="ALK4" i="2"/>
  <c r="ALK3" i="2"/>
  <c r="ALM6" i="2" l="1"/>
  <c r="ALA12" i="2"/>
  <c r="ALM12" i="2" s="1"/>
  <c r="ALO12" i="2" s="1"/>
  <c r="ALA11" i="2"/>
  <c r="ALA10" i="2"/>
  <c r="ALM10" i="2" s="1"/>
  <c r="ALO10" i="2" s="1"/>
  <c r="ALE7" i="2"/>
  <c r="ALA7" i="2"/>
  <c r="ALC7" i="2" s="1"/>
  <c r="ALA6" i="2"/>
  <c r="ALE5" i="2"/>
  <c r="ALA5" i="2"/>
  <c r="ALM5" i="2" s="1"/>
  <c r="ALE4" i="2"/>
  <c r="ALA4" i="2"/>
  <c r="ALC4" i="2" s="1"/>
  <c r="ALA3" i="2"/>
  <c r="AKQ12" i="2"/>
  <c r="AKQ11" i="2"/>
  <c r="AKQ10" i="2"/>
  <c r="AKU7" i="2"/>
  <c r="AKQ7" i="2"/>
  <c r="AKU6" i="2"/>
  <c r="AKQ6" i="2"/>
  <c r="AKU5" i="2"/>
  <c r="AKQ5" i="2"/>
  <c r="AKU4" i="2"/>
  <c r="AKQ4" i="2"/>
  <c r="AKQ3" i="2"/>
  <c r="ALC10" i="2" l="1"/>
  <c r="ALE10" i="2" s="1"/>
  <c r="ALC11" i="2"/>
  <c r="ALE11" i="2" s="1"/>
  <c r="ALC3" i="2"/>
  <c r="ALE3" i="2" s="1"/>
  <c r="AKS4" i="2"/>
  <c r="ALM3" i="2"/>
  <c r="ALO3" i="2" s="1"/>
  <c r="ALC6" i="2"/>
  <c r="ALE6" i="2" s="1"/>
  <c r="ALM7" i="2"/>
  <c r="AKS10" i="2"/>
  <c r="AKU10" i="2" s="1"/>
  <c r="AKS11" i="2"/>
  <c r="AKU11" i="2" s="1"/>
  <c r="ALC12" i="2"/>
  <c r="ALE12" i="2" s="1"/>
  <c r="ALC5" i="2"/>
  <c r="AKS7" i="2"/>
  <c r="ALM4" i="2"/>
  <c r="ALM11" i="2"/>
  <c r="ALO11" i="2" s="1"/>
  <c r="AKG12" i="2"/>
  <c r="AKS12" i="2" s="1"/>
  <c r="AKU12" i="2" s="1"/>
  <c r="AKG11" i="2"/>
  <c r="AKG10" i="2"/>
  <c r="AKG7" i="2"/>
  <c r="AKG6" i="2"/>
  <c r="AKS6" i="2" s="1"/>
  <c r="AKG5" i="2"/>
  <c r="AKS5" i="2" s="1"/>
  <c r="AKG4" i="2"/>
  <c r="AKG3" i="2"/>
  <c r="AKS3" i="2" l="1"/>
  <c r="AKU3" i="2" s="1"/>
  <c r="AKI6" i="2"/>
  <c r="AKK6" i="2" s="1"/>
  <c r="AJW12" i="2"/>
  <c r="AKI12" i="2" s="1"/>
  <c r="AKK12" i="2" s="1"/>
  <c r="AJW11" i="2"/>
  <c r="AJW10" i="2"/>
  <c r="AJW7" i="2"/>
  <c r="AKI7" i="2" s="1"/>
  <c r="AKK7" i="2" s="1"/>
  <c r="AKA6" i="2"/>
  <c r="AJW6" i="2"/>
  <c r="AJW5" i="2"/>
  <c r="AJW4" i="2"/>
  <c r="AJW3" i="2"/>
  <c r="AKI3" i="2" s="1"/>
  <c r="AKK3" i="2" s="1"/>
  <c r="AKI4" i="2" l="1"/>
  <c r="AKK4" i="2" s="1"/>
  <c r="AKI10" i="2"/>
  <c r="AKK10" i="2" s="1"/>
  <c r="AJY7" i="2"/>
  <c r="AKA7" i="2" s="1"/>
  <c r="AKI5" i="2"/>
  <c r="AKK5" i="2" s="1"/>
  <c r="AKI11" i="2"/>
  <c r="AKK11" i="2" s="1"/>
  <c r="AJY6" i="2"/>
  <c r="AJM12" i="2"/>
  <c r="AJM11" i="2"/>
  <c r="AJM10" i="2"/>
  <c r="AJM7" i="2"/>
  <c r="AJQ6" i="2"/>
  <c r="AJM6" i="2"/>
  <c r="AJM5" i="2"/>
  <c r="AJM4" i="2"/>
  <c r="AJM3" i="2"/>
  <c r="AJY3" i="2" l="1"/>
  <c r="AKA3" i="2" s="1"/>
  <c r="AJY4" i="2"/>
  <c r="AKA4" i="2" s="1"/>
  <c r="AJO12" i="2"/>
  <c r="AJQ12" i="2" s="1"/>
  <c r="AJY10" i="2"/>
  <c r="AKA10" i="2" s="1"/>
  <c r="AJY5" i="2"/>
  <c r="AKA5" i="2" s="1"/>
  <c r="AJO11" i="2"/>
  <c r="AJQ11" i="2" s="1"/>
  <c r="AJY12" i="2"/>
  <c r="AKA12" i="2" s="1"/>
  <c r="AJY11" i="2"/>
  <c r="AKA11" i="2" s="1"/>
  <c r="AJO6" i="2"/>
  <c r="AJC12" i="2"/>
  <c r="AJC11" i="2"/>
  <c r="AJC10" i="2"/>
  <c r="AJG7" i="2"/>
  <c r="AJC7" i="2"/>
  <c r="AJG6" i="2"/>
  <c r="AJC6" i="2"/>
  <c r="AJG5" i="2"/>
  <c r="AJC5" i="2"/>
  <c r="AJC4" i="2"/>
  <c r="AJC3" i="2"/>
  <c r="AJO7" i="2" l="1"/>
  <c r="AJQ7" i="2" s="1"/>
  <c r="AJO10" i="2"/>
  <c r="AJQ10" i="2" s="1"/>
  <c r="AJE11" i="2"/>
  <c r="AJG11" i="2" s="1"/>
  <c r="AJO5" i="2"/>
  <c r="AJQ5" i="2" s="1"/>
  <c r="AJE12" i="2"/>
  <c r="AJG12" i="2" s="1"/>
  <c r="AJO3" i="2"/>
  <c r="AJQ3" i="2" s="1"/>
  <c r="AJO4" i="2"/>
  <c r="AJQ4" i="2" s="1"/>
  <c r="AIS12" i="2"/>
  <c r="AIS11" i="2"/>
  <c r="AIS10" i="2"/>
  <c r="AJE10" i="2" s="1"/>
  <c r="AJG10" i="2" s="1"/>
  <c r="AIW7" i="2"/>
  <c r="AIS7" i="2"/>
  <c r="AIS6" i="2"/>
  <c r="AIS5" i="2"/>
  <c r="AIS4" i="2"/>
  <c r="AIS3" i="2"/>
  <c r="AJE7" i="2" l="1"/>
  <c r="AJE5" i="2"/>
  <c r="AJE4" i="2"/>
  <c r="AJG4" i="2" s="1"/>
  <c r="AJE3" i="2"/>
  <c r="AJG3" i="2" s="1"/>
  <c r="AJE6" i="2"/>
  <c r="B1" i="2"/>
  <c r="AII12" i="2" l="1"/>
  <c r="AII11" i="2"/>
  <c r="AIU11" i="2" s="1"/>
  <c r="AIW11" i="2" s="1"/>
  <c r="AII10" i="2"/>
  <c r="AIM7" i="2"/>
  <c r="AII7" i="2"/>
  <c r="AII6" i="2"/>
  <c r="AII5" i="2"/>
  <c r="AIM4" i="2"/>
  <c r="AII4" i="2"/>
  <c r="AII3" i="2"/>
  <c r="AIU4" i="2" l="1"/>
  <c r="AIW4" i="2" s="1"/>
  <c r="AIU3" i="2"/>
  <c r="AIW3" i="2" s="1"/>
  <c r="AIU5" i="2"/>
  <c r="AIW5" i="2" s="1"/>
  <c r="AIU6" i="2"/>
  <c r="AIW6" i="2" s="1"/>
  <c r="AIK7" i="2"/>
  <c r="AIU7" i="2"/>
  <c r="AIK12" i="2"/>
  <c r="AIM12" i="2" s="1"/>
  <c r="AIU12" i="2"/>
  <c r="AIW12" i="2" s="1"/>
  <c r="AIK10" i="2"/>
  <c r="AIM10" i="2" s="1"/>
  <c r="AIU10" i="2"/>
  <c r="AIW10" i="2" s="1"/>
  <c r="AHY12" i="2"/>
  <c r="AHY11" i="2"/>
  <c r="AHY10" i="2"/>
  <c r="AIC7" i="2"/>
  <c r="AHY7" i="2"/>
  <c r="AHY6" i="2"/>
  <c r="AHY5" i="2"/>
  <c r="AIC4" i="2"/>
  <c r="AHY4" i="2"/>
  <c r="AHY3" i="2"/>
  <c r="T4" i="3"/>
  <c r="T5" i="3"/>
  <c r="T6" i="3"/>
  <c r="T7" i="3"/>
  <c r="AIK6" i="2" l="1"/>
  <c r="AIM6" i="2" s="1"/>
  <c r="AIK5" i="2"/>
  <c r="AIM5" i="2" s="1"/>
  <c r="AIK3" i="2"/>
  <c r="AIM3" i="2" s="1"/>
  <c r="AIK4" i="2"/>
  <c r="AIK11" i="2"/>
  <c r="AIM11" i="2" s="1"/>
  <c r="AHO12" i="2" l="1"/>
  <c r="AIA12" i="2" s="1"/>
  <c r="AIC12" i="2" s="1"/>
  <c r="AHO11" i="2"/>
  <c r="AIA11" i="2" s="1"/>
  <c r="AIC11" i="2" s="1"/>
  <c r="AHO10" i="2"/>
  <c r="AIA10" i="2" s="1"/>
  <c r="AIC10" i="2" s="1"/>
  <c r="AHS7" i="2"/>
  <c r="AHO7" i="2"/>
  <c r="AIA7" i="2" s="1"/>
  <c r="AHS6" i="2"/>
  <c r="AHO6" i="2"/>
  <c r="AIA6" i="2" s="1"/>
  <c r="AIC6" i="2" s="1"/>
  <c r="AHO5" i="2"/>
  <c r="AIA5" i="2" s="1"/>
  <c r="AIC5" i="2" s="1"/>
  <c r="AHS4" i="2"/>
  <c r="AHO4" i="2"/>
  <c r="AIA4" i="2" s="1"/>
  <c r="AHO3" i="2"/>
  <c r="AIA3" i="2" s="1"/>
  <c r="AIC3" i="2" s="1"/>
  <c r="AHE12" i="2" l="1"/>
  <c r="AHE11" i="2"/>
  <c r="AHQ11" i="2" s="1"/>
  <c r="AHS11" i="2" s="1"/>
  <c r="AHE10" i="2"/>
  <c r="AHQ10" i="2" s="1"/>
  <c r="AHS10" i="2" s="1"/>
  <c r="AHI7" i="2"/>
  <c r="AHE7" i="2"/>
  <c r="AHQ7" i="2" s="1"/>
  <c r="AHE6" i="2"/>
  <c r="AHE5" i="2"/>
  <c r="AHI4" i="2"/>
  <c r="AHE4" i="2"/>
  <c r="AHE3" i="2"/>
  <c r="AHQ5" i="2" l="1"/>
  <c r="AHS5" i="2" s="1"/>
  <c r="AHQ12" i="2"/>
  <c r="AHS12" i="2" s="1"/>
  <c r="AHQ3" i="2"/>
  <c r="AHS3" i="2" s="1"/>
  <c r="AHQ4" i="2"/>
  <c r="AHG6" i="2"/>
  <c r="AHI6" i="2" s="1"/>
  <c r="AHQ6" i="2"/>
  <c r="AGU12" i="2"/>
  <c r="AHG12" i="2" s="1"/>
  <c r="AHI12" i="2" s="1"/>
  <c r="AGU11" i="2"/>
  <c r="AHG11" i="2" s="1"/>
  <c r="AHI11" i="2" s="1"/>
  <c r="AGU10" i="2"/>
  <c r="AHG10" i="2" s="1"/>
  <c r="AHI10" i="2" s="1"/>
  <c r="AGY7" i="2"/>
  <c r="AGU7" i="2"/>
  <c r="AGY6" i="2"/>
  <c r="AGU6" i="2"/>
  <c r="AGU5" i="2"/>
  <c r="AGY4" i="2"/>
  <c r="AGU4" i="2"/>
  <c r="AHG4" i="2" s="1"/>
  <c r="AGU3" i="2"/>
  <c r="AHG3" i="2" s="1"/>
  <c r="AHI3" i="2" s="1"/>
  <c r="AHG5" i="2" l="1"/>
  <c r="AHI5" i="2" s="1"/>
  <c r="AHG7" i="2"/>
  <c r="AGK12" i="2"/>
  <c r="AGK11" i="2"/>
  <c r="AGK10" i="2"/>
  <c r="AGW10" i="2" s="1"/>
  <c r="AGY10" i="2" s="1"/>
  <c r="AGK7" i="2"/>
  <c r="AGK6" i="2"/>
  <c r="AGM6" i="2" s="1"/>
  <c r="AGO6" i="2" s="1"/>
  <c r="AGO5" i="2"/>
  <c r="AGK5" i="2"/>
  <c r="AGK4" i="2"/>
  <c r="AGW4" i="2" s="1"/>
  <c r="AGK3" i="2"/>
  <c r="AGW3" i="2" s="1"/>
  <c r="AGY3" i="2" s="1"/>
  <c r="AGA12" i="2"/>
  <c r="AGA11" i="2"/>
  <c r="AGA10" i="2"/>
  <c r="AGE7" i="2"/>
  <c r="AGA7" i="2"/>
  <c r="AGE6" i="2"/>
  <c r="AGA6" i="2"/>
  <c r="AGA5" i="2"/>
  <c r="AGA4" i="2"/>
  <c r="AGA3" i="2"/>
  <c r="AGM11" i="2" l="1"/>
  <c r="AGO11" i="2" s="1"/>
  <c r="AGM12" i="2"/>
  <c r="AGO12" i="2" s="1"/>
  <c r="AGM7" i="2"/>
  <c r="AGO7" i="2" s="1"/>
  <c r="AGC11" i="2"/>
  <c r="AGE11" i="2" s="1"/>
  <c r="AGW6" i="2"/>
  <c r="AGM3" i="2"/>
  <c r="AGO3" i="2" s="1"/>
  <c r="AGM5" i="2"/>
  <c r="AGW11" i="2"/>
  <c r="AGY11" i="2" s="1"/>
  <c r="AGW7" i="2"/>
  <c r="AGM10" i="2"/>
  <c r="AGO10" i="2" s="1"/>
  <c r="AGW5" i="2"/>
  <c r="AGY5" i="2" s="1"/>
  <c r="AGW12" i="2"/>
  <c r="AGY12" i="2" s="1"/>
  <c r="AGM4" i="2"/>
  <c r="AGO4" i="2" s="1"/>
  <c r="AFQ12" i="2"/>
  <c r="AFQ11" i="2"/>
  <c r="AFQ10" i="2"/>
  <c r="AGC10" i="2" s="1"/>
  <c r="AGE10" i="2" s="1"/>
  <c r="AFU7" i="2"/>
  <c r="AFQ7" i="2"/>
  <c r="AFU6" i="2"/>
  <c r="AFQ6" i="2"/>
  <c r="AFU5" i="2"/>
  <c r="AFQ5" i="2"/>
  <c r="AGC5" i="2" s="1"/>
  <c r="AGE5" i="2" s="1"/>
  <c r="AFQ4" i="2"/>
  <c r="AFQ3" i="2"/>
  <c r="AGC4" i="2" l="1"/>
  <c r="AGE4" i="2" s="1"/>
  <c r="AGC7" i="2"/>
  <c r="AGC6" i="2"/>
  <c r="AGC3" i="2"/>
  <c r="AGE3" i="2" s="1"/>
  <c r="AGC12" i="2"/>
  <c r="AGE12" i="2" s="1"/>
  <c r="AFG12" i="2"/>
  <c r="AFS12" i="2" s="1"/>
  <c r="AFU12" i="2" s="1"/>
  <c r="AFG11" i="2"/>
  <c r="AFS11" i="2" s="1"/>
  <c r="AFU11" i="2" s="1"/>
  <c r="AFG10" i="2"/>
  <c r="AFK7" i="2"/>
  <c r="AFG7" i="2"/>
  <c r="AFG6" i="2"/>
  <c r="AFS6" i="2" s="1"/>
  <c r="AFG5" i="2"/>
  <c r="AFK4" i="2"/>
  <c r="AFG4" i="2"/>
  <c r="AFG3" i="2"/>
  <c r="AFS4" i="2" l="1"/>
  <c r="AFU4" i="2" s="1"/>
  <c r="AFS5" i="2"/>
  <c r="AFI6" i="2"/>
  <c r="AFK6" i="2" s="1"/>
  <c r="AFS3" i="2"/>
  <c r="AFU3" i="2" s="1"/>
  <c r="AFS7" i="2"/>
  <c r="AFS10" i="2"/>
  <c r="AFU10" i="2" s="1"/>
  <c r="AEW12" i="2"/>
  <c r="AEY12" i="2" s="1"/>
  <c r="AFA12" i="2" s="1"/>
  <c r="AEW11" i="2"/>
  <c r="AEY11" i="2" s="1"/>
  <c r="AFA11" i="2" s="1"/>
  <c r="AEW10" i="2"/>
  <c r="AFI10" i="2" s="1"/>
  <c r="AFK10" i="2" s="1"/>
  <c r="AFA7" i="2"/>
  <c r="AEW7" i="2"/>
  <c r="AFI7" i="2" s="1"/>
  <c r="AFA6" i="2"/>
  <c r="AEW6" i="2"/>
  <c r="AEW5" i="2"/>
  <c r="AFA4" i="2"/>
  <c r="AEW4" i="2"/>
  <c r="AEW3" i="2"/>
  <c r="AEY3" i="2" s="1"/>
  <c r="AFA3" i="2" s="1"/>
  <c r="AEM12" i="2"/>
  <c r="AEM11" i="2"/>
  <c r="AEM10" i="2"/>
  <c r="AEQ7" i="2"/>
  <c r="AEM7" i="2"/>
  <c r="AEM6" i="2"/>
  <c r="AEQ5" i="2"/>
  <c r="AEM5" i="2"/>
  <c r="AEM4" i="2"/>
  <c r="AEM3" i="2"/>
  <c r="AEY4" i="2" l="1"/>
  <c r="AEY5" i="2"/>
  <c r="AFA5" i="2" s="1"/>
  <c r="AEY6" i="2"/>
  <c r="AEY7" i="2"/>
  <c r="AFI5" i="2"/>
  <c r="AFK5" i="2" s="1"/>
  <c r="AFI3" i="2"/>
  <c r="AFK3" i="2" s="1"/>
  <c r="AFI4" i="2"/>
  <c r="AFI12" i="2"/>
  <c r="AFK12" i="2" s="1"/>
  <c r="AFI11" i="2"/>
  <c r="AFK11" i="2" s="1"/>
  <c r="AEY10" i="2"/>
  <c r="AFA10" i="2" s="1"/>
  <c r="AEC12" i="2"/>
  <c r="AEO12" i="2" s="1"/>
  <c r="AEQ12" i="2" s="1"/>
  <c r="AEC11" i="2"/>
  <c r="AEC10" i="2"/>
  <c r="AEO10" i="2" s="1"/>
  <c r="AEQ10" i="2" s="1"/>
  <c r="AEC7" i="2"/>
  <c r="AEC6" i="2"/>
  <c r="AEG5" i="2"/>
  <c r="AEC5" i="2"/>
  <c r="AEO5" i="2" s="1"/>
  <c r="AEG4" i="2"/>
  <c r="AEC4" i="2"/>
  <c r="AEO4" i="2" s="1"/>
  <c r="AEQ4" i="2" s="1"/>
  <c r="AEG3" i="2"/>
  <c r="AEC3" i="2"/>
  <c r="AEO6" i="2" l="1"/>
  <c r="AEQ6" i="2" s="1"/>
  <c r="AEO11" i="2"/>
  <c r="AEQ11" i="2" s="1"/>
  <c r="AEO7" i="2"/>
  <c r="AEO3" i="2"/>
  <c r="AEQ3" i="2" s="1"/>
  <c r="ADS12" i="2"/>
  <c r="AEE12" i="2" s="1"/>
  <c r="AEG12" i="2" s="1"/>
  <c r="ADS11" i="2"/>
  <c r="AEE11" i="2" s="1"/>
  <c r="AEG11" i="2" s="1"/>
  <c r="ADS10" i="2"/>
  <c r="ADW7" i="2"/>
  <c r="ADS7" i="2"/>
  <c r="ADS6" i="2"/>
  <c r="ADS5" i="2"/>
  <c r="ADS4" i="2"/>
  <c r="AEE4" i="2" s="1"/>
  <c r="ADS3" i="2"/>
  <c r="AEE5" i="2" l="1"/>
  <c r="AEE3" i="2"/>
  <c r="AEE7" i="2"/>
  <c r="AEG7" i="2" s="1"/>
  <c r="AEE6" i="2"/>
  <c r="AEG6" i="2" s="1"/>
  <c r="AEE10" i="2"/>
  <c r="AEG10" i="2" s="1"/>
  <c r="ADI12" i="2"/>
  <c r="ADK12" i="2" s="1"/>
  <c r="ADM12" i="2" s="1"/>
  <c r="ADI11" i="2"/>
  <c r="ADI10" i="2"/>
  <c r="ADM7" i="2"/>
  <c r="ADI7" i="2"/>
  <c r="ADU7" i="2" s="1"/>
  <c r="ADM6" i="2"/>
  <c r="ADI6" i="2"/>
  <c r="ADU6" i="2" s="1"/>
  <c r="ADW6" i="2" s="1"/>
  <c r="ADM5" i="2"/>
  <c r="ADI5" i="2"/>
  <c r="ADU5" i="2" s="1"/>
  <c r="ADW5" i="2" s="1"/>
  <c r="ADI4" i="2"/>
  <c r="ADI3" i="2"/>
  <c r="ADC12" i="2"/>
  <c r="ACY12" i="2"/>
  <c r="ACY11" i="2"/>
  <c r="ACY10" i="2"/>
  <c r="ADC7" i="2"/>
  <c r="ACY7" i="2"/>
  <c r="ACY6" i="2"/>
  <c r="ACY5" i="2"/>
  <c r="ACY4" i="2"/>
  <c r="ACY3" i="2"/>
  <c r="ADK3" i="2" l="1"/>
  <c r="ADM3" i="2" s="1"/>
  <c r="ADK4" i="2"/>
  <c r="ADM4" i="2" s="1"/>
  <c r="ADK6" i="2"/>
  <c r="ADK10" i="2"/>
  <c r="ADM10" i="2" s="1"/>
  <c r="ADU3" i="2"/>
  <c r="ADW3" i="2" s="1"/>
  <c r="ADK5" i="2"/>
  <c r="ADK7" i="2"/>
  <c r="ADU4" i="2"/>
  <c r="ADW4" i="2" s="1"/>
  <c r="ADU10" i="2"/>
  <c r="ADW10" i="2" s="1"/>
  <c r="ADK11" i="2"/>
  <c r="ADM11" i="2" s="1"/>
  <c r="ADU11" i="2"/>
  <c r="ADW11" i="2" s="1"/>
  <c r="ADU12" i="2"/>
  <c r="ADW12" i="2" s="1"/>
  <c r="ACO12" i="2"/>
  <c r="ADA12" i="2" s="1"/>
  <c r="ACO11" i="2"/>
  <c r="ACO10" i="2"/>
  <c r="ACS7" i="2"/>
  <c r="ACO7" i="2"/>
  <c r="ADA7" i="2" s="1"/>
  <c r="ACO6" i="2"/>
  <c r="ACS5" i="2"/>
  <c r="ACO5" i="2"/>
  <c r="ADA5" i="2" s="1"/>
  <c r="ADC5" i="2" s="1"/>
  <c r="ACS4" i="2"/>
  <c r="ACO4" i="2"/>
  <c r="ACO3" i="2"/>
  <c r="ADA3" i="2" s="1"/>
  <c r="ADC3" i="2" s="1"/>
  <c r="ADA4" i="2" l="1"/>
  <c r="ADC4" i="2" s="1"/>
  <c r="ADA10" i="2"/>
  <c r="ADC10" i="2" s="1"/>
  <c r="ADA11" i="2"/>
  <c r="ADC11" i="2" s="1"/>
  <c r="ADA6" i="2"/>
  <c r="ADC6" i="2" s="1"/>
  <c r="ACE10" i="2" l="1"/>
  <c r="ACQ10" i="2" s="1"/>
  <c r="ACS10" i="2" s="1"/>
  <c r="ACE11" i="2"/>
  <c r="ACE12" i="2"/>
  <c r="ACE3" i="2"/>
  <c r="ACE4" i="2"/>
  <c r="ACQ4" i="2" s="1"/>
  <c r="ACE5" i="2"/>
  <c r="ACI5" i="2"/>
  <c r="ACE6" i="2"/>
  <c r="ACI6" i="2"/>
  <c r="ACE7" i="2"/>
  <c r="ACI7" i="2"/>
  <c r="ABU12" i="2"/>
  <c r="ABU11" i="2"/>
  <c r="ABU10" i="2"/>
  <c r="ABY7" i="2"/>
  <c r="ABU7" i="2"/>
  <c r="ABY6" i="2"/>
  <c r="ABU6" i="2"/>
  <c r="ABU5" i="2"/>
  <c r="ABY4" i="2"/>
  <c r="ABU4" i="2"/>
  <c r="ABU3" i="2"/>
  <c r="ACG7" i="2" l="1"/>
  <c r="ACQ7" i="2"/>
  <c r="ACG5" i="2"/>
  <c r="ACQ5" i="2"/>
  <c r="ACG3" i="2"/>
  <c r="ACI3" i="2" s="1"/>
  <c r="ACQ3" i="2"/>
  <c r="ACS3" i="2" s="1"/>
  <c r="ACG6" i="2"/>
  <c r="ACQ6" i="2"/>
  <c r="ACS6" i="2" s="1"/>
  <c r="ACG11" i="2"/>
  <c r="ACI11" i="2" s="1"/>
  <c r="ACQ11" i="2"/>
  <c r="ACS11" i="2" s="1"/>
  <c r="ACG12" i="2"/>
  <c r="ACI12" i="2" s="1"/>
  <c r="ACQ12" i="2"/>
  <c r="ACS12" i="2" s="1"/>
  <c r="ACG10" i="2"/>
  <c r="ACI10" i="2" s="1"/>
  <c r="ACG4" i="2"/>
  <c r="ACI4" i="2" s="1"/>
  <c r="ABK12" i="2"/>
  <c r="ABW12" i="2" s="1"/>
  <c r="ABY12" i="2" s="1"/>
  <c r="ABK11" i="2"/>
  <c r="ABW11" i="2" s="1"/>
  <c r="ABY11" i="2" s="1"/>
  <c r="ABK10" i="2"/>
  <c r="ABW10" i="2" s="1"/>
  <c r="ABY10" i="2" s="1"/>
  <c r="ABO7" i="2"/>
  <c r="ABK7" i="2"/>
  <c r="ABO6" i="2"/>
  <c r="ABK6" i="2"/>
  <c r="ABK5" i="2"/>
  <c r="ABK4" i="2"/>
  <c r="ABK3" i="2"/>
  <c r="ABW7" i="2" l="1"/>
  <c r="ABW5" i="2"/>
  <c r="ABY5" i="2" s="1"/>
  <c r="ABW3" i="2"/>
  <c r="ABY3" i="2" s="1"/>
  <c r="ABW4" i="2"/>
  <c r="ABW6" i="2"/>
  <c r="ABA12" i="2" l="1"/>
  <c r="ABM12" i="2" s="1"/>
  <c r="ABO12" i="2" s="1"/>
  <c r="ABA11" i="2"/>
  <c r="ABM11" i="2" s="1"/>
  <c r="ABO11" i="2" s="1"/>
  <c r="ABA10" i="2"/>
  <c r="ABM10" i="2" s="1"/>
  <c r="ABO10" i="2" s="1"/>
  <c r="ABE7" i="2"/>
  <c r="ABA7" i="2"/>
  <c r="ABM7" i="2" s="1"/>
  <c r="ABA6" i="2"/>
  <c r="ABM6" i="2" s="1"/>
  <c r="ABA5" i="2"/>
  <c r="ABM5" i="2" s="1"/>
  <c r="ABO5" i="2" s="1"/>
  <c r="ABE4" i="2"/>
  <c r="ABA4" i="2"/>
  <c r="ABM4" i="2" s="1"/>
  <c r="ABO4" i="2" s="1"/>
  <c r="ABA3" i="2"/>
  <c r="ABM3" i="2" s="1"/>
  <c r="ABO3" i="2" s="1"/>
  <c r="AAQ12" i="2" l="1"/>
  <c r="ABC12" i="2" s="1"/>
  <c r="ABE12" i="2" s="1"/>
  <c r="AAQ11" i="2"/>
  <c r="AAQ10" i="2"/>
  <c r="ABC10" i="2" s="1"/>
  <c r="ABE10" i="2" s="1"/>
  <c r="AAQ7" i="2"/>
  <c r="AAU6" i="2"/>
  <c r="AAQ6" i="2"/>
  <c r="AAQ5" i="2"/>
  <c r="ABC5" i="2" s="1"/>
  <c r="ABE5" i="2" s="1"/>
  <c r="AAU4" i="2"/>
  <c r="AAQ4" i="2"/>
  <c r="AAS4" i="2" s="1"/>
  <c r="AAU3" i="2"/>
  <c r="AAQ3" i="2"/>
  <c r="ABC3" i="2" s="1"/>
  <c r="ABE3" i="2" s="1"/>
  <c r="AAG12" i="2"/>
  <c r="AAG11" i="2"/>
  <c r="AAG10" i="2"/>
  <c r="AAG7" i="2"/>
  <c r="AAG6" i="2"/>
  <c r="AAG5" i="2"/>
  <c r="AAG4" i="2"/>
  <c r="AAG3" i="2"/>
  <c r="AAS11" i="2" l="1"/>
  <c r="AAU11" i="2" s="1"/>
  <c r="ABC11" i="2"/>
  <c r="ABE11" i="2" s="1"/>
  <c r="AAS6" i="2"/>
  <c r="ABC6" i="2"/>
  <c r="ABE6" i="2" s="1"/>
  <c r="AAS5" i="2"/>
  <c r="AAU5" i="2" s="1"/>
  <c r="ABC4" i="2"/>
  <c r="AAS3" i="2"/>
  <c r="AAS7" i="2"/>
  <c r="AAU7" i="2" s="1"/>
  <c r="ABC7" i="2"/>
  <c r="AAS10" i="2"/>
  <c r="AAU10" i="2" s="1"/>
  <c r="AAS12" i="2"/>
  <c r="AAU12" i="2" s="1"/>
  <c r="ZW12" i="2"/>
  <c r="AAI12" i="2" s="1"/>
  <c r="AAK12" i="2" s="1"/>
  <c r="ZW11" i="2"/>
  <c r="ZW10" i="2"/>
  <c r="AAA7" i="2"/>
  <c r="ZW7" i="2"/>
  <c r="AAA6" i="2"/>
  <c r="ZW6" i="2"/>
  <c r="AAI6" i="2" s="1"/>
  <c r="AAK6" i="2" s="1"/>
  <c r="AAA5" i="2"/>
  <c r="ZW5" i="2"/>
  <c r="AAI5" i="2" s="1"/>
  <c r="AAK5" i="2" s="1"/>
  <c r="ZW4" i="2"/>
  <c r="ZW3" i="2"/>
  <c r="AAI3" i="2" s="1"/>
  <c r="AAK3" i="2" s="1"/>
  <c r="ZM12" i="2"/>
  <c r="ZM11" i="2"/>
  <c r="ZM10" i="2"/>
  <c r="ZQ7" i="2"/>
  <c r="ZM7" i="2"/>
  <c r="ZQ6" i="2"/>
  <c r="ZM6" i="2"/>
  <c r="ZM5" i="2"/>
  <c r="ZQ4" i="2"/>
  <c r="ZM4" i="2"/>
  <c r="ZM3" i="2"/>
  <c r="ZY7" i="2" l="1"/>
  <c r="ZY10" i="2"/>
  <c r="AAA10" i="2" s="1"/>
  <c r="ZY11" i="2"/>
  <c r="AAA11" i="2" s="1"/>
  <c r="ZY4" i="2"/>
  <c r="AAA4" i="2" s="1"/>
  <c r="ZY6" i="2"/>
  <c r="AAI4" i="2"/>
  <c r="AAK4" i="2" s="1"/>
  <c r="AAI10" i="2"/>
  <c r="AAK10" i="2" s="1"/>
  <c r="AAI11" i="2"/>
  <c r="AAK11" i="2" s="1"/>
  <c r="AAI7" i="2"/>
  <c r="AAK7" i="2" s="1"/>
  <c r="ZY3" i="2"/>
  <c r="AAA3" i="2" s="1"/>
  <c r="ZY5" i="2"/>
  <c r="ZY12" i="2"/>
  <c r="AAA12" i="2" s="1"/>
  <c r="ZC12" i="2"/>
  <c r="ZO12" i="2" s="1"/>
  <c r="ZQ12" i="2" s="1"/>
  <c r="ZC11" i="2"/>
  <c r="ZO11" i="2" s="1"/>
  <c r="ZQ11" i="2" s="1"/>
  <c r="ZC10" i="2"/>
  <c r="ZO10" i="2" s="1"/>
  <c r="ZQ10" i="2" s="1"/>
  <c r="ZG7" i="2"/>
  <c r="ZC7" i="2"/>
  <c r="ZO7" i="2" s="1"/>
  <c r="ZC6" i="2"/>
  <c r="ZO6" i="2" s="1"/>
  <c r="ZC5" i="2"/>
  <c r="ZC4" i="2"/>
  <c r="ZC3" i="2"/>
  <c r="ZO3" i="2" s="1"/>
  <c r="ZQ3" i="2" s="1"/>
  <c r="ZO5" i="2" l="1"/>
  <c r="ZQ5" i="2" s="1"/>
  <c r="ZO4" i="2"/>
  <c r="YS12" i="2"/>
  <c r="YS11" i="2"/>
  <c r="YS10" i="2"/>
  <c r="YS7" i="2"/>
  <c r="ZE7" i="2" s="1"/>
  <c r="YS6" i="2"/>
  <c r="ZE6" i="2" s="1"/>
  <c r="ZG6" i="2" s="1"/>
  <c r="YS5" i="2"/>
  <c r="YS4" i="2"/>
  <c r="YS3" i="2"/>
  <c r="ZE3" i="2" s="1"/>
  <c r="ZG3" i="2" s="1"/>
  <c r="ZE4" i="2" l="1"/>
  <c r="ZG4" i="2" s="1"/>
  <c r="ZE5" i="2"/>
  <c r="ZG5" i="2" s="1"/>
  <c r="ZE10" i="2"/>
  <c r="ZG10" i="2" s="1"/>
  <c r="ZE11" i="2"/>
  <c r="ZG11" i="2" s="1"/>
  <c r="ZE12" i="2"/>
  <c r="ZG12" i="2" s="1"/>
  <c r="YI12" i="2"/>
  <c r="YI11" i="2"/>
  <c r="YI10" i="2"/>
  <c r="YU10" i="2" s="1"/>
  <c r="YW10" i="2" s="1"/>
  <c r="YI7" i="2"/>
  <c r="YU7" i="2" s="1"/>
  <c r="YW7" i="2" s="1"/>
  <c r="YM6" i="2"/>
  <c r="YI6" i="2"/>
  <c r="YU6" i="2" s="1"/>
  <c r="YW6" i="2" s="1"/>
  <c r="YM5" i="2"/>
  <c r="YI5" i="2"/>
  <c r="YM4" i="2"/>
  <c r="YI4" i="2"/>
  <c r="YM3" i="2"/>
  <c r="YI3" i="2"/>
  <c r="YU5" i="2" l="1"/>
  <c r="YW5" i="2" s="1"/>
  <c r="YU4" i="2"/>
  <c r="YW4" i="2" s="1"/>
  <c r="YU3" i="2"/>
  <c r="YW3" i="2" s="1"/>
  <c r="YU12" i="2"/>
  <c r="YW12" i="2" s="1"/>
  <c r="YU11" i="2"/>
  <c r="YW11" i="2" s="1"/>
  <c r="XY12" i="2"/>
  <c r="YK12" i="2" s="1"/>
  <c r="YM12" i="2" s="1"/>
  <c r="XY11" i="2"/>
  <c r="YK11" i="2" s="1"/>
  <c r="YM11" i="2" s="1"/>
  <c r="XY10" i="2"/>
  <c r="YC7" i="2"/>
  <c r="XY7" i="2"/>
  <c r="YK7" i="2" s="1"/>
  <c r="YM7" i="2" s="1"/>
  <c r="XY6" i="2"/>
  <c r="XY5" i="2"/>
  <c r="YK5" i="2" s="1"/>
  <c r="XY4" i="2"/>
  <c r="XY3" i="2"/>
  <c r="YK3" i="2" s="1"/>
  <c r="YK6" i="2" l="1"/>
  <c r="YK4" i="2"/>
  <c r="YK10" i="2"/>
  <c r="YM10" i="2" s="1"/>
  <c r="AA15" i="3"/>
  <c r="XO12" i="2" l="1"/>
  <c r="XO11" i="2"/>
  <c r="XO10" i="2"/>
  <c r="YA10" i="2" s="1"/>
  <c r="YC10" i="2" s="1"/>
  <c r="XO7" i="2"/>
  <c r="XO6" i="2"/>
  <c r="XS5" i="2"/>
  <c r="XO5" i="2"/>
  <c r="XS4" i="2"/>
  <c r="XO4" i="2"/>
  <c r="YA4" i="2" s="1"/>
  <c r="YC4" i="2" s="1"/>
  <c r="XO3" i="2"/>
  <c r="YA3" i="2" s="1"/>
  <c r="YC3" i="2" s="1"/>
  <c r="YA6" i="2" l="1"/>
  <c r="YC6" i="2" s="1"/>
  <c r="YA7" i="2"/>
  <c r="YA11" i="2"/>
  <c r="YC11" i="2" s="1"/>
  <c r="YA5" i="2"/>
  <c r="YC5" i="2" s="1"/>
  <c r="YA12" i="2"/>
  <c r="YC12" i="2" s="1"/>
  <c r="XI12" i="2"/>
  <c r="XE12" i="2"/>
  <c r="XQ12" i="2" s="1"/>
  <c r="XS12" i="2" s="1"/>
  <c r="XE11" i="2"/>
  <c r="XQ11" i="2" s="1"/>
  <c r="XS11" i="2" s="1"/>
  <c r="XE10" i="2"/>
  <c r="XI7" i="2"/>
  <c r="XE7" i="2"/>
  <c r="XI6" i="2"/>
  <c r="XE6" i="2"/>
  <c r="XE5" i="2"/>
  <c r="XQ5" i="2" s="1"/>
  <c r="XI4" i="2"/>
  <c r="XE4" i="2"/>
  <c r="XE3" i="2"/>
  <c r="XQ6" i="2" l="1"/>
  <c r="XS6" i="2" s="1"/>
  <c r="XQ7" i="2"/>
  <c r="XS7" i="2" s="1"/>
  <c r="XQ3" i="2"/>
  <c r="XS3" i="2" s="1"/>
  <c r="XQ10" i="2"/>
  <c r="XS10" i="2" s="1"/>
  <c r="XQ4" i="2"/>
  <c r="WU12" i="2"/>
  <c r="XG12" i="2" s="1"/>
  <c r="WU11" i="2"/>
  <c r="WU10" i="2"/>
  <c r="XG10" i="2" s="1"/>
  <c r="XI10" i="2" s="1"/>
  <c r="WU7" i="2"/>
  <c r="WU6" i="2"/>
  <c r="WU5" i="2"/>
  <c r="XG5" i="2" s="1"/>
  <c r="XI5" i="2" s="1"/>
  <c r="WU4" i="2"/>
  <c r="XG4" i="2" s="1"/>
  <c r="WU3" i="2"/>
  <c r="XG3" i="2" s="1"/>
  <c r="XI3" i="2" s="1"/>
  <c r="XG7" i="2" l="1"/>
  <c r="XG6" i="2"/>
  <c r="XG11" i="2"/>
  <c r="XI11" i="2" s="1"/>
  <c r="WK12" i="2"/>
  <c r="WW12" i="2" s="1"/>
  <c r="WY12" i="2" s="1"/>
  <c r="WK11" i="2"/>
  <c r="WW11" i="2" s="1"/>
  <c r="WY11" i="2" s="1"/>
  <c r="WK10" i="2"/>
  <c r="WW10" i="2" s="1"/>
  <c r="WY10" i="2" s="1"/>
  <c r="WO7" i="2"/>
  <c r="WK7" i="2"/>
  <c r="WK6" i="2"/>
  <c r="WO5" i="2"/>
  <c r="WK5" i="2"/>
  <c r="WW5" i="2" s="1"/>
  <c r="WY5" i="2" s="1"/>
  <c r="WO4" i="2"/>
  <c r="WK4" i="2"/>
  <c r="WW4" i="2" s="1"/>
  <c r="WY4" i="2" s="1"/>
  <c r="WK3" i="2"/>
  <c r="WW6" i="2" l="1"/>
  <c r="WY6" i="2" s="1"/>
  <c r="WW7" i="2"/>
  <c r="WY7" i="2" s="1"/>
  <c r="WW3" i="2"/>
  <c r="WY3" i="2" s="1"/>
  <c r="WA12" i="2"/>
  <c r="WM12" i="2" s="1"/>
  <c r="WO12" i="2" s="1"/>
  <c r="WA11" i="2"/>
  <c r="WM11" i="2" s="1"/>
  <c r="WO11" i="2" s="1"/>
  <c r="WA10" i="2"/>
  <c r="WE7" i="2"/>
  <c r="WA7" i="2"/>
  <c r="WM7" i="2" s="1"/>
  <c r="WA6" i="2"/>
  <c r="WM6" i="2" s="1"/>
  <c r="WO6" i="2" s="1"/>
  <c r="WE5" i="2"/>
  <c r="WA5" i="2"/>
  <c r="WA4" i="2"/>
  <c r="WM4" i="2" s="1"/>
  <c r="WA3" i="2"/>
  <c r="WM3" i="2" s="1"/>
  <c r="WO3" i="2" s="1"/>
  <c r="WM5" i="2" l="1"/>
  <c r="WM10" i="2"/>
  <c r="WO10" i="2" s="1"/>
  <c r="VQ12" i="2"/>
  <c r="VQ11" i="2"/>
  <c r="VQ10" i="2"/>
  <c r="WC10" i="2" s="1"/>
  <c r="WE10" i="2" s="1"/>
  <c r="VU7" i="2"/>
  <c r="VQ7" i="2"/>
  <c r="WC7" i="2" s="1"/>
  <c r="VQ6" i="2"/>
  <c r="VQ5" i="2"/>
  <c r="VQ4" i="2"/>
  <c r="WC4" i="2" s="1"/>
  <c r="WE4" i="2" s="1"/>
  <c r="VQ3" i="2"/>
  <c r="WC3" i="2" s="1"/>
  <c r="WE3" i="2" s="1"/>
  <c r="WC6" i="2" l="1"/>
  <c r="WE6" i="2" s="1"/>
  <c r="WC5" i="2"/>
  <c r="WC12" i="2"/>
  <c r="WE12" i="2" s="1"/>
  <c r="WC11" i="2"/>
  <c r="WE11" i="2" s="1"/>
  <c r="VG12" i="2"/>
  <c r="VS12" i="2" s="1"/>
  <c r="VU12" i="2" s="1"/>
  <c r="VG11" i="2"/>
  <c r="VS11" i="2" s="1"/>
  <c r="VU11" i="2" s="1"/>
  <c r="VG10" i="2"/>
  <c r="VS10" i="2" s="1"/>
  <c r="VU10" i="2" s="1"/>
  <c r="VK7" i="2"/>
  <c r="VG7" i="2"/>
  <c r="VG6" i="2"/>
  <c r="VK5" i="2"/>
  <c r="VG5" i="2"/>
  <c r="VS5" i="2" s="1"/>
  <c r="VU5" i="2" s="1"/>
  <c r="VK4" i="2"/>
  <c r="VG4" i="2"/>
  <c r="VS4" i="2" s="1"/>
  <c r="VU4" i="2" s="1"/>
  <c r="VG3" i="2"/>
  <c r="VA12" i="2"/>
  <c r="UW12" i="2"/>
  <c r="UW11" i="2"/>
  <c r="UW10" i="2"/>
  <c r="VA7" i="2"/>
  <c r="UW7" i="2"/>
  <c r="VA6" i="2"/>
  <c r="UW6" i="2"/>
  <c r="UW5" i="2"/>
  <c r="VA4" i="2"/>
  <c r="UW4" i="2"/>
  <c r="VA3" i="2"/>
  <c r="UW3" i="2"/>
  <c r="VI3" i="2" l="1"/>
  <c r="VK3" i="2" s="1"/>
  <c r="VI6" i="2"/>
  <c r="VK6" i="2" s="1"/>
  <c r="VI7" i="2"/>
  <c r="VS3" i="2"/>
  <c r="VU3" i="2" s="1"/>
  <c r="VI5" i="2"/>
  <c r="VS7" i="2"/>
  <c r="VI4" i="2"/>
  <c r="VI11" i="2"/>
  <c r="VK11" i="2" s="1"/>
  <c r="VI12" i="2"/>
  <c r="VK12" i="2" s="1"/>
  <c r="VS6" i="2"/>
  <c r="VU6" i="2" s="1"/>
  <c r="VI10" i="2"/>
  <c r="VK10" i="2" s="1"/>
  <c r="UM4" i="2"/>
  <c r="UY4" i="2" s="1"/>
  <c r="UM12" i="2"/>
  <c r="UM11" i="2"/>
  <c r="UM10" i="2"/>
  <c r="UY10" i="2" s="1"/>
  <c r="VA10" i="2" s="1"/>
  <c r="UQ7" i="2"/>
  <c r="UM7" i="2"/>
  <c r="UY7" i="2" s="1"/>
  <c r="UQ6" i="2"/>
  <c r="UM6" i="2"/>
  <c r="UY6" i="2" s="1"/>
  <c r="UQ5" i="2"/>
  <c r="UM5" i="2"/>
  <c r="UY5" i="2" s="1"/>
  <c r="VA5" i="2" s="1"/>
  <c r="UM3" i="2"/>
  <c r="UY3" i="2" s="1"/>
  <c r="UY12" i="2" l="1"/>
  <c r="UY11" i="2"/>
  <c r="VA11" i="2" s="1"/>
  <c r="UC12" i="2"/>
  <c r="UO12" i="2" s="1"/>
  <c r="UQ12" i="2" s="1"/>
  <c r="UC11" i="2"/>
  <c r="UO11" i="2" s="1"/>
  <c r="UQ11" i="2" s="1"/>
  <c r="UC10" i="2"/>
  <c r="UO10" i="2" s="1"/>
  <c r="UQ10" i="2" s="1"/>
  <c r="UG7" i="2"/>
  <c r="UC7" i="2"/>
  <c r="UC6" i="2"/>
  <c r="UG5" i="2"/>
  <c r="UC5" i="2"/>
  <c r="UO5" i="2" s="1"/>
  <c r="UC4" i="2"/>
  <c r="UO4" i="2" s="1"/>
  <c r="UQ4" i="2" s="1"/>
  <c r="UC3" i="2"/>
  <c r="UO3" i="2" s="1"/>
  <c r="UQ3" i="2" s="1"/>
  <c r="UO6" i="2" l="1"/>
  <c r="UO7" i="2"/>
  <c r="TS12" i="2"/>
  <c r="TS11" i="2"/>
  <c r="TS10" i="2"/>
  <c r="UE10" i="2" s="1"/>
  <c r="UG10" i="2" s="1"/>
  <c r="TW7" i="2"/>
  <c r="TS7" i="2"/>
  <c r="TS6" i="2"/>
  <c r="TS5" i="2"/>
  <c r="UE5" i="2" s="1"/>
  <c r="TS4" i="2"/>
  <c r="UE4" i="2" s="1"/>
  <c r="UG4" i="2" s="1"/>
  <c r="TS3" i="2"/>
  <c r="UE3" i="2" s="1"/>
  <c r="UG3" i="2" s="1"/>
  <c r="UE7" i="2" l="1"/>
  <c r="UE6" i="2"/>
  <c r="UG6" i="2" s="1"/>
  <c r="UE11" i="2"/>
  <c r="UG11" i="2" s="1"/>
  <c r="UE12" i="2"/>
  <c r="UG12" i="2" s="1"/>
  <c r="TI12" i="2"/>
  <c r="TU12" i="2" s="1"/>
  <c r="TW12" i="2" s="1"/>
  <c r="TI11" i="2"/>
  <c r="TU11" i="2" s="1"/>
  <c r="TW11" i="2" s="1"/>
  <c r="TI10" i="2"/>
  <c r="TU10" i="2" s="1"/>
  <c r="TW10" i="2" s="1"/>
  <c r="TM7" i="2"/>
  <c r="TI7" i="2"/>
  <c r="TU7" i="2" s="1"/>
  <c r="TM6" i="2"/>
  <c r="TI6" i="2"/>
  <c r="TU6" i="2" s="1"/>
  <c r="TW6" i="2" s="1"/>
  <c r="TM5" i="2"/>
  <c r="TI5" i="2"/>
  <c r="TU5" i="2" s="1"/>
  <c r="TW5" i="2" s="1"/>
  <c r="TM4" i="2"/>
  <c r="TI4" i="2"/>
  <c r="TU4" i="2" s="1"/>
  <c r="TW4" i="2" s="1"/>
  <c r="TI3" i="2"/>
  <c r="TU3" i="2" s="1"/>
  <c r="TW3" i="2" s="1"/>
  <c r="SY12" i="2"/>
  <c r="SY11" i="2"/>
  <c r="SY10" i="2"/>
  <c r="TC7" i="2"/>
  <c r="SY7" i="2"/>
  <c r="SY6" i="2"/>
  <c r="TC5" i="2"/>
  <c r="SY5" i="2"/>
  <c r="SY4" i="2"/>
  <c r="SY3" i="2"/>
  <c r="SO12" i="2"/>
  <c r="SO11" i="2"/>
  <c r="SO10" i="2"/>
  <c r="SS7" i="2"/>
  <c r="SO7" i="2"/>
  <c r="SO6" i="2"/>
  <c r="SO5" i="2"/>
  <c r="SO4" i="2"/>
  <c r="SO3" i="2"/>
  <c r="TA5" i="2" l="1"/>
  <c r="TK4" i="2"/>
  <c r="TK6" i="2"/>
  <c r="TK10" i="2"/>
  <c r="TM10" i="2" s="1"/>
  <c r="TK11" i="2"/>
  <c r="TM11" i="2" s="1"/>
  <c r="TA12" i="2"/>
  <c r="TC12" i="2" s="1"/>
  <c r="TA7" i="2"/>
  <c r="TA3" i="2"/>
  <c r="TC3" i="2" s="1"/>
  <c r="TA10" i="2"/>
  <c r="TC10" i="2" s="1"/>
  <c r="TK12" i="2"/>
  <c r="TM12" i="2" s="1"/>
  <c r="TA4" i="2"/>
  <c r="TC4" i="2" s="1"/>
  <c r="TA6" i="2"/>
  <c r="TC6" i="2" s="1"/>
  <c r="TA11" i="2"/>
  <c r="TC11" i="2" s="1"/>
  <c r="TK3" i="2"/>
  <c r="TM3" i="2" s="1"/>
  <c r="TK5" i="2"/>
  <c r="TK7" i="2"/>
  <c r="SE12" i="2"/>
  <c r="SE11" i="2"/>
  <c r="SE10" i="2"/>
  <c r="SI7" i="2"/>
  <c r="SE7" i="2"/>
  <c r="SQ7" i="2" s="1"/>
  <c r="SE6" i="2"/>
  <c r="SQ6" i="2" s="1"/>
  <c r="SS6" i="2" s="1"/>
  <c r="SI5" i="2"/>
  <c r="SE5" i="2"/>
  <c r="SI4" i="2"/>
  <c r="SE4" i="2"/>
  <c r="SE3" i="2"/>
  <c r="SQ3" i="2" s="1"/>
  <c r="SS3" i="2" s="1"/>
  <c r="SQ12" i="2" l="1"/>
  <c r="SS12" i="2" s="1"/>
  <c r="SQ11" i="2"/>
  <c r="SS11" i="2" s="1"/>
  <c r="SQ5" i="2"/>
  <c r="SS5" i="2" s="1"/>
  <c r="SQ10" i="2"/>
  <c r="SS10" i="2" s="1"/>
  <c r="SQ4" i="2"/>
  <c r="SS4" i="2" s="1"/>
  <c r="RY12" i="2"/>
  <c r="RU12" i="2"/>
  <c r="SG12" i="2" s="1"/>
  <c r="SI12" i="2" s="1"/>
  <c r="RY11" i="2"/>
  <c r="RU11" i="2"/>
  <c r="RU10" i="2"/>
  <c r="SG10" i="2" s="1"/>
  <c r="SI10" i="2" s="1"/>
  <c r="RY7" i="2"/>
  <c r="RU7" i="2"/>
  <c r="RU6" i="2"/>
  <c r="RY5" i="2"/>
  <c r="RU5" i="2"/>
  <c r="SG5" i="2" s="1"/>
  <c r="RU4" i="2"/>
  <c r="RU3" i="2"/>
  <c r="SG3" i="2" s="1"/>
  <c r="SI3" i="2" s="1"/>
  <c r="RK12" i="2"/>
  <c r="RK11" i="2"/>
  <c r="RK10" i="2"/>
  <c r="RO7" i="2"/>
  <c r="RK7" i="2"/>
  <c r="RK6" i="2"/>
  <c r="RO5" i="2"/>
  <c r="RK5" i="2"/>
  <c r="RO4" i="2"/>
  <c r="RK4" i="2"/>
  <c r="RK3" i="2"/>
  <c r="RA12" i="2"/>
  <c r="RA11" i="2"/>
  <c r="RA10" i="2"/>
  <c r="RA7" i="2"/>
  <c r="RA6" i="2"/>
  <c r="RE5" i="2"/>
  <c r="RA5" i="2"/>
  <c r="RE4" i="2"/>
  <c r="RA4" i="2"/>
  <c r="RA3" i="2"/>
  <c r="RM10" i="2" l="1"/>
  <c r="RO10" i="2" s="1"/>
  <c r="RM4" i="2"/>
  <c r="RW6" i="2"/>
  <c r="RY6" i="2" s="1"/>
  <c r="RW11" i="2"/>
  <c r="RW7" i="2"/>
  <c r="RW4" i="2"/>
  <c r="RY4" i="2" s="1"/>
  <c r="RM5" i="2"/>
  <c r="RM7" i="2"/>
  <c r="RM11" i="2"/>
  <c r="RO11" i="2" s="1"/>
  <c r="RW10" i="2"/>
  <c r="RY10" i="2" s="1"/>
  <c r="RW12" i="2"/>
  <c r="SG11" i="2"/>
  <c r="SI11" i="2" s="1"/>
  <c r="SG6" i="2"/>
  <c r="SI6" i="2" s="1"/>
  <c r="SG4" i="2"/>
  <c r="SG7" i="2"/>
  <c r="RM3" i="2"/>
  <c r="RO3" i="2" s="1"/>
  <c r="RM6" i="2"/>
  <c r="RO6" i="2" s="1"/>
  <c r="RW3" i="2"/>
  <c r="RY3" i="2" s="1"/>
  <c r="RW5" i="2"/>
  <c r="RM12" i="2"/>
  <c r="RO12" i="2" s="1"/>
  <c r="QQ12" i="2"/>
  <c r="QQ11" i="2"/>
  <c r="RC11" i="2" s="1"/>
  <c r="RE11" i="2" s="1"/>
  <c r="QQ10" i="2"/>
  <c r="RC10" i="2" s="1"/>
  <c r="RE10" i="2" s="1"/>
  <c r="QU7" i="2"/>
  <c r="QQ7" i="2"/>
  <c r="RC7" i="2" s="1"/>
  <c r="RE7" i="2" s="1"/>
  <c r="QQ6" i="2"/>
  <c r="QQ5" i="2"/>
  <c r="QU4" i="2"/>
  <c r="QQ4" i="2"/>
  <c r="QQ3" i="2"/>
  <c r="RC3" i="2" s="1"/>
  <c r="RE3" i="2" s="1"/>
  <c r="RC12" i="2" l="1"/>
  <c r="RE12" i="2" s="1"/>
  <c r="RC6" i="2"/>
  <c r="RE6" i="2" s="1"/>
  <c r="RC4" i="2"/>
  <c r="RC5" i="2"/>
  <c r="QG12" i="2"/>
  <c r="QS12" i="2" s="1"/>
  <c r="QU12" i="2" s="1"/>
  <c r="QG11" i="2"/>
  <c r="QG10" i="2"/>
  <c r="QS10" i="2" s="1"/>
  <c r="QU10" i="2" s="1"/>
  <c r="QK7" i="2"/>
  <c r="QG7" i="2"/>
  <c r="QG6" i="2"/>
  <c r="QG5" i="2"/>
  <c r="QG4" i="2"/>
  <c r="QS4" i="2" s="1"/>
  <c r="QG3" i="2"/>
  <c r="QS3" i="2" s="1"/>
  <c r="QU3" i="2" s="1"/>
  <c r="PW12" i="2"/>
  <c r="PW11" i="2"/>
  <c r="PW10" i="2"/>
  <c r="QA7" i="2"/>
  <c r="PW7" i="2"/>
  <c r="QA6" i="2"/>
  <c r="PW6" i="2"/>
  <c r="PW5" i="2"/>
  <c r="QA4" i="2"/>
  <c r="PW4" i="2"/>
  <c r="PW3" i="2"/>
  <c r="QI7" i="2" l="1"/>
  <c r="QI5" i="2"/>
  <c r="QK5" i="2" s="1"/>
  <c r="QI4" i="2"/>
  <c r="QK4" i="2" s="1"/>
  <c r="QI6" i="2"/>
  <c r="QK6" i="2" s="1"/>
  <c r="QS7" i="2"/>
  <c r="QS5" i="2"/>
  <c r="QU5" i="2" s="1"/>
  <c r="QS6" i="2"/>
  <c r="QU6" i="2" s="1"/>
  <c r="QI3" i="2"/>
  <c r="QK3" i="2" s="1"/>
  <c r="QI11" i="2"/>
  <c r="QK11" i="2" s="1"/>
  <c r="QI12" i="2"/>
  <c r="QK12" i="2" s="1"/>
  <c r="QS11" i="2"/>
  <c r="QU11" i="2" s="1"/>
  <c r="QI10" i="2"/>
  <c r="QK10" i="2" s="1"/>
  <c r="T12" i="3"/>
  <c r="P12" i="3"/>
  <c r="T11" i="3"/>
  <c r="P11" i="3"/>
  <c r="T10" i="3"/>
  <c r="P10" i="3"/>
  <c r="P7" i="3"/>
  <c r="P6" i="3"/>
  <c r="P5" i="3"/>
  <c r="P4" i="3"/>
  <c r="T3" i="3"/>
  <c r="P3" i="3"/>
  <c r="R3" i="3" s="1"/>
  <c r="PM7" i="2"/>
  <c r="PQ7" i="2"/>
  <c r="PY7" i="2" l="1"/>
  <c r="I7" i="2"/>
  <c r="M7" i="2"/>
  <c r="S7" i="2"/>
  <c r="AC7" i="2"/>
  <c r="AG7" i="2"/>
  <c r="AM7" i="2"/>
  <c r="AO7" i="2" s="1"/>
  <c r="AQ7" i="2" s="1"/>
  <c r="AW7" i="2"/>
  <c r="BG7" i="2"/>
  <c r="BQ7" i="2"/>
  <c r="BU7" i="2"/>
  <c r="CA7" i="2"/>
  <c r="CC7" i="2" s="1"/>
  <c r="CE7" i="2" s="1"/>
  <c r="CK7" i="2"/>
  <c r="CO7" i="2"/>
  <c r="CU7" i="2"/>
  <c r="DE7" i="2"/>
  <c r="DO7" i="2"/>
  <c r="DY7" i="2"/>
  <c r="EC7" i="2"/>
  <c r="EI7" i="2"/>
  <c r="ES7" i="2"/>
  <c r="EW7" i="2"/>
  <c r="FC7" i="2"/>
  <c r="FE7" i="2" s="1"/>
  <c r="FG7" i="2"/>
  <c r="FM7" i="2"/>
  <c r="FQ7" i="2"/>
  <c r="FW7" i="2"/>
  <c r="GG7" i="2"/>
  <c r="GQ7" i="2"/>
  <c r="HA7" i="2"/>
  <c r="HK7" i="2"/>
  <c r="HU7" i="2"/>
  <c r="HW7" i="2" s="1"/>
  <c r="HY7" i="2" s="1"/>
  <c r="IE7" i="2"/>
  <c r="II7" i="2"/>
  <c r="IO7" i="2"/>
  <c r="IY7" i="2"/>
  <c r="JC7" i="2"/>
  <c r="JI7" i="2"/>
  <c r="JS7" i="2"/>
  <c r="JU7" i="2" s="1"/>
  <c r="JW7" i="2" s="1"/>
  <c r="KC7" i="2"/>
  <c r="KG7" i="2"/>
  <c r="KM7" i="2"/>
  <c r="KW7" i="2"/>
  <c r="LG7" i="2"/>
  <c r="LQ7" i="2"/>
  <c r="LU7" i="2"/>
  <c r="MA7" i="2"/>
  <c r="MC7" i="2" s="1"/>
  <c r="ME7" i="2"/>
  <c r="MK7" i="2"/>
  <c r="MO7" i="2"/>
  <c r="MU7" i="2"/>
  <c r="NE7" i="2"/>
  <c r="NO7" i="2"/>
  <c r="NS7" i="2"/>
  <c r="NY7" i="2"/>
  <c r="OI7" i="2"/>
  <c r="OK7" i="2" s="1"/>
  <c r="OM7" i="2" s="1"/>
  <c r="OS7" i="2"/>
  <c r="PC7" i="2"/>
  <c r="PO7" i="2" s="1"/>
  <c r="PG7" i="2"/>
  <c r="PM12" i="2"/>
  <c r="PM11" i="2"/>
  <c r="PM10" i="2"/>
  <c r="PM6" i="2"/>
  <c r="PQ5" i="2"/>
  <c r="PM5" i="2"/>
  <c r="PQ4" i="2"/>
  <c r="PM4" i="2"/>
  <c r="PM3" i="2"/>
  <c r="PC12" i="2"/>
  <c r="EK7" i="2" l="1"/>
  <c r="EM7" i="2" s="1"/>
  <c r="U7" i="2"/>
  <c r="W7" i="2" s="1"/>
  <c r="OA7" i="2"/>
  <c r="OC7" i="2" s="1"/>
  <c r="FY7" i="2"/>
  <c r="GA7" i="2" s="1"/>
  <c r="DG7" i="2"/>
  <c r="DI7" i="2" s="1"/>
  <c r="KY7" i="2"/>
  <c r="LA7" i="2" s="1"/>
  <c r="MM7" i="2"/>
  <c r="IG7" i="2"/>
  <c r="JA7" i="2"/>
  <c r="GS7" i="2"/>
  <c r="GU7" i="2" s="1"/>
  <c r="BI7" i="2"/>
  <c r="BK7" i="2" s="1"/>
  <c r="KO7" i="2"/>
  <c r="KQ7" i="2" s="1"/>
  <c r="JK7" i="2"/>
  <c r="JM7" i="2" s="1"/>
  <c r="GI7" i="2"/>
  <c r="GK7" i="2" s="1"/>
  <c r="EU7" i="2"/>
  <c r="CW7" i="2"/>
  <c r="CY7" i="2" s="1"/>
  <c r="AY7" i="2"/>
  <c r="BA7" i="2" s="1"/>
  <c r="AE7" i="2"/>
  <c r="PY5" i="2"/>
  <c r="QA5" i="2" s="1"/>
  <c r="PY6" i="2"/>
  <c r="PY3" i="2"/>
  <c r="QA3" i="2" s="1"/>
  <c r="MW7" i="2"/>
  <c r="MY7" i="2" s="1"/>
  <c r="LI7" i="2"/>
  <c r="LK7" i="2" s="1"/>
  <c r="HM7" i="2"/>
  <c r="HO7" i="2" s="1"/>
  <c r="DQ7" i="2"/>
  <c r="DS7" i="2" s="1"/>
  <c r="PY4" i="2"/>
  <c r="PY11" i="2"/>
  <c r="QA11" i="2" s="1"/>
  <c r="PO12" i="2"/>
  <c r="PQ12" i="2" s="1"/>
  <c r="PY12" i="2"/>
  <c r="QA12" i="2" s="1"/>
  <c r="PY10" i="2"/>
  <c r="QA10" i="2" s="1"/>
  <c r="PE7" i="2"/>
  <c r="OU7" i="2"/>
  <c r="OW7" i="2" s="1"/>
  <c r="LS7" i="2"/>
  <c r="HC7" i="2"/>
  <c r="HE7" i="2" s="1"/>
  <c r="EA7" i="2"/>
  <c r="CM7" i="2"/>
  <c r="NQ7" i="2"/>
  <c r="KE7" i="2"/>
  <c r="NG7" i="2"/>
  <c r="NI7" i="2" s="1"/>
  <c r="IQ7" i="2"/>
  <c r="IS7" i="2" s="1"/>
  <c r="FO7" i="2"/>
  <c r="PC11" i="2"/>
  <c r="PO11" i="2" s="1"/>
  <c r="PQ11" i="2" s="1"/>
  <c r="PC10" i="2"/>
  <c r="PO10" i="2" s="1"/>
  <c r="PQ10" i="2" s="1"/>
  <c r="PG6" i="2"/>
  <c r="PC6" i="2"/>
  <c r="PO6" i="2" s="1"/>
  <c r="PQ6" i="2" s="1"/>
  <c r="PC5" i="2"/>
  <c r="PO5" i="2" s="1"/>
  <c r="PC4" i="2"/>
  <c r="PO4" i="2" s="1"/>
  <c r="PC3" i="2"/>
  <c r="PO3" i="2" s="1"/>
  <c r="PQ3" i="2" s="1"/>
  <c r="OS12" i="2" l="1"/>
  <c r="OS11" i="2"/>
  <c r="PE11" i="2" s="1"/>
  <c r="PG11" i="2" s="1"/>
  <c r="OS10" i="2"/>
  <c r="OS6" i="2"/>
  <c r="PE6" i="2" s="1"/>
  <c r="OW5" i="2"/>
  <c r="OS5" i="2"/>
  <c r="OW4" i="2"/>
  <c r="OS4" i="2"/>
  <c r="OS3" i="2"/>
  <c r="PE3" i="2" s="1"/>
  <c r="PG3" i="2" s="1"/>
  <c r="PE4" i="2" l="1"/>
  <c r="PG4" i="2" s="1"/>
  <c r="PE12" i="2"/>
  <c r="PG12" i="2" s="1"/>
  <c r="PE5" i="2"/>
  <c r="PG5" i="2" s="1"/>
  <c r="PE10" i="2"/>
  <c r="PG10" i="2" s="1"/>
  <c r="OI12" i="2"/>
  <c r="OU12" i="2" s="1"/>
  <c r="OW12" i="2" s="1"/>
  <c r="OI11" i="2"/>
  <c r="OI10" i="2"/>
  <c r="OU10" i="2" s="1"/>
  <c r="OW10" i="2" s="1"/>
  <c r="OI6" i="2"/>
  <c r="OM5" i="2"/>
  <c r="OI5" i="2"/>
  <c r="OU5" i="2" s="1"/>
  <c r="OI4" i="2"/>
  <c r="OI3" i="2"/>
  <c r="OU6" i="2" l="1"/>
  <c r="OW6" i="2" s="1"/>
  <c r="OU3" i="2"/>
  <c r="OW3" i="2" s="1"/>
  <c r="OU4" i="2"/>
  <c r="OU11" i="2"/>
  <c r="OW11" i="2" s="1"/>
  <c r="NY12" i="2"/>
  <c r="OK12" i="2" s="1"/>
  <c r="OM12" i="2" s="1"/>
  <c r="NY11" i="2"/>
  <c r="NY10" i="2"/>
  <c r="OK10" i="2" s="1"/>
  <c r="OM10" i="2" s="1"/>
  <c r="NY6" i="2"/>
  <c r="NY5" i="2"/>
  <c r="OK5" i="2" s="1"/>
  <c r="NY4" i="2"/>
  <c r="NY3" i="2"/>
  <c r="OK4" i="2" l="1"/>
  <c r="OM4" i="2" s="1"/>
  <c r="OK6" i="2"/>
  <c r="OM6" i="2" s="1"/>
  <c r="OK3" i="2"/>
  <c r="OM3" i="2" s="1"/>
  <c r="OK11" i="2"/>
  <c r="OM11" i="2" s="1"/>
  <c r="NO12" i="2"/>
  <c r="OA12" i="2" s="1"/>
  <c r="OC12" i="2" s="1"/>
  <c r="NO11" i="2"/>
  <c r="NO10" i="2"/>
  <c r="NS6" i="2"/>
  <c r="NO6" i="2"/>
  <c r="NO5" i="2"/>
  <c r="OA5" i="2" s="1"/>
  <c r="OC5" i="2" s="1"/>
  <c r="NO4" i="2"/>
  <c r="OA4" i="2" s="1"/>
  <c r="OC4" i="2" s="1"/>
  <c r="NO3" i="2"/>
  <c r="OA3" i="2" s="1"/>
  <c r="OC3" i="2" s="1"/>
  <c r="OA11" i="2" l="1"/>
  <c r="OC11" i="2" s="1"/>
  <c r="OA6" i="2"/>
  <c r="OC6" i="2" s="1"/>
  <c r="OA10" i="2"/>
  <c r="OC10" i="2" s="1"/>
  <c r="NE12" i="2"/>
  <c r="NE11" i="2"/>
  <c r="NQ11" i="2" s="1"/>
  <c r="NS11" i="2" s="1"/>
  <c r="NE10" i="2"/>
  <c r="NE6" i="2"/>
  <c r="NQ6" i="2" s="1"/>
  <c r="NE5" i="2"/>
  <c r="NE4" i="2"/>
  <c r="NQ4" i="2" s="1"/>
  <c r="NS4" i="2" s="1"/>
  <c r="NE3" i="2"/>
  <c r="NQ12" i="2" l="1"/>
  <c r="NS12" i="2" s="1"/>
  <c r="NQ5" i="2"/>
  <c r="NS5" i="2" s="1"/>
  <c r="NQ10" i="2"/>
  <c r="NS10" i="2" s="1"/>
  <c r="NQ3" i="2"/>
  <c r="NS3" i="2" s="1"/>
  <c r="MU12" i="2"/>
  <c r="MU11" i="2"/>
  <c r="NG11" i="2" s="1"/>
  <c r="NI11" i="2" s="1"/>
  <c r="MU10" i="2"/>
  <c r="NG10" i="2" s="1"/>
  <c r="NI10" i="2" s="1"/>
  <c r="MU6" i="2"/>
  <c r="NG6" i="2" s="1"/>
  <c r="NI6" i="2" s="1"/>
  <c r="MU5" i="2"/>
  <c r="NG5" i="2" s="1"/>
  <c r="NI5" i="2" s="1"/>
  <c r="MU4" i="2"/>
  <c r="MU3" i="2"/>
  <c r="NG3" i="2" s="1"/>
  <c r="NI3" i="2" s="1"/>
  <c r="MK12" i="2"/>
  <c r="MK11" i="2"/>
  <c r="MK10" i="2"/>
  <c r="MO6" i="2"/>
  <c r="MK6" i="2"/>
  <c r="MO5" i="2"/>
  <c r="MK5" i="2"/>
  <c r="MK4" i="2"/>
  <c r="MK3" i="2"/>
  <c r="MW4" i="2" l="1"/>
  <c r="MY4" i="2" s="1"/>
  <c r="MW6" i="2"/>
  <c r="MY6" i="2" s="1"/>
  <c r="MW12" i="2"/>
  <c r="MY12" i="2" s="1"/>
  <c r="MW3" i="2"/>
  <c r="MY3" i="2" s="1"/>
  <c r="MW5" i="2"/>
  <c r="MY5" i="2" s="1"/>
  <c r="MW10" i="2"/>
  <c r="MY10" i="2" s="1"/>
  <c r="NG4" i="2"/>
  <c r="NI4" i="2" s="1"/>
  <c r="NG12" i="2"/>
  <c r="NI12" i="2" s="1"/>
  <c r="MW11" i="2"/>
  <c r="MY11" i="2" s="1"/>
  <c r="MA12" i="2"/>
  <c r="MA11" i="2"/>
  <c r="MA10" i="2"/>
  <c r="MM10" i="2" s="1"/>
  <c r="MO10" i="2" s="1"/>
  <c r="ME6" i="2"/>
  <c r="MA6" i="2"/>
  <c r="ME5" i="2"/>
  <c r="MA5" i="2"/>
  <c r="ME4" i="2"/>
  <c r="MA4" i="2"/>
  <c r="MM4" i="2" s="1"/>
  <c r="MO4" i="2" s="1"/>
  <c r="MA3" i="2"/>
  <c r="MM5" i="2" l="1"/>
  <c r="MM12" i="2"/>
  <c r="MO12" i="2" s="1"/>
  <c r="MM3" i="2"/>
  <c r="MO3" i="2" s="1"/>
  <c r="MM11" i="2"/>
  <c r="MO11" i="2" s="1"/>
  <c r="MM6" i="2"/>
  <c r="LQ12" i="2"/>
  <c r="MC12" i="2" s="1"/>
  <c r="ME12" i="2" s="1"/>
  <c r="LQ11" i="2"/>
  <c r="MC11" i="2" s="1"/>
  <c r="ME11" i="2" s="1"/>
  <c r="LQ10" i="2"/>
  <c r="MC10" i="2" s="1"/>
  <c r="ME10" i="2" s="1"/>
  <c r="LU6" i="2"/>
  <c r="LQ6" i="2"/>
  <c r="LQ5" i="2"/>
  <c r="LQ4" i="2"/>
  <c r="LQ3" i="2"/>
  <c r="MC3" i="2" s="1"/>
  <c r="ME3" i="2" s="1"/>
  <c r="MC6" i="2" l="1"/>
  <c r="MC4" i="2"/>
  <c r="MC5" i="2"/>
  <c r="LG12" i="2"/>
  <c r="LG11" i="2"/>
  <c r="LG10" i="2"/>
  <c r="LG6" i="2"/>
  <c r="LS6" i="2" s="1"/>
  <c r="LG5" i="2"/>
  <c r="LS5" i="2" s="1"/>
  <c r="LU5" i="2" s="1"/>
  <c r="LK4" i="2"/>
  <c r="LG4" i="2"/>
  <c r="LS4" i="2" s="1"/>
  <c r="LU4" i="2" s="1"/>
  <c r="LG3" i="2"/>
  <c r="LS3" i="2" s="1"/>
  <c r="LU3" i="2" s="1"/>
  <c r="LS11" i="2" l="1"/>
  <c r="LU11" i="2" s="1"/>
  <c r="LS12" i="2"/>
  <c r="LU12" i="2" s="1"/>
  <c r="LS10" i="2"/>
  <c r="LU10" i="2" s="1"/>
  <c r="KW12" i="2"/>
  <c r="LI12" i="2" s="1"/>
  <c r="LK12" i="2" s="1"/>
  <c r="KW11" i="2"/>
  <c r="KW10" i="2"/>
  <c r="KW6" i="2"/>
  <c r="KW5" i="2"/>
  <c r="KW4" i="2"/>
  <c r="LI4" i="2" s="1"/>
  <c r="KW3" i="2"/>
  <c r="LI10" i="2" l="1"/>
  <c r="LK10" i="2" s="1"/>
  <c r="LI5" i="2"/>
  <c r="LK5" i="2" s="1"/>
  <c r="LI6" i="2"/>
  <c r="LK6" i="2" s="1"/>
  <c r="LI3" i="2"/>
  <c r="LK3" i="2" s="1"/>
  <c r="LI11" i="2"/>
  <c r="LK11" i="2" s="1"/>
  <c r="KM12" i="2"/>
  <c r="KY12" i="2" s="1"/>
  <c r="LA12" i="2" s="1"/>
  <c r="KM11" i="2"/>
  <c r="KY11" i="2" s="1"/>
  <c r="LA11" i="2" s="1"/>
  <c r="KM10" i="2"/>
  <c r="KM6" i="2"/>
  <c r="KM5" i="2"/>
  <c r="KY5" i="2" s="1"/>
  <c r="LA5" i="2" s="1"/>
  <c r="KM4" i="2"/>
  <c r="KM3" i="2"/>
  <c r="KY4" i="2" l="1"/>
  <c r="LA4" i="2" s="1"/>
  <c r="KY6" i="2"/>
  <c r="LA6" i="2" s="1"/>
  <c r="KY10" i="2"/>
  <c r="LA10" i="2" s="1"/>
  <c r="KY3" i="2"/>
  <c r="LA3" i="2" s="1"/>
  <c r="KC12" i="2"/>
  <c r="KC11" i="2"/>
  <c r="KC10" i="2"/>
  <c r="KO10" i="2" s="1"/>
  <c r="KQ10" i="2" s="1"/>
  <c r="KG6" i="2"/>
  <c r="KC6" i="2"/>
  <c r="KC5" i="2"/>
  <c r="KG4" i="2"/>
  <c r="KC4" i="2"/>
  <c r="KC3" i="2"/>
  <c r="KO3" i="2" s="1"/>
  <c r="KQ3" i="2" s="1"/>
  <c r="JS12" i="2"/>
  <c r="JS11" i="2"/>
  <c r="JS10" i="2"/>
  <c r="JS6" i="2"/>
  <c r="JS5" i="2"/>
  <c r="JS4" i="2"/>
  <c r="JS3" i="2"/>
  <c r="KE4" i="2" l="1"/>
  <c r="KE11" i="2"/>
  <c r="KG11" i="2" s="1"/>
  <c r="KE6" i="2"/>
  <c r="KO11" i="2"/>
  <c r="KQ11" i="2" s="1"/>
  <c r="KE3" i="2"/>
  <c r="KG3" i="2" s="1"/>
  <c r="KE5" i="2"/>
  <c r="KG5" i="2" s="1"/>
  <c r="KE10" i="2"/>
  <c r="KG10" i="2" s="1"/>
  <c r="KE12" i="2"/>
  <c r="KG12" i="2" s="1"/>
  <c r="KO6" i="2"/>
  <c r="KQ6" i="2" s="1"/>
  <c r="KO12" i="2"/>
  <c r="KQ12" i="2" s="1"/>
  <c r="KO5" i="2"/>
  <c r="KQ5" i="2" s="1"/>
  <c r="KO4" i="2"/>
  <c r="KQ4" i="2" s="1"/>
  <c r="JI12" i="2"/>
  <c r="JI11" i="2"/>
  <c r="JU11" i="2" s="1"/>
  <c r="JW11" i="2" s="1"/>
  <c r="JI10" i="2"/>
  <c r="JI6" i="2"/>
  <c r="JU6" i="2" s="1"/>
  <c r="JW6" i="2" s="1"/>
  <c r="JI5" i="2"/>
  <c r="JI4" i="2"/>
  <c r="JU4" i="2" s="1"/>
  <c r="JW4" i="2" s="1"/>
  <c r="JI3" i="2"/>
  <c r="JU12" i="2" l="1"/>
  <c r="JW12" i="2" s="1"/>
  <c r="JU5" i="2"/>
  <c r="JW5" i="2" s="1"/>
  <c r="JU10" i="2"/>
  <c r="JW10" i="2" s="1"/>
  <c r="JU3" i="2"/>
  <c r="JW3" i="2" s="1"/>
  <c r="IY12" i="2"/>
  <c r="JK12" i="2" s="1"/>
  <c r="JM12" i="2" s="1"/>
  <c r="IY11" i="2"/>
  <c r="IY10" i="2"/>
  <c r="JK10" i="2" s="1"/>
  <c r="JM10" i="2" s="1"/>
  <c r="JC6" i="2"/>
  <c r="IY6" i="2"/>
  <c r="IY5" i="2"/>
  <c r="IY4" i="2"/>
  <c r="IY3" i="2"/>
  <c r="IO12" i="2"/>
  <c r="IO11" i="2"/>
  <c r="IS10" i="2"/>
  <c r="IO10" i="2"/>
  <c r="IO6" i="2"/>
  <c r="IS5" i="2"/>
  <c r="IO5" i="2"/>
  <c r="IO4" i="2"/>
  <c r="IO3" i="2"/>
  <c r="JA6" i="2" l="1"/>
  <c r="JA11" i="2"/>
  <c r="JC11" i="2" s="1"/>
  <c r="JA4" i="2"/>
  <c r="JC4" i="2" s="1"/>
  <c r="JA3" i="2"/>
  <c r="JC3" i="2" s="1"/>
  <c r="JA5" i="2"/>
  <c r="JC5" i="2" s="1"/>
  <c r="JA10" i="2"/>
  <c r="JC10" i="2" s="1"/>
  <c r="JA12" i="2"/>
  <c r="JC12" i="2" s="1"/>
  <c r="JK6" i="2"/>
  <c r="JM6" i="2" s="1"/>
  <c r="JK11" i="2"/>
  <c r="JM11" i="2" s="1"/>
  <c r="JK4" i="2"/>
  <c r="JM4" i="2" s="1"/>
  <c r="JK3" i="2"/>
  <c r="JM3" i="2" s="1"/>
  <c r="JK5" i="2"/>
  <c r="JM5" i="2" s="1"/>
  <c r="IE12" i="2"/>
  <c r="IE11" i="2"/>
  <c r="IE10" i="2"/>
  <c r="IQ10" i="2" s="1"/>
  <c r="II6" i="2"/>
  <c r="IE6" i="2"/>
  <c r="IE5" i="2"/>
  <c r="IE4" i="2"/>
  <c r="IQ4" i="2" s="1"/>
  <c r="IS4" i="2" s="1"/>
  <c r="IE3" i="2"/>
  <c r="HU12" i="2"/>
  <c r="HU11" i="2"/>
  <c r="HU10" i="2"/>
  <c r="HU6" i="2"/>
  <c r="HU5" i="2"/>
  <c r="HU4" i="2"/>
  <c r="HU3" i="2"/>
  <c r="IG12" i="2" l="1"/>
  <c r="II12" i="2" s="1"/>
  <c r="IG3" i="2"/>
  <c r="II3" i="2" s="1"/>
  <c r="IG5" i="2"/>
  <c r="II5" i="2" s="1"/>
  <c r="IG10" i="2"/>
  <c r="II10" i="2" s="1"/>
  <c r="IQ3" i="2"/>
  <c r="IS3" i="2" s="1"/>
  <c r="IG11" i="2"/>
  <c r="II11" i="2" s="1"/>
  <c r="IQ11" i="2"/>
  <c r="IS11" i="2" s="1"/>
  <c r="IQ12" i="2"/>
  <c r="IS12" i="2" s="1"/>
  <c r="IG4" i="2"/>
  <c r="II4" i="2" s="1"/>
  <c r="IG6" i="2"/>
  <c r="IQ6" i="2"/>
  <c r="IS6" i="2" s="1"/>
  <c r="IQ5" i="2"/>
  <c r="HK12" i="2"/>
  <c r="HK11" i="2"/>
  <c r="HW11" i="2" s="1"/>
  <c r="HY11" i="2" s="1"/>
  <c r="HK10" i="2"/>
  <c r="HK6" i="2"/>
  <c r="HO5" i="2"/>
  <c r="HK5" i="2"/>
  <c r="HK4" i="2"/>
  <c r="HK3" i="2"/>
  <c r="HW12" i="2" l="1"/>
  <c r="HY12" i="2" s="1"/>
  <c r="HW5" i="2"/>
  <c r="HY5" i="2" s="1"/>
  <c r="HW4" i="2"/>
  <c r="HY4" i="2" s="1"/>
  <c r="HW6" i="2"/>
  <c r="HY6" i="2" s="1"/>
  <c r="HW10" i="2"/>
  <c r="HY10" i="2" s="1"/>
  <c r="HW3" i="2"/>
  <c r="HY3" i="2" s="1"/>
  <c r="HA12" i="2"/>
  <c r="HM12" i="2" s="1"/>
  <c r="HO12" i="2" s="1"/>
  <c r="HA11" i="2"/>
  <c r="HM11" i="2" s="1"/>
  <c r="HO11" i="2" s="1"/>
  <c r="HA10" i="2"/>
  <c r="HM10" i="2" s="1"/>
  <c r="HO10" i="2" s="1"/>
  <c r="HA6" i="2"/>
  <c r="HM6" i="2" s="1"/>
  <c r="HO6" i="2" s="1"/>
  <c r="HE5" i="2"/>
  <c r="HA5" i="2"/>
  <c r="HA4" i="2"/>
  <c r="HM4" i="2" s="1"/>
  <c r="HO4" i="2" s="1"/>
  <c r="HA3" i="2"/>
  <c r="HM3" i="2" s="1"/>
  <c r="HO3" i="2" s="1"/>
  <c r="GQ12" i="2"/>
  <c r="GQ11" i="2"/>
  <c r="GQ10" i="2"/>
  <c r="GQ6" i="2"/>
  <c r="GQ5" i="2"/>
  <c r="GU4" i="2"/>
  <c r="GQ4" i="2"/>
  <c r="GU3" i="2"/>
  <c r="GQ3" i="2"/>
  <c r="GG12" i="2"/>
  <c r="GG11" i="2"/>
  <c r="GG10" i="2"/>
  <c r="GG6" i="2"/>
  <c r="GG5" i="2"/>
  <c r="GG4" i="2"/>
  <c r="GG3" i="2"/>
  <c r="FW12" i="2"/>
  <c r="FW11" i="2"/>
  <c r="FW10" i="2"/>
  <c r="FW6" i="2"/>
  <c r="FW5" i="2"/>
  <c r="GA4" i="2"/>
  <c r="FW4" i="2"/>
  <c r="FW3" i="2"/>
  <c r="FM12" i="2"/>
  <c r="FM11" i="2"/>
  <c r="FM10" i="2"/>
  <c r="FQ6" i="2"/>
  <c r="FM6" i="2"/>
  <c r="FM5" i="2"/>
  <c r="FQ4" i="2"/>
  <c r="FM4" i="2"/>
  <c r="FM3" i="2"/>
  <c r="FC12" i="2"/>
  <c r="FC11" i="2"/>
  <c r="FC10" i="2"/>
  <c r="FG6" i="2"/>
  <c r="FC6" i="2"/>
  <c r="FC5" i="2"/>
  <c r="FC4" i="2"/>
  <c r="FC3" i="2"/>
  <c r="FO3" i="2" l="1"/>
  <c r="FQ3" i="2" s="1"/>
  <c r="FO4" i="2"/>
  <c r="GI11" i="2"/>
  <c r="GK11" i="2" s="1"/>
  <c r="GS4" i="2"/>
  <c r="GS12" i="2"/>
  <c r="GU12" i="2" s="1"/>
  <c r="FO5" i="2"/>
  <c r="FQ5" i="2" s="1"/>
  <c r="FY6" i="2"/>
  <c r="GA6" i="2" s="1"/>
  <c r="GI3" i="2"/>
  <c r="GK3" i="2" s="1"/>
  <c r="GS6" i="2"/>
  <c r="GU6" i="2" s="1"/>
  <c r="HC5" i="2"/>
  <c r="HC10" i="2"/>
  <c r="HE10" i="2" s="1"/>
  <c r="HM5" i="2"/>
  <c r="FO6" i="2"/>
  <c r="FO12" i="2"/>
  <c r="FQ12" i="2" s="1"/>
  <c r="FY5" i="2"/>
  <c r="GA5" i="2" s="1"/>
  <c r="FY10" i="2"/>
  <c r="GA10" i="2" s="1"/>
  <c r="GI4" i="2"/>
  <c r="GK4" i="2" s="1"/>
  <c r="GI6" i="2"/>
  <c r="GK6" i="2" s="1"/>
  <c r="GI12" i="2"/>
  <c r="GK12" i="2" s="1"/>
  <c r="GS5" i="2"/>
  <c r="GU5" i="2" s="1"/>
  <c r="GS10" i="2"/>
  <c r="GU10" i="2" s="1"/>
  <c r="HC3" i="2"/>
  <c r="HE3" i="2" s="1"/>
  <c r="HC11" i="2"/>
  <c r="HE11" i="2" s="1"/>
  <c r="FO11" i="2"/>
  <c r="FQ11" i="2" s="1"/>
  <c r="FY11" i="2"/>
  <c r="GA11" i="2" s="1"/>
  <c r="FO10" i="2"/>
  <c r="FQ10" i="2" s="1"/>
  <c r="FY3" i="2"/>
  <c r="GA3" i="2" s="1"/>
  <c r="FY12" i="2"/>
  <c r="GA12" i="2" s="1"/>
  <c r="GI5" i="2"/>
  <c r="GK5" i="2" s="1"/>
  <c r="GI10" i="2"/>
  <c r="GK10" i="2" s="1"/>
  <c r="GS3" i="2"/>
  <c r="GS11" i="2"/>
  <c r="GU11" i="2" s="1"/>
  <c r="HC4" i="2"/>
  <c r="HE4" i="2" s="1"/>
  <c r="HC6" i="2"/>
  <c r="HE6" i="2" s="1"/>
  <c r="HC12" i="2"/>
  <c r="HE12" i="2" s="1"/>
  <c r="FY4" i="2"/>
  <c r="ES12" i="2"/>
  <c r="ES11" i="2"/>
  <c r="ES10" i="2"/>
  <c r="FE10" i="2" s="1"/>
  <c r="FG10" i="2" s="1"/>
  <c r="EW6" i="2"/>
  <c r="ES6" i="2"/>
  <c r="FE6" i="2" s="1"/>
  <c r="EW5" i="2"/>
  <c r="ES5" i="2"/>
  <c r="FE5" i="2" s="1"/>
  <c r="FG5" i="2" s="1"/>
  <c r="EW4" i="2"/>
  <c r="ES4" i="2"/>
  <c r="FE4" i="2" s="1"/>
  <c r="FG4" i="2" s="1"/>
  <c r="EW3" i="2"/>
  <c r="ES3" i="2"/>
  <c r="EI12" i="2"/>
  <c r="EI11" i="2"/>
  <c r="EK11" i="2" s="1"/>
  <c r="EM11" i="2" s="1"/>
  <c r="EI10" i="2"/>
  <c r="EI6" i="2"/>
  <c r="EI5" i="2"/>
  <c r="EM4" i="2"/>
  <c r="EI4" i="2"/>
  <c r="EI3" i="2"/>
  <c r="DY12" i="2"/>
  <c r="DY11" i="2"/>
  <c r="DY10" i="2"/>
  <c r="EC6" i="2"/>
  <c r="DY6" i="2"/>
  <c r="DY5" i="2"/>
  <c r="DY4" i="2"/>
  <c r="DY3" i="2"/>
  <c r="DO12" i="2"/>
  <c r="DO11" i="2"/>
  <c r="DO10" i="2"/>
  <c r="DO6" i="2"/>
  <c r="DS5" i="2"/>
  <c r="DO5" i="2"/>
  <c r="DQ5" i="2" s="1"/>
  <c r="DO4" i="2"/>
  <c r="DO3" i="2"/>
  <c r="DE12" i="2"/>
  <c r="DE11" i="2"/>
  <c r="DE10" i="2"/>
  <c r="DE6" i="2"/>
  <c r="DE5" i="2"/>
  <c r="DE4" i="2"/>
  <c r="DE3" i="2"/>
  <c r="CU12" i="2"/>
  <c r="CU11" i="2"/>
  <c r="CU10" i="2"/>
  <c r="CU6" i="2"/>
  <c r="CU5" i="2"/>
  <c r="CY4" i="2"/>
  <c r="CU4" i="2"/>
  <c r="CU3" i="2"/>
  <c r="CK12" i="2"/>
  <c r="CK11" i="2"/>
  <c r="CK10" i="2"/>
  <c r="CO6" i="2"/>
  <c r="CK6" i="2"/>
  <c r="CK5" i="2"/>
  <c r="CO4" i="2"/>
  <c r="CK4" i="2"/>
  <c r="CK3" i="2"/>
  <c r="CA12" i="2"/>
  <c r="CA11" i="2"/>
  <c r="CA10" i="2"/>
  <c r="CA6" i="2"/>
  <c r="CE5" i="2"/>
  <c r="CA5" i="2"/>
  <c r="CE4" i="2"/>
  <c r="CA4" i="2"/>
  <c r="CA3" i="2"/>
  <c r="BQ12" i="2"/>
  <c r="BQ11" i="2"/>
  <c r="BQ10" i="2"/>
  <c r="BU6" i="2"/>
  <c r="BQ6" i="2"/>
  <c r="BQ5" i="2"/>
  <c r="BU4" i="2"/>
  <c r="BQ4" i="2"/>
  <c r="BQ3" i="2"/>
  <c r="BG12" i="2"/>
  <c r="BG11" i="2"/>
  <c r="BG10" i="2"/>
  <c r="BG6" i="2"/>
  <c r="BK5" i="2"/>
  <c r="BG5" i="2"/>
  <c r="BG4" i="2"/>
  <c r="BG3" i="2"/>
  <c r="Y10" i="3"/>
  <c r="Y9" i="3"/>
  <c r="Y8" i="3"/>
  <c r="F15" i="3"/>
  <c r="H15" i="3" s="1"/>
  <c r="J15" i="3" s="1"/>
  <c r="F14" i="3"/>
  <c r="F13" i="3"/>
  <c r="H13" i="3" s="1"/>
  <c r="J13" i="3" s="1"/>
  <c r="J10" i="3"/>
  <c r="F10" i="3"/>
  <c r="H10" i="3" s="1"/>
  <c r="J9" i="3"/>
  <c r="F9" i="3"/>
  <c r="H9" i="3" s="1"/>
  <c r="F8" i="3"/>
  <c r="F7" i="3"/>
  <c r="H7" i="3" s="1"/>
  <c r="J7" i="3" s="1"/>
  <c r="F6" i="3"/>
  <c r="F5" i="3"/>
  <c r="H5" i="3" s="1"/>
  <c r="J5" i="3" s="1"/>
  <c r="F4" i="3"/>
  <c r="F3" i="3"/>
  <c r="H3" i="3" s="1"/>
  <c r="J3" i="3" s="1"/>
  <c r="DG11" i="2" l="1"/>
  <c r="DI11" i="2" s="1"/>
  <c r="EK4" i="2"/>
  <c r="EU12" i="2"/>
  <c r="EW12" i="2" s="1"/>
  <c r="EA3" i="2"/>
  <c r="EC3" i="2" s="1"/>
  <c r="EA11" i="2"/>
  <c r="EC11" i="2" s="1"/>
  <c r="CM11" i="2"/>
  <c r="CO11" i="2" s="1"/>
  <c r="CC3" i="2"/>
  <c r="CE3" i="2" s="1"/>
  <c r="CC6" i="2"/>
  <c r="CE6" i="2" s="1"/>
  <c r="CM3" i="2"/>
  <c r="CO3" i="2" s="1"/>
  <c r="CM6" i="2"/>
  <c r="CM12" i="2"/>
  <c r="CO12" i="2" s="1"/>
  <c r="DQ3" i="2"/>
  <c r="DS3" i="2" s="1"/>
  <c r="DQ10" i="2"/>
  <c r="DS10" i="2" s="1"/>
  <c r="EA4" i="2"/>
  <c r="EC4" i="2" s="1"/>
  <c r="EA6" i="2"/>
  <c r="EA12" i="2"/>
  <c r="EC12" i="2" s="1"/>
  <c r="EK5" i="2"/>
  <c r="EM5" i="2" s="1"/>
  <c r="EK6" i="2"/>
  <c r="EM6" i="2" s="1"/>
  <c r="CC5" i="2"/>
  <c r="CC12" i="2"/>
  <c r="CE12" i="2" s="1"/>
  <c r="DG12" i="2"/>
  <c r="DI12" i="2" s="1"/>
  <c r="DQ6" i="2"/>
  <c r="DS6" i="2" s="1"/>
  <c r="CC4" i="2"/>
  <c r="CC10" i="2"/>
  <c r="CE10" i="2" s="1"/>
  <c r="CM4" i="2"/>
  <c r="DQ4" i="2"/>
  <c r="DS4" i="2" s="1"/>
  <c r="DQ11" i="2"/>
  <c r="DS11" i="2" s="1"/>
  <c r="EK10" i="2"/>
  <c r="EM10" i="2" s="1"/>
  <c r="BS5" i="2"/>
  <c r="BU5" i="2" s="1"/>
  <c r="BS12" i="2"/>
  <c r="BU12" i="2" s="1"/>
  <c r="CW4" i="2"/>
  <c r="CW6" i="2"/>
  <c r="CY6" i="2" s="1"/>
  <c r="CW12" i="2"/>
  <c r="CY12" i="2" s="1"/>
  <c r="DG5" i="2"/>
  <c r="DI5" i="2" s="1"/>
  <c r="DG10" i="2"/>
  <c r="DI10" i="2" s="1"/>
  <c r="EK12" i="2"/>
  <c r="EM12" i="2" s="1"/>
  <c r="EU5" i="2"/>
  <c r="EU10" i="2"/>
  <c r="EW10" i="2" s="1"/>
  <c r="FE12" i="2"/>
  <c r="FG12" i="2" s="1"/>
  <c r="CW5" i="2"/>
  <c r="CY5" i="2" s="1"/>
  <c r="CW10" i="2"/>
  <c r="CY10" i="2" s="1"/>
  <c r="DG3" i="2"/>
  <c r="DI3" i="2" s="1"/>
  <c r="EU3" i="2"/>
  <c r="EU11" i="2"/>
  <c r="EW11" i="2" s="1"/>
  <c r="CC11" i="2"/>
  <c r="CE11" i="2" s="1"/>
  <c r="BS3" i="2"/>
  <c r="BU3" i="2" s="1"/>
  <c r="CM5" i="2"/>
  <c r="CO5" i="2" s="1"/>
  <c r="CM10" i="2"/>
  <c r="CO10" i="2" s="1"/>
  <c r="DQ12" i="2"/>
  <c r="DS12" i="2" s="1"/>
  <c r="EA5" i="2"/>
  <c r="EC5" i="2" s="1"/>
  <c r="EA10" i="2"/>
  <c r="EC10" i="2" s="1"/>
  <c r="EK3" i="2"/>
  <c r="EM3" i="2" s="1"/>
  <c r="BS10" i="2"/>
  <c r="BU10" i="2" s="1"/>
  <c r="CW3" i="2"/>
  <c r="CY3" i="2" s="1"/>
  <c r="CW11" i="2"/>
  <c r="CY11" i="2" s="1"/>
  <c r="DG4" i="2"/>
  <c r="DI4" i="2" s="1"/>
  <c r="DG6" i="2"/>
  <c r="DI6" i="2" s="1"/>
  <c r="EU4" i="2"/>
  <c r="EU6" i="2"/>
  <c r="FE11" i="2"/>
  <c r="FG11" i="2" s="1"/>
  <c r="FE3" i="2"/>
  <c r="FG3" i="2" s="1"/>
  <c r="BS4" i="2"/>
  <c r="BS11" i="2"/>
  <c r="BU11" i="2" s="1"/>
  <c r="H4" i="3"/>
  <c r="J4" i="3" s="1"/>
  <c r="H6" i="3"/>
  <c r="J6" i="3" s="1"/>
  <c r="H8" i="3"/>
  <c r="J8" i="3" s="1"/>
  <c r="H14" i="3"/>
  <c r="J14" i="3" s="1"/>
  <c r="AW12" i="2"/>
  <c r="AW11" i="2"/>
  <c r="AW10" i="2"/>
  <c r="AW6" i="2"/>
  <c r="AW5" i="2"/>
  <c r="AW4" i="2"/>
  <c r="AW3" i="2"/>
  <c r="AM12" i="2"/>
  <c r="AM11" i="2"/>
  <c r="AM10" i="2"/>
  <c r="AM6" i="2"/>
  <c r="AM5" i="2"/>
  <c r="AM4" i="2"/>
  <c r="AM3" i="2"/>
  <c r="AC12" i="2"/>
  <c r="AC11" i="2"/>
  <c r="AC10" i="2"/>
  <c r="AC6" i="2"/>
  <c r="AC5" i="2"/>
  <c r="AC4" i="2"/>
  <c r="AC3" i="2"/>
  <c r="AG6" i="2"/>
  <c r="S3" i="2"/>
  <c r="AO5" i="2" l="1"/>
  <c r="AY6" i="2"/>
  <c r="BA6" i="2" s="1"/>
  <c r="AO4" i="2"/>
  <c r="AQ4" i="2" s="1"/>
  <c r="AO6" i="2"/>
  <c r="AQ6" i="2" s="1"/>
  <c r="AY3" i="2"/>
  <c r="BA3" i="2" s="1"/>
  <c r="AY5" i="2"/>
  <c r="BA5" i="2" s="1"/>
  <c r="AY10" i="2"/>
  <c r="BA10" i="2" s="1"/>
  <c r="AY12" i="2"/>
  <c r="BA12" i="2" s="1"/>
  <c r="BI5" i="2"/>
  <c r="AY4" i="2"/>
  <c r="BA4" i="2" s="1"/>
  <c r="BI6" i="2"/>
  <c r="BK6" i="2" s="1"/>
  <c r="AO3" i="2"/>
  <c r="AQ3" i="2" s="1"/>
  <c r="BI4" i="2"/>
  <c r="BK4" i="2" s="1"/>
  <c r="BI3" i="2"/>
  <c r="BK3" i="2" s="1"/>
  <c r="AO10" i="2"/>
  <c r="AQ10" i="2" s="1"/>
  <c r="AY11" i="2"/>
  <c r="BA11" i="2" s="1"/>
  <c r="BI12" i="2"/>
  <c r="BK12" i="2" s="1"/>
  <c r="BI11" i="2"/>
  <c r="BK11" i="2" s="1"/>
  <c r="BI10" i="2"/>
  <c r="BK10" i="2" s="1"/>
  <c r="AO11" i="2"/>
  <c r="AQ11" i="2" s="1"/>
  <c r="AO12" i="2"/>
  <c r="AQ12" i="2" s="1"/>
  <c r="AE3" i="2"/>
  <c r="AG3" i="2" s="1"/>
  <c r="AQ5" i="2"/>
  <c r="M12" i="2"/>
  <c r="I12" i="2"/>
  <c r="M11" i="2"/>
  <c r="I11" i="2"/>
  <c r="M10" i="2"/>
  <c r="I10" i="2"/>
  <c r="M6" i="2"/>
  <c r="I6" i="2"/>
  <c r="M5" i="2"/>
  <c r="I5" i="2"/>
  <c r="M4" i="2"/>
  <c r="I4" i="2"/>
  <c r="M3" i="2"/>
  <c r="I3" i="2"/>
  <c r="U3" i="2" s="1"/>
  <c r="S12" i="2"/>
  <c r="S11" i="2"/>
  <c r="S10" i="2"/>
  <c r="S6" i="2"/>
  <c r="S5" i="2"/>
  <c r="S4" i="2"/>
  <c r="U6" i="2" l="1"/>
  <c r="U5" i="2"/>
  <c r="W5" i="2" s="1"/>
  <c r="AE6" i="2"/>
  <c r="AE5" i="2"/>
  <c r="AG5" i="2" s="1"/>
  <c r="W3" i="2"/>
  <c r="U4" i="2"/>
  <c r="W4" i="2" s="1"/>
  <c r="AE4" i="2"/>
  <c r="AG4" i="2" s="1"/>
  <c r="U12" i="2"/>
  <c r="W12" i="2" s="1"/>
  <c r="U11" i="2"/>
  <c r="W11" i="2" s="1"/>
  <c r="W6" i="2"/>
  <c r="AE12" i="2"/>
  <c r="AG12" i="2" s="1"/>
  <c r="U10" i="2"/>
  <c r="W10" i="2" s="1"/>
  <c r="AE10" i="2"/>
  <c r="AG10" i="2" s="1"/>
  <c r="AE11" i="2"/>
  <c r="AG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tc={3E096AA7-E90C-47A0-8F69-CB9774E547B1}</author>
    <author>tc={43BC7F32-F444-48BF-89D5-97CC19F5D475}</author>
    <author>tc={D784870C-80F9-4831-B7B6-0679F1B39DFF}</author>
    <author>tc={666957A5-4579-4A13-9661-E6E6F9DBD0CB}</author>
    <author>tc={1C298416-AB9F-4495-B113-C9A79A427B61}</author>
    <author>tc={3EBA3B89-AEDE-402D-AA8E-8CE98DA0AE7C}</author>
    <author>tc={0B5A0332-2E8B-46D1-B16C-C4D518240FDA}</author>
    <author>tc={A6B3C038-7297-4956-B4DA-C46CD0E31EAB}</author>
    <author>tc={C3BDF828-A0E8-452A-BB4E-33F9A287E255}</author>
    <author>tc={29BA7F57-44B0-49F8-B725-F84ED82B83E9}</author>
    <author>tc={437DBBB5-AC26-4E81-9C97-06AD932CCC42}</author>
    <author>tc={6EF2B34F-CAA3-478B-83F9-DA788E56CB0F}</author>
    <author>Purchasing Assistant</author>
  </authors>
  <commentList>
    <comment ref="FA1" authorId="0" shapeId="0" xr:uid="{3E096AA7-E90C-47A0-8F69-CB9774E547B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check the minus 23 and the 0.9 keg? Thank you! 
Reply:
    @Ashburn </t>
      </text>
    </comment>
    <comment ref="MS1" authorId="1" shapeId="0" xr:uid="{43BC7F32-F444-48BF-89D5-97CC19F5D4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Miller Lite Keg! Thank you!
Reply:
    @Ashburn 
Reply:
    done
Thanks
Miriam G</t>
      </text>
    </comment>
    <comment ref="PK1" authorId="2" shapeId="0" xr:uid="{D784870C-80F9-4831-B7B6-0679F1B39D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Beer as soon as possible. Thank you!
Reply:
    @Ashburn </t>
      </text>
    </comment>
    <comment ref="PU1" authorId="3" shapeId="0" xr:uid="{666957A5-4579-4A13-9661-E6E6F9DBD0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Dos X-Lager. Thank you!
Reply:
    @Ashburn </t>
      </text>
    </comment>
    <comment ref="RI1" authorId="4" shapeId="0" xr:uid="{1C298416-AB9F-4495-B113-C9A79A427B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Pacifico. Thank you!
Reply:
    @Ashburn </t>
      </text>
    </comment>
    <comment ref="SW1" authorId="5" shapeId="0" xr:uid="{3EBA3B89-AEDE-402D-AA8E-8CE98DA0AE7C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one in yellow. Thank you!</t>
      </text>
    </comment>
    <comment ref="TG1" authorId="6" shapeId="0" xr:uid="{0B5A0332-2E8B-46D1-B16C-C4D518240F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 and also check the Tank as well. Thank you 
Reply:
    @Ashburn </t>
      </text>
    </comment>
    <comment ref="UA1" authorId="7" shapeId="0" xr:uid="{A6B3C038-7297-4956-B4DA-C46CD0E3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double check the CO2 Tank. Thank you</t>
      </text>
    </comment>
    <comment ref="VY1" authorId="8" shapeId="0" xr:uid="{C3BDF828-A0E8-452A-BB4E-33F9A287E2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check on Pacifico. Thank you!</t>
      </text>
    </comment>
    <comment ref="WI1" authorId="9" shapeId="0" xr:uid="{29BA7F57-44B0-49F8-B725-F84ED82B83E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Pacifico, Model keg. Thank you!</t>
      </text>
    </comment>
    <comment ref="WS1" authorId="10" shapeId="0" xr:uid="{437DBBB5-AC26-4E81-9C97-06AD932CC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beer as soon as possible. Thank you! </t>
      </text>
    </comment>
    <comment ref="XC1" authorId="11" shapeId="0" xr:uid="{6EF2B34F-CAA3-478B-83F9-DA788E56CB0F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</t>
      </text>
    </comment>
    <comment ref="OS3" authorId="12" shapeId="0" xr:uid="{C3E0376B-47AE-4867-B3F3-529DC579099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tfr to LS 5/23/2025</t>
        </r>
      </text>
    </comment>
    <comment ref="UX3" authorId="12" shapeId="0" xr:uid="{C40B8C2A-12D2-4AD0-9EF7-4758A237E6C9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2cs CM</t>
        </r>
      </text>
    </comment>
    <comment ref="WL3" authorId="12" shapeId="0" xr:uid="{C55C93F1-8FDC-4308-8A9F-E3A86C39D4E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 2cs</t>
        </r>
      </text>
    </comment>
    <comment ref="AMF3" authorId="12" shapeId="0" xr:uid="{52EAFA20-A552-4DCE-97C6-5BCCAB7AD670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ZD4" authorId="12" shapeId="0" xr:uid="{4E08BA7C-1D07-43C0-829F-D85821E2BED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11/26 </t>
        </r>
      </text>
    </comment>
    <comment ref="UX5" authorId="12" shapeId="0" xr:uid="{D96264BA-CD5E-4075-977F-6D5D3213E2D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CM</t>
        </r>
      </text>
    </comment>
    <comment ref="AJN6" authorId="12" shapeId="0" xr:uid="{B9D61709-C242-4114-B472-E0C4D06FCAF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tfr to MN</t>
        </r>
      </text>
    </comment>
    <comment ref="AMF6" authorId="12" shapeId="0" xr:uid="{F06906EC-46FE-4F4B-AC66-94F0FC983533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OX10" authorId="12" shapeId="0" xr:uid="{B166B76F-4DE9-4D12-BE1C-64DCA892440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placed order 9/4</t>
        </r>
      </text>
    </comment>
    <comment ref="ADB11" authorId="12" shapeId="0" xr:uid="{C11FEAC9-F3F4-43B9-99F9-B21C5D23322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toast has dos amber-0.08, no miller</t>
        </r>
      </text>
    </comment>
    <comment ref="ANJ11" authorId="12" shapeId="0" xr:uid="{924727EB-523C-4DFB-9833-2CA1CF8E120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emailed david for an update 8/10/2026</t>
        </r>
      </text>
    </comment>
    <comment ref="TY18" authorId="12" shapeId="0" xr:uid="{48BE5917-BC69-4717-9075-9C038ACF6421}">
      <text>
        <r>
          <rPr>
            <sz val="9"/>
            <color indexed="81"/>
            <rFont val="Tahoma"/>
            <family val="2"/>
          </rPr>
          <t xml:space="preserve">CO2 tank ordered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tc={3C834490-4CB0-49B3-9294-0E3CDCF11546}</author>
    <author>tc={C88A3813-636A-4CD6-91B6-1930ECFEC040}</author>
    <author>tc={229A4D68-66A4-42E7-A3C7-3F64D7671506}</author>
    <author>tc={C7A4C188-D3C0-4C47-BFDB-897BDEF1524C}</author>
    <author>tc={C62093FB-BCC6-446D-99FE-E038DB195840}</author>
    <author>tc={75B84756-4DD4-4672-8E56-71DA692CFBC9}</author>
    <author>tc={8ABB5EE9-43DE-4E7A-8FE6-1DA7042F754B}</author>
    <author>tc={AD3D03F4-740E-4B5B-B842-B84F9485FE04}</author>
    <author>tc={69D9E998-41BC-476E-AD7E-E087CE088AF1}</author>
    <author>tc={1331F466-17CB-428E-B69F-3F5FB6CFB5A9}</author>
    <author>tc={4D7B9EA6-1249-43FE-9D85-09CF71C886C0}</author>
    <author>tc={B4DEB1EA-87DF-4956-B463-2004271CFDED}</author>
    <author>Purchasing Assistant</author>
  </authors>
  <commentList>
    <comment ref="FA1" authorId="0" shapeId="0" xr:uid="{3C834490-4CB0-49B3-9294-0E3CDCF115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can you please check the minus 23 and the 0.9 keg? Thank you! 
Reply:
    @Ashburn </t>
      </text>
    </comment>
    <comment ref="MS1" authorId="1" shapeId="0" xr:uid="{C88A3813-636A-4CD6-91B6-1930ECFEC0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Miller Lite Keg! Thank you!
Reply:
    @Ashburn 
Reply:
    done
Thanks
Miriam G</t>
      </text>
    </comment>
    <comment ref="PK1" authorId="2" shapeId="0" xr:uid="{229A4D68-66A4-42E7-A3C7-3F64D7671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Beer as soon as possible. Thank you!
Reply:
    @Ashburn </t>
      </text>
    </comment>
    <comment ref="PU1" authorId="3" shapeId="0" xr:uid="{C7A4C188-D3C0-4C47-BFDB-897BDEF152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Dos X-Lager. Thank you!
Reply:
    @Ashburn </t>
      </text>
    </comment>
    <comment ref="RI1" authorId="4" shapeId="0" xr:uid="{C62093FB-BCC6-446D-99FE-E038DB1958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Pacifico. Thank you!
Reply:
    @Ashburn </t>
      </text>
    </comment>
    <comment ref="SW1" authorId="5" shapeId="0" xr:uid="{75B84756-4DD4-4672-8E56-71DA692CFB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one in yellow. Thank you!</t>
      </text>
    </comment>
    <comment ref="TG1" authorId="6" shapeId="0" xr:uid="{8ABB5EE9-43DE-4E7A-8FE6-1DA7042F75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kegs and also check the Tank as well. Thank you 
Reply:
    @Ashburn </t>
      </text>
    </comment>
    <comment ref="UA1" authorId="7" shapeId="0" xr:uid="{AD3D03F4-740E-4B5B-B842-B84F9485FE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double check the CO2 Tank. Thank you</t>
      </text>
    </comment>
    <comment ref="VY1" authorId="8" shapeId="0" xr:uid="{69D9E998-41BC-476E-AD7E-E087CE088A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check on Pacifico. Thank you!</t>
      </text>
    </comment>
    <comment ref="WI1" authorId="9" shapeId="0" xr:uid="{1331F466-17CB-428E-B69F-3F5FB6CFB5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Pacifico, Model keg. Thank you!</t>
      </text>
    </comment>
    <comment ref="WS1" authorId="10" shapeId="0" xr:uid="{4D7B9EA6-1249-43FE-9D85-09CF71C886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Morning, please inventory beer as soon as possible. Thank you! </t>
      </text>
    </comment>
    <comment ref="XC1" authorId="11" shapeId="0" xr:uid="{B4DEB1EA-87DF-4956-B463-2004271CFD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Morning, please recount the Keg</t>
      </text>
    </comment>
    <comment ref="OS3" authorId="12" shapeId="0" xr:uid="{841BC210-AAE7-48D4-B88B-EE42D390F23C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12btl tfr to LS 5/23/2025</t>
        </r>
      </text>
    </comment>
    <comment ref="UX3" authorId="12" shapeId="0" xr:uid="{85CB2A39-8890-42A2-8EA2-9A5B5B276AD8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2cs CM</t>
        </r>
      </text>
    </comment>
    <comment ref="WL3" authorId="12" shapeId="0" xr:uid="{26C77D24-7884-4FD6-8EAC-04897BC9F97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to CM 2cs</t>
        </r>
      </text>
    </comment>
    <comment ref="AMF3" authorId="12" shapeId="0" xr:uid="{BC92BD94-D90A-428D-B6A5-9CF7FA07F98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ZD4" authorId="12" shapeId="0" xr:uid="{EF965990-7955-4F37-BC72-C2554F1B3FED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fx 11/26 </t>
        </r>
      </text>
    </comment>
    <comment ref="UX5" authorId="12" shapeId="0" xr:uid="{35A29758-32E1-4FF4-9702-07353C0CBECA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CM</t>
        </r>
      </text>
    </comment>
    <comment ref="AJN6" authorId="12" shapeId="0" xr:uid="{CF4C19C4-8BD1-4A49-92C2-296C38FB9207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1cs tfr to MN</t>
        </r>
      </text>
    </comment>
    <comment ref="AMF6" authorId="12" shapeId="0" xr:uid="{AB0FB7BF-BCEE-4ACD-90B8-2ACB1AC3F4CB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tfr from SP</t>
        </r>
      </text>
    </comment>
    <comment ref="ADB11" authorId="12" shapeId="0" xr:uid="{49A7BBCD-6CCD-46CE-868C-859693DD37D1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toast has dos amber-0.08, no miller</t>
        </r>
      </text>
    </comment>
    <comment ref="ANJ11" authorId="12" shapeId="0" xr:uid="{E2347DA9-4F9E-4B2D-95EC-2710503E15D5}">
      <text>
        <r>
          <rPr>
            <b/>
            <sz val="9"/>
            <color indexed="81"/>
            <rFont val="Tahoma"/>
            <family val="2"/>
          </rPr>
          <t>Purchasing Assistant:</t>
        </r>
        <r>
          <rPr>
            <sz val="9"/>
            <color indexed="81"/>
            <rFont val="Tahoma"/>
            <family val="2"/>
          </rPr>
          <t xml:space="preserve">
b/o emailed david for an update 8/10/2026</t>
        </r>
      </text>
    </comment>
    <comment ref="TY18" authorId="12" shapeId="0" xr:uid="{DA01F993-1F45-4915-B6D3-A1791DC97049}">
      <text>
        <r>
          <rPr>
            <sz val="9"/>
            <color indexed="81"/>
            <rFont val="Tahoma"/>
            <family val="2"/>
          </rPr>
          <t xml:space="preserve">CO2 tank ordered
</t>
        </r>
      </text>
    </comment>
  </commentList>
</comments>
</file>

<file path=xl/sharedStrings.xml><?xml version="1.0" encoding="utf-8"?>
<sst xmlns="http://schemas.openxmlformats.org/spreadsheetml/2006/main" count="8845" uniqueCount="96">
  <si>
    <t>NAME</t>
  </si>
  <si>
    <t>DATE</t>
  </si>
  <si>
    <t>Guillermo C.</t>
  </si>
  <si>
    <t>Thamara P</t>
  </si>
  <si>
    <t>Guillermo C</t>
  </si>
  <si>
    <t>Laura</t>
  </si>
  <si>
    <t>Thamara</t>
  </si>
  <si>
    <t xml:space="preserve">Thamara </t>
  </si>
  <si>
    <t>BOTTLES</t>
  </si>
  <si>
    <t>UNIT</t>
  </si>
  <si>
    <t>PAR</t>
  </si>
  <si>
    <t>WLK-IN</t>
  </si>
  <si>
    <t>BAR</t>
  </si>
  <si>
    <t>TOT</t>
  </si>
  <si>
    <t>ORD</t>
  </si>
  <si>
    <t>USE</t>
  </si>
  <si>
    <t>PMIX</t>
  </si>
  <si>
    <t>VAR</t>
  </si>
  <si>
    <t>CORONA</t>
  </si>
  <si>
    <t>24/cs</t>
  </si>
  <si>
    <t>ea</t>
  </si>
  <si>
    <t xml:space="preserve">CORONA LIGHT </t>
  </si>
  <si>
    <t>MODEL-NEGRA</t>
  </si>
  <si>
    <t>PACIFICO</t>
  </si>
  <si>
    <t>SUMMER SHANDY</t>
  </si>
  <si>
    <t>`</t>
  </si>
  <si>
    <t>KEGS</t>
  </si>
  <si>
    <t>MODEL-ESPECIAL</t>
  </si>
  <si>
    <t>MILLER LITE</t>
  </si>
  <si>
    <t>DOS X-AMBER</t>
  </si>
  <si>
    <t>EMPTY KEGS</t>
  </si>
  <si>
    <t>EMPTY</t>
  </si>
  <si>
    <t>THESE KEGS MUST BE RETURNED ON YOUR NEXT DELIVERY!</t>
  </si>
  <si>
    <t>TOT EMPTY KEGS</t>
  </si>
  <si>
    <t>ANY</t>
  </si>
  <si>
    <t>CO2-LG 400 LB-SODA</t>
  </si>
  <si>
    <t>IN-USE</t>
  </si>
  <si>
    <t>REFER PICTURE BELOW</t>
  </si>
  <si>
    <t>CO2 - 400 LB</t>
  </si>
  <si>
    <t>%</t>
  </si>
  <si>
    <t>WALK IN COOLER PROCEDURES</t>
  </si>
  <si>
    <t xml:space="preserve"> - Only sets of 6 bottles are allowed to be kept in the walk-in cooler - That means you can only have 6, 12, 18, 24 bottles etc…</t>
  </si>
  <si>
    <t>GENERAL PROCEDURES</t>
  </si>
  <si>
    <t xml:space="preserve"> - Every week, new Blank columns will be added - These are the only Columns you are to fill out.</t>
  </si>
  <si>
    <t xml:space="preserve"> - You are to fill out only the areas highlighted "green"</t>
  </si>
  <si>
    <t>1/2 Kegs</t>
  </si>
  <si>
    <t>Dos Equis, Miller Lite (BK Only)</t>
  </si>
  <si>
    <t>1/4 Kegs</t>
  </si>
  <si>
    <t>Modelo Especial, Miller Lite, Pacifico</t>
  </si>
  <si>
    <t>1/6 Kegs</t>
  </si>
  <si>
    <t>Old Town Lager, Power Moves IPA</t>
  </si>
  <si>
    <t>Formulas</t>
  </si>
  <si>
    <t>Size</t>
  </si>
  <si>
    <t>Oz/KEG</t>
  </si>
  <si>
    <t>How Many Beers were sold?</t>
  </si>
  <si>
    <t>% Keg Usage</t>
  </si>
  <si>
    <t>DOS</t>
  </si>
  <si>
    <t>MODELO, MILLER</t>
  </si>
  <si>
    <t>08.03.25</t>
  </si>
  <si>
    <t xml:space="preserve">Thamara P </t>
  </si>
  <si>
    <t>George C</t>
  </si>
  <si>
    <t>TOTAL</t>
  </si>
  <si>
    <t>Guillermo</t>
  </si>
  <si>
    <t xml:space="preserve">  Raul J.</t>
  </si>
  <si>
    <t xml:space="preserve"> 12/21</t>
  </si>
  <si>
    <t>1.11.26</t>
  </si>
  <si>
    <t>Raul Jimenez</t>
  </si>
  <si>
    <t>01.18.26</t>
  </si>
  <si>
    <t>01.24.26</t>
  </si>
  <si>
    <t>02.01.26</t>
  </si>
  <si>
    <t>02.8.26</t>
  </si>
  <si>
    <t>02.15.26</t>
  </si>
  <si>
    <t>3.22.26</t>
  </si>
  <si>
    <t>03.29.26</t>
  </si>
  <si>
    <t>04.05.26</t>
  </si>
  <si>
    <t>04.12.26</t>
  </si>
  <si>
    <t>04.19.26</t>
  </si>
  <si>
    <t>04.26.26</t>
  </si>
  <si>
    <t>05.03.26</t>
  </si>
  <si>
    <t xml:space="preserve">NEXT ORDER DATE: </t>
  </si>
  <si>
    <t>0.5.10.26</t>
  </si>
  <si>
    <t>05.31.25</t>
  </si>
  <si>
    <t>06.07.26</t>
  </si>
  <si>
    <t>06.14.26</t>
  </si>
  <si>
    <t>06.21.26</t>
  </si>
  <si>
    <t>06.28.26</t>
  </si>
  <si>
    <t>07.05.26</t>
  </si>
  <si>
    <t>07.12.26</t>
  </si>
  <si>
    <t xml:space="preserve"> </t>
  </si>
  <si>
    <t>07.26.26</t>
  </si>
  <si>
    <t>08.02.26</t>
  </si>
  <si>
    <t>08.09.26</t>
  </si>
  <si>
    <t>08.16.26</t>
  </si>
  <si>
    <t>09.06.26</t>
  </si>
  <si>
    <t>09.13.26</t>
  </si>
  <si>
    <t>09.20.26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</si>
</sst>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;@"/>
  </numFmts>
  <fonts count="9" x14ac:knownFonts="1">
    <font>
      <sz val="11"/>
      <color theme="1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7"/>
      <color theme="1"/>
      <name val="Calibri"/>
      <family val="2"/>
    </font>
    <font>
      <i/>
      <sz val="8"/>
      <color theme="1"/>
      <name val="Calibri"/>
      <family val="2"/>
    </font>
    <font>
      <sz val="7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3" xfId="0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1" fillId="0" borderId="1" xfId="0" applyNumberFormat="1" applyFont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/>
    </xf>
    <xf numFmtId="12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2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2" fillId="3" borderId="9" xfId="0" applyFont="1" applyFill="1" applyBorder="1"/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 applyProtection="1">
      <alignment horizontal="center"/>
      <protection locked="0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center"/>
    </xf>
    <xf numFmtId="165" fontId="2" fillId="3" borderId="9" xfId="0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312"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24</xdr:row>
      <xdr:rowOff>146539</xdr:rowOff>
    </xdr:from>
    <xdr:to>
      <xdr:col>1084</xdr:col>
      <xdr:colOff>87923</xdr:colOff>
      <xdr:row>32</xdr:row>
      <xdr:rowOff>24442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75676C-86DF-4D00-85C2-8FB632619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4469424"/>
          <a:ext cx="1560635" cy="1167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24</xdr:row>
      <xdr:rowOff>146539</xdr:rowOff>
    </xdr:from>
    <xdr:to>
      <xdr:col>1054</xdr:col>
      <xdr:colOff>87923</xdr:colOff>
      <xdr:row>32</xdr:row>
      <xdr:rowOff>24442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77100B-2414-43EA-BA05-122B2236F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756514"/>
          <a:ext cx="1564298" cy="117330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shburn" id="{2809E941-12B2-4663-8BB5-3487F2AF2E8C}" userId="Ashburn@anitascorp.com" providerId="PeoplePicker"/>
  <person displayName="Ashburn" id="{30DCC213-156F-410B-86FF-F7F7C4024C18}" userId="S::ashburn@anitascorp.com::da9cd7d0-da19-4843-998b-20223060089f" providerId="AD"/>
  <person displayName="Purchasing Assistant" id="{16319A6A-D4A4-42FB-9A46-F463BA50C9BA}" userId="S::Purchasingassistant@anitascorp.com::e3ff05a7-ab9c-4d4c-8f3d-6f0a555589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A1" dT="2024-11-25T11:52:42.50" personId="{16319A6A-D4A4-42FB-9A46-F463BA50C9BA}" id="{3E096AA7-E90C-47A0-8F69-CB9774E547B1}">
    <text xml:space="preserve">Morning, can you please check the minus 23 and the 0.9 keg? Thank you! </text>
  </threadedComment>
  <threadedComment ref="FA1" dT="2024-11-25T11:52:47.92" personId="{16319A6A-D4A4-42FB-9A46-F463BA50C9BA}" id="{9FA33BCA-09C8-4AFB-913D-DD1A715F4F53}" parentId="{3E096AA7-E90C-47A0-8F69-CB9774E547B1}">
    <text xml:space="preserve">@Ashburn </text>
    <mentions>
      <mention mentionpersonId="{2809E941-12B2-4663-8BB5-3487F2AF2E8C}" mentionId="{8E36DC45-B526-4B30-95CA-C19C4C5CE83E}" startIndex="0" length="8"/>
    </mentions>
  </threadedComment>
  <threadedComment ref="MS1" dT="2025-04-14T11:10:49.22" personId="{16319A6A-D4A4-42FB-9A46-F463BA50C9BA}" id="{43BC7F32-F444-48BF-89D5-97CC19F5D475}">
    <text>Morning, please recount Miller Lite Keg! Thank you!</text>
  </threadedComment>
  <threadedComment ref="MS1" dT="2025-04-14T11:10:54.23" personId="{16319A6A-D4A4-42FB-9A46-F463BA50C9BA}" id="{B08138DE-9BC0-4AF7-8924-A9A4D7206A1F}" parentId="{43BC7F32-F444-48BF-89D5-97CC19F5D475}">
    <text xml:space="preserve">@Ashburn </text>
    <mentions>
      <mention mentionpersonId="{2809E941-12B2-4663-8BB5-3487F2AF2E8C}" mentionId="{20727556-12A3-4D59-B330-60A46A2920C6}" startIndex="0" length="8"/>
    </mentions>
  </threadedComment>
  <threadedComment ref="MS1" dT="2025-04-14T14:58:59.95" personId="{30DCC213-156F-410B-86FF-F7F7C4024C18}" id="{10D0AF23-C59E-4565-9E37-D25526C5E4E3}" parentId="{43BC7F32-F444-48BF-89D5-97CC19F5D475}">
    <text>done
Thanks
Miriam G</text>
  </threadedComment>
  <threadedComment ref="PK1" dT="2025-06-02T10:59:00.36" personId="{16319A6A-D4A4-42FB-9A46-F463BA50C9BA}" id="{D784870C-80F9-4831-B7B6-0679F1B39DFF}">
    <text>Morning, please inventory Beer as soon as possible. Thank you!</text>
  </threadedComment>
  <threadedComment ref="PK1" dT="2025-06-02T10:59:04.97" personId="{16319A6A-D4A4-42FB-9A46-F463BA50C9BA}" id="{25CB8AAE-79F6-41D2-8DD2-4277F09E7B43}" parentId="{D784870C-80F9-4831-B7B6-0679F1B39DFF}">
    <text xml:space="preserve">@Ashburn </text>
    <mentions>
      <mention mentionpersonId="{2809E941-12B2-4663-8BB5-3487F2AF2E8C}" mentionId="{146A927F-2D66-4187-B517-D8D95605F854}" startIndex="0" length="8"/>
    </mentions>
  </threadedComment>
  <threadedComment ref="PU1" dT="2025-06-09T14:38:25.52" personId="{16319A6A-D4A4-42FB-9A46-F463BA50C9BA}" id="{666957A5-4579-4A13-9661-E6E6F9DBD0CB}">
    <text>Morning, please recount Dos X-Lager. Thank you!</text>
  </threadedComment>
  <threadedComment ref="PU1" dT="2025-06-09T14:38:31.58" personId="{16319A6A-D4A4-42FB-9A46-F463BA50C9BA}" id="{2F506205-F5C9-4AA1-9A8E-62DEF2B2F13A}" parentId="{666957A5-4579-4A13-9661-E6E6F9DBD0CB}">
    <text xml:space="preserve">@Ashburn </text>
    <mentions>
      <mention mentionpersonId="{2809E941-12B2-4663-8BB5-3487F2AF2E8C}" mentionId="{5102BAEB-3D79-45D1-AE04-052580A352E0}" startIndex="0" length="8"/>
    </mentions>
  </threadedComment>
  <threadedComment ref="RI1" dT="2025-07-07T10:22:03.83" personId="{16319A6A-D4A4-42FB-9A46-F463BA50C9BA}" id="{1C298416-AB9F-4495-B113-C9A79A427B61}">
    <text>Morning, please recount Pacifico. Thank you!</text>
  </threadedComment>
  <threadedComment ref="RI1" dT="2025-07-07T10:22:08.81" personId="{16319A6A-D4A4-42FB-9A46-F463BA50C9BA}" id="{B6379833-37F6-4565-BE24-EB8EA9F5B500}" parentId="{1C298416-AB9F-4495-B113-C9A79A427B61}">
    <text xml:space="preserve">@Ashburn </text>
    <mentions>
      <mention mentionpersonId="{2809E941-12B2-4663-8BB5-3487F2AF2E8C}" mentionId="{6F8F4B9F-1AB3-4D1D-BA58-46984C6E075F}" startIndex="0" length="8"/>
    </mentions>
  </threadedComment>
  <threadedComment ref="SW1" dT="2025-08-04T11:21:41.79" personId="{16319A6A-D4A4-42FB-9A46-F463BA50C9BA}" id="{3EBA3B89-AEDE-402D-AA8E-8CE98DA0AE7C}">
    <text>Morning, please recount the one in yellow. Thank you!</text>
  </threadedComment>
  <threadedComment ref="TG1" dT="2025-08-11T11:09:26.32" personId="{16319A6A-D4A4-42FB-9A46-F463BA50C9BA}" id="{0B5A0332-2E8B-46D1-B16C-C4D518240FDA}">
    <text xml:space="preserve">Morning, please recount the kegs and also check the Tank as well. Thank you </text>
  </threadedComment>
  <threadedComment ref="TG1" dT="2025-08-11T11:09:34.84" personId="{16319A6A-D4A4-42FB-9A46-F463BA50C9BA}" id="{0141680B-BF74-4947-B6FC-0B3723D210D2}" parentId="{0B5A0332-2E8B-46D1-B16C-C4D518240FDA}">
    <text xml:space="preserve">@Ashburn </text>
    <mentions>
      <mention mentionpersonId="{2809E941-12B2-4663-8BB5-3487F2AF2E8C}" mentionId="{69F2E1DB-0F9A-4252-ABA0-281F9279EC19}" startIndex="0" length="8"/>
    </mentions>
  </threadedComment>
  <threadedComment ref="UA1" dT="2025-08-25T10:29:14.56" personId="{16319A6A-D4A4-42FB-9A46-F463BA50C9BA}" id="{A6B3C038-7297-4956-B4DA-C46CD0E31EAB}">
    <text>Morning, please double check the CO2 Tank. Thank you</text>
  </threadedComment>
  <threadedComment ref="VY1" dT="2025-09-29T10:10:59.13" personId="{16319A6A-D4A4-42FB-9A46-F463BA50C9BA}" id="{C3BDF828-A0E8-452A-BB4E-33F9A287E255}">
    <text>Morning, please check on Pacifico. Thank you!</text>
  </threadedComment>
  <threadedComment ref="WI1" dT="2025-10-06T10:57:59.01" personId="{16319A6A-D4A4-42FB-9A46-F463BA50C9BA}" id="{29BA7F57-44B0-49F8-B725-F84ED82B83E9}">
    <text>Morning, please recount Pacifico, Model keg. Thank you!</text>
  </threadedComment>
  <threadedComment ref="WS1" dT="2025-10-13T11:31:22.95" personId="{16319A6A-D4A4-42FB-9A46-F463BA50C9BA}" id="{437DBBB5-AC26-4E81-9C97-06AD932CCC42}">
    <text xml:space="preserve">Morning, please inventory beer as soon as possible. Thank you! </text>
  </threadedComment>
  <threadedComment ref="XC1" dT="2025-10-22T10:04:27.57" personId="{16319A6A-D4A4-42FB-9A46-F463BA50C9BA}" id="{6EF2B34F-CAA3-478B-83F9-DA788E56CB0F}">
    <text>Morning, please recount the Keg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A1" dT="2024-11-25T11:52:42.50" personId="{16319A6A-D4A4-42FB-9A46-F463BA50C9BA}" id="{3C834490-4CB0-49B3-9294-0E3CDCF11546}">
    <text xml:space="preserve">Morning, can you please check the minus 23 and the 0.9 keg? Thank you! </text>
  </threadedComment>
  <threadedComment ref="FA1" dT="2024-11-25T11:52:47.92" personId="{16319A6A-D4A4-42FB-9A46-F463BA50C9BA}" id="{C978EC8C-51A6-4418-9364-86CB6FC0BE5A}" parentId="{3C834490-4CB0-49B3-9294-0E3CDCF11546}">
    <text xml:space="preserve">@Ashburn </text>
    <mentions>
      <mention mentionpersonId="{2809E941-12B2-4663-8BB5-3487F2AF2E8C}" mentionId="{630FDCCB-60A2-4BCE-89E3-79A70E96C5E2}" startIndex="0" length="8"/>
    </mentions>
  </threadedComment>
  <threadedComment ref="MS1" dT="2025-04-14T11:10:49.22" personId="{16319A6A-D4A4-42FB-9A46-F463BA50C9BA}" id="{C88A3813-636A-4CD6-91B6-1930ECFEC040}">
    <text>Morning, please recount Miller Lite Keg! Thank you!</text>
  </threadedComment>
  <threadedComment ref="MS1" dT="2025-04-14T11:10:54.23" personId="{16319A6A-D4A4-42FB-9A46-F463BA50C9BA}" id="{1A392B7F-9F10-4A68-BAC7-AA7E3ABECA2F}" parentId="{C88A3813-636A-4CD6-91B6-1930ECFEC040}">
    <text xml:space="preserve">@Ashburn </text>
    <mentions>
      <mention mentionpersonId="{2809E941-12B2-4663-8BB5-3487F2AF2E8C}" mentionId="{11ABBC67-E5CF-4524-9820-3100644BEA92}" startIndex="0" length="8"/>
    </mentions>
  </threadedComment>
  <threadedComment ref="MS1" dT="2025-04-14T14:58:59.95" personId="{30DCC213-156F-410B-86FF-F7F7C4024C18}" id="{B33DD3CA-F570-4D96-A724-7C9F7BD6DFEF}" parentId="{C88A3813-636A-4CD6-91B6-1930ECFEC040}">
    <text>done
Thanks
Miriam G</text>
  </threadedComment>
  <threadedComment ref="PK1" dT="2025-06-02T10:59:00.36" personId="{16319A6A-D4A4-42FB-9A46-F463BA50C9BA}" id="{229A4D68-66A4-42E7-A3C7-3F64D7671506}">
    <text>Morning, please inventory Beer as soon as possible. Thank you!</text>
  </threadedComment>
  <threadedComment ref="PK1" dT="2025-06-02T10:59:04.97" personId="{16319A6A-D4A4-42FB-9A46-F463BA50C9BA}" id="{2F2DC488-35C9-4251-A673-F58BF0135D4D}" parentId="{229A4D68-66A4-42E7-A3C7-3F64D7671506}">
    <text xml:space="preserve">@Ashburn </text>
    <mentions>
      <mention mentionpersonId="{2809E941-12B2-4663-8BB5-3487F2AF2E8C}" mentionId="{792E8EE4-F822-4F36-8135-C85409605E10}" startIndex="0" length="8"/>
    </mentions>
  </threadedComment>
  <threadedComment ref="PU1" dT="2025-06-09T14:38:25.52" personId="{16319A6A-D4A4-42FB-9A46-F463BA50C9BA}" id="{C7A4C188-D3C0-4C47-BFDB-897BDEF1524C}">
    <text>Morning, please recount Dos X-Lager. Thank you!</text>
  </threadedComment>
  <threadedComment ref="PU1" dT="2025-06-09T14:38:31.58" personId="{16319A6A-D4A4-42FB-9A46-F463BA50C9BA}" id="{896B68DB-8678-46AD-A497-AF6A44E5124D}" parentId="{C7A4C188-D3C0-4C47-BFDB-897BDEF1524C}">
    <text xml:space="preserve">@Ashburn </text>
    <mentions>
      <mention mentionpersonId="{2809E941-12B2-4663-8BB5-3487F2AF2E8C}" mentionId="{9AAC332A-BFC0-44AC-978A-365E2A9D57FF}" startIndex="0" length="8"/>
    </mentions>
  </threadedComment>
  <threadedComment ref="RI1" dT="2025-07-07T10:22:03.83" personId="{16319A6A-D4A4-42FB-9A46-F463BA50C9BA}" id="{C62093FB-BCC6-446D-99FE-E038DB195840}">
    <text>Morning, please recount Pacifico. Thank you!</text>
  </threadedComment>
  <threadedComment ref="RI1" dT="2025-07-07T10:22:08.81" personId="{16319A6A-D4A4-42FB-9A46-F463BA50C9BA}" id="{FF4616E8-74CC-4045-9016-A891D541208B}" parentId="{C62093FB-BCC6-446D-99FE-E038DB195840}">
    <text xml:space="preserve">@Ashburn </text>
    <mentions>
      <mention mentionpersonId="{2809E941-12B2-4663-8BB5-3487F2AF2E8C}" mentionId="{E6588CBE-1586-437A-B0C7-F73373C778FA}" startIndex="0" length="8"/>
    </mentions>
  </threadedComment>
  <threadedComment ref="SW1" dT="2025-08-04T11:21:41.79" personId="{16319A6A-D4A4-42FB-9A46-F463BA50C9BA}" id="{75B84756-4DD4-4672-8E56-71DA692CFBC9}">
    <text>Morning, please recount the one in yellow. Thank you!</text>
  </threadedComment>
  <threadedComment ref="TG1" dT="2025-08-11T11:09:26.32" personId="{16319A6A-D4A4-42FB-9A46-F463BA50C9BA}" id="{8ABB5EE9-43DE-4E7A-8FE6-1DA7042F754B}">
    <text xml:space="preserve">Morning, please recount the kegs and also check the Tank as well. Thank you </text>
  </threadedComment>
  <threadedComment ref="TG1" dT="2025-08-11T11:09:34.84" personId="{16319A6A-D4A4-42FB-9A46-F463BA50C9BA}" id="{294B5170-1299-4A61-84CF-C3AC09953143}" parentId="{8ABB5EE9-43DE-4E7A-8FE6-1DA7042F754B}">
    <text xml:space="preserve">@Ashburn </text>
    <mentions>
      <mention mentionpersonId="{2809E941-12B2-4663-8BB5-3487F2AF2E8C}" mentionId="{E69A841F-6564-40DE-B184-CAA9F1A0EBFC}" startIndex="0" length="8"/>
    </mentions>
  </threadedComment>
  <threadedComment ref="UA1" dT="2025-08-25T10:29:14.56" personId="{16319A6A-D4A4-42FB-9A46-F463BA50C9BA}" id="{AD3D03F4-740E-4B5B-B842-B84F9485FE04}">
    <text>Morning, please double check the CO2 Tank. Thank you</text>
  </threadedComment>
  <threadedComment ref="VY1" dT="2025-09-29T10:10:59.13" personId="{16319A6A-D4A4-42FB-9A46-F463BA50C9BA}" id="{69D9E998-41BC-476E-AD7E-E087CE088AF1}">
    <text>Morning, please check on Pacifico. Thank you!</text>
  </threadedComment>
  <threadedComment ref="WI1" dT="2025-10-06T10:57:59.01" personId="{16319A6A-D4A4-42FB-9A46-F463BA50C9BA}" id="{1331F466-17CB-428E-B69F-3F5FB6CFB5A9}">
    <text>Morning, please recount Pacifico, Model keg. Thank you!</text>
  </threadedComment>
  <threadedComment ref="WS1" dT="2025-10-13T11:31:22.95" personId="{16319A6A-D4A4-42FB-9A46-F463BA50C9BA}" id="{4D7B9EA6-1249-43FE-9D85-09CF71C886C0}">
    <text xml:space="preserve">Morning, please inventory beer as soon as possible. Thank you! </text>
  </threadedComment>
  <threadedComment ref="XC1" dT="2025-10-22T10:04:27.57" personId="{16319A6A-D4A4-42FB-9A46-F463BA50C9BA}" id="{B4DEB1EA-87DF-4956-B463-2004271CFDED}">
    <text>Morning, please recount the Keg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AFEC3-3BB0-47A7-B300-D6CE4DCD0A09}">
  <sheetPr>
    <tabColor theme="7" tint="0.79998168889431442"/>
  </sheetPr>
  <dimension ref="A1:AQE24"/>
  <sheetViews>
    <sheetView tabSelected="1" view="pageLayout" zoomScale="130" zoomScaleNormal="130" zoomScalePageLayoutView="130" workbookViewId="0">
      <selection activeCell="APY1" sqref="APY1:AQA1"/>
    </sheetView>
  </sheetViews>
  <sheetFormatPr defaultRowHeight="12.75" customHeight="1" x14ac:dyDescent="0.2"/>
  <cols>
    <col min="1" max="1" width="14.28515625" style="1" customWidth="1"/>
    <col min="2" max="3" width="3.140625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2" width="3.140625" style="8" hidden="1" customWidth="1"/>
    <col min="63" max="63" width="0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3" width="3.140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8" hidden="1" customWidth="1"/>
    <col min="156" max="156" width="2.42578125" style="9" hidden="1" customWidth="1"/>
    <col min="157" max="157" width="3.140625" style="8" hidden="1" customWidth="1"/>
    <col min="158" max="158" width="2.42578125" style="9" hidden="1" customWidth="1"/>
    <col min="159" max="163" width="3.140625" style="8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8" hidden="1" customWidth="1"/>
    <col min="616" max="616" width="2.42578125" style="9" hidden="1" customWidth="1"/>
    <col min="617" max="617" width="3.140625" style="8" hidden="1" customWidth="1"/>
    <col min="618" max="618" width="2.42578125" style="9" hidden="1" customWidth="1"/>
    <col min="619" max="623" width="3.140625" style="8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3" width="3.140625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.28515625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83" width="3.140625" style="8" hidden="1" customWidth="1"/>
    <col min="684" max="684" width="1.28515625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.28515625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83" width="3.140625" style="8" hidden="1" customWidth="1"/>
    <col min="784" max="784" width="1.28515625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1.2851562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1.2851562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.28515625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3" width="3.140625" style="8" hidden="1" customWidth="1"/>
    <col min="954" max="954" width="1.28515625" style="1" hidden="1" customWidth="1"/>
    <col min="955" max="955" width="3.140625" style="8" hidden="1" customWidth="1"/>
    <col min="956" max="956" width="2.42578125" style="9" hidden="1" customWidth="1"/>
    <col min="957" max="957" width="3.140625" style="8" hidden="1" customWidth="1"/>
    <col min="958" max="958" width="2.42578125" style="9" hidden="1" customWidth="1"/>
    <col min="959" max="963" width="3.140625" style="8" hidden="1" customWidth="1"/>
    <col min="964" max="964" width="1.28515625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.28515625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.28515625" style="1" hidden="1" customWidth="1"/>
    <col min="995" max="995" width="3.140625" style="8" hidden="1" customWidth="1"/>
    <col min="996" max="996" width="2.42578125" style="9" hidden="1" customWidth="1"/>
    <col min="997" max="997" width="3.140625" style="8" hidden="1" customWidth="1"/>
    <col min="998" max="998" width="2.42578125" style="9" hidden="1" customWidth="1"/>
    <col min="999" max="1003" width="3.140625" style="8" hidden="1" customWidth="1"/>
    <col min="1004" max="1004" width="1.28515625" style="1" hidden="1" customWidth="1"/>
    <col min="1005" max="1005" width="3.1406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13" width="3.140625" style="8" hidden="1" customWidth="1"/>
    <col min="1014" max="1014" width="1.28515625" style="1" hidden="1" customWidth="1"/>
    <col min="1015" max="1015" width="3.14062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23" width="3.140625" style="8" hidden="1" customWidth="1"/>
    <col min="1024" max="1024" width="1.28515625" style="1" hidden="1" customWidth="1"/>
    <col min="1025" max="1025" width="3.140625" style="8" hidden="1" customWidth="1"/>
    <col min="1026" max="1026" width="2.42578125" style="9" hidden="1" customWidth="1"/>
    <col min="1027" max="1027" width="3.140625" style="8" hidden="1" customWidth="1"/>
    <col min="1028" max="1028" width="2.42578125" style="9" hidden="1" customWidth="1"/>
    <col min="1029" max="1033" width="3.14062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hidden="1" customWidth="1"/>
    <col min="1045" max="1045" width="3.140625" style="8" hidden="1" customWidth="1"/>
    <col min="1046" max="1046" width="2.42578125" style="9" hidden="1" customWidth="1"/>
    <col min="1047" max="1047" width="3.140625" style="8" hidden="1" customWidth="1"/>
    <col min="1048" max="1048" width="2.42578125" style="9" hidden="1" customWidth="1"/>
    <col min="1049" max="1053" width="3.140625" style="8" hidden="1" customWidth="1"/>
    <col min="1054" max="1054" width="1.28515625" style="1" hidden="1" customWidth="1"/>
    <col min="1055" max="1055" width="3.140625" style="8" hidden="1" customWidth="1"/>
    <col min="1056" max="1056" width="2.42578125" style="9" hidden="1" customWidth="1"/>
    <col min="1057" max="1057" width="3.140625" style="8" hidden="1" customWidth="1"/>
    <col min="1058" max="1058" width="2.42578125" style="9" hidden="1" customWidth="1"/>
    <col min="1059" max="1063" width="3.140625" style="8" hidden="1" customWidth="1"/>
    <col min="1064" max="1064" width="1.28515625" style="1" hidden="1" customWidth="1"/>
    <col min="1065" max="1065" width="3.140625" style="8" hidden="1" customWidth="1"/>
    <col min="1066" max="1066" width="2.42578125" style="9" hidden="1" customWidth="1"/>
    <col min="1067" max="1067" width="3.140625" style="8" hidden="1" customWidth="1"/>
    <col min="1068" max="1068" width="2.42578125" style="9" hidden="1" customWidth="1"/>
    <col min="1069" max="1073" width="3.140625" style="8" hidden="1" customWidth="1"/>
    <col min="1074" max="1074" width="1.28515625" style="1" hidden="1" customWidth="1"/>
    <col min="1075" max="1075" width="3.140625" style="8" hidden="1" customWidth="1"/>
    <col min="1076" max="1076" width="2.42578125" style="9" hidden="1" customWidth="1"/>
    <col min="1077" max="1077" width="3.140625" style="8" hidden="1" customWidth="1"/>
    <col min="1078" max="1078" width="2.42578125" style="9" hidden="1" customWidth="1"/>
    <col min="1079" max="1083" width="3.140625" style="8" hidden="1" customWidth="1"/>
    <col min="1084" max="1084" width="1.28515625" style="1" customWidth="1"/>
    <col min="1085" max="1085" width="3.140625" style="8" customWidth="1"/>
    <col min="1086" max="1086" width="2.42578125" style="9" customWidth="1"/>
    <col min="1087" max="1087" width="3.140625" style="8" customWidth="1"/>
    <col min="1088" max="1088" width="2.42578125" style="9" customWidth="1"/>
    <col min="1089" max="1093" width="3.140625" style="8" customWidth="1"/>
    <col min="1094" max="1094" width="1.28515625" style="1" customWidth="1"/>
    <col min="1095" max="1095" width="3.140625" style="8" customWidth="1"/>
    <col min="1096" max="1096" width="2.42578125" style="9" customWidth="1"/>
    <col min="1097" max="1097" width="3.140625" style="8" customWidth="1"/>
    <col min="1098" max="1098" width="2.42578125" style="9" customWidth="1"/>
    <col min="1099" max="1103" width="3.140625" style="8" customWidth="1"/>
    <col min="1104" max="1104" width="1.28515625" style="1" customWidth="1"/>
    <col min="1105" max="1105" width="3.140625" style="8" customWidth="1"/>
    <col min="1106" max="1106" width="2.42578125" style="9" customWidth="1"/>
    <col min="1107" max="1107" width="3.140625" style="8" customWidth="1"/>
    <col min="1108" max="1108" width="2.42578125" style="9" customWidth="1"/>
    <col min="1109" max="1113" width="3.140625" style="8" customWidth="1"/>
    <col min="1114" max="1114" width="1.28515625" style="1" customWidth="1"/>
    <col min="1115" max="1115" width="3.140625" style="8" customWidth="1"/>
    <col min="1116" max="1116" width="2.42578125" style="9" customWidth="1"/>
    <col min="1117" max="1117" width="3.140625" style="8" customWidth="1"/>
    <col min="1118" max="1118" width="2.42578125" style="9" customWidth="1"/>
    <col min="1119" max="1123" width="3.140625" style="8" customWidth="1"/>
    <col min="1124" max="16384" width="9.140625" style="1"/>
  </cols>
  <sheetData>
    <row r="1" spans="1:1123" ht="11.25" x14ac:dyDescent="0.2">
      <c r="A1" s="38" t="s">
        <v>79</v>
      </c>
      <c r="B1" s="69">
        <f ca="1">_xlfn.LET(_xlpm.anchor,DATE(2026,5,4),_xlpm.cycle,14,_xlpm.next,_xlpm.anchor+_xlfn.CEILING.MATH(MAX(0,TODAY()-_xlpm.anchor),_xlpm.cycle),IF(_xlpm.next=TODAY(),"DUE TODAY",_xlpm.next))</f>
        <v>46300</v>
      </c>
      <c r="C1" s="69"/>
      <c r="D1" s="69"/>
      <c r="E1" s="62" t="s">
        <v>0</v>
      </c>
      <c r="F1" s="63"/>
      <c r="G1" s="62"/>
      <c r="H1" s="70"/>
      <c r="I1" s="63"/>
      <c r="J1" s="64" t="s">
        <v>1</v>
      </c>
      <c r="K1" s="64"/>
      <c r="L1" s="68">
        <v>45522</v>
      </c>
      <c r="M1" s="68"/>
      <c r="O1" s="62" t="s">
        <v>0</v>
      </c>
      <c r="P1" s="63"/>
      <c r="Q1" s="62"/>
      <c r="R1" s="70"/>
      <c r="S1" s="63"/>
      <c r="T1" s="64" t="s">
        <v>1</v>
      </c>
      <c r="U1" s="64"/>
      <c r="V1" s="68">
        <v>45529</v>
      </c>
      <c r="W1" s="68"/>
      <c r="Y1" s="62" t="s">
        <v>0</v>
      </c>
      <c r="Z1" s="63"/>
      <c r="AA1" s="62" t="s">
        <v>2</v>
      </c>
      <c r="AB1" s="70"/>
      <c r="AC1" s="63"/>
      <c r="AD1" s="64" t="s">
        <v>1</v>
      </c>
      <c r="AE1" s="64"/>
      <c r="AF1" s="68">
        <v>45536</v>
      </c>
      <c r="AG1" s="68"/>
      <c r="AI1" s="62" t="s">
        <v>0</v>
      </c>
      <c r="AJ1" s="63"/>
      <c r="AK1" s="65" t="s">
        <v>2</v>
      </c>
      <c r="AL1" s="66"/>
      <c r="AM1" s="67"/>
      <c r="AN1" s="64" t="s">
        <v>1</v>
      </c>
      <c r="AO1" s="64"/>
      <c r="AP1" s="68">
        <v>45543</v>
      </c>
      <c r="AQ1" s="68"/>
      <c r="AS1" s="62" t="s">
        <v>0</v>
      </c>
      <c r="AT1" s="63"/>
      <c r="AU1" s="65" t="s">
        <v>2</v>
      </c>
      <c r="AV1" s="66"/>
      <c r="AW1" s="67"/>
      <c r="AX1" s="64" t="s">
        <v>1</v>
      </c>
      <c r="AY1" s="64"/>
      <c r="AZ1" s="68">
        <v>45550</v>
      </c>
      <c r="BA1" s="68"/>
      <c r="BC1" s="62" t="s">
        <v>0</v>
      </c>
      <c r="BD1" s="63"/>
      <c r="BE1" s="55" t="s">
        <v>3</v>
      </c>
      <c r="BF1" s="56"/>
      <c r="BG1" s="57"/>
      <c r="BH1" s="64" t="s">
        <v>1</v>
      </c>
      <c r="BI1" s="64"/>
      <c r="BJ1" s="59">
        <v>45557</v>
      </c>
      <c r="BK1" s="59"/>
      <c r="BM1" s="62" t="s">
        <v>0</v>
      </c>
      <c r="BN1" s="63"/>
      <c r="BO1" s="55" t="s">
        <v>2</v>
      </c>
      <c r="BP1" s="56"/>
      <c r="BQ1" s="57"/>
      <c r="BR1" s="64" t="s">
        <v>1</v>
      </c>
      <c r="BS1" s="64"/>
      <c r="BT1" s="59">
        <v>45564</v>
      </c>
      <c r="BU1" s="59"/>
      <c r="BW1" s="62" t="s">
        <v>0</v>
      </c>
      <c r="BX1" s="63"/>
      <c r="BY1" s="65" t="s">
        <v>3</v>
      </c>
      <c r="BZ1" s="66"/>
      <c r="CA1" s="67"/>
      <c r="CB1" s="64" t="s">
        <v>1</v>
      </c>
      <c r="CC1" s="64"/>
      <c r="CD1" s="68">
        <v>45571</v>
      </c>
      <c r="CE1" s="68"/>
      <c r="CG1" s="62" t="s">
        <v>0</v>
      </c>
      <c r="CH1" s="63"/>
      <c r="CI1" s="65" t="s">
        <v>2</v>
      </c>
      <c r="CJ1" s="66"/>
      <c r="CK1" s="67"/>
      <c r="CL1" s="64" t="s">
        <v>1</v>
      </c>
      <c r="CM1" s="64"/>
      <c r="CN1" s="68">
        <v>45578</v>
      </c>
      <c r="CO1" s="68"/>
      <c r="CQ1" s="62" t="s">
        <v>0</v>
      </c>
      <c r="CR1" s="63"/>
      <c r="CS1" s="65" t="s">
        <v>2</v>
      </c>
      <c r="CT1" s="66"/>
      <c r="CU1" s="67"/>
      <c r="CV1" s="64" t="s">
        <v>1</v>
      </c>
      <c r="CW1" s="64"/>
      <c r="CX1" s="68">
        <v>45585</v>
      </c>
      <c r="CY1" s="68"/>
      <c r="DA1" s="62" t="s">
        <v>0</v>
      </c>
      <c r="DB1" s="63"/>
      <c r="DC1" s="65" t="s">
        <v>2</v>
      </c>
      <c r="DD1" s="66"/>
      <c r="DE1" s="67"/>
      <c r="DF1" s="64" t="s">
        <v>1</v>
      </c>
      <c r="DG1" s="64"/>
      <c r="DH1" s="68">
        <v>45592</v>
      </c>
      <c r="DI1" s="68"/>
      <c r="DK1" s="62" t="s">
        <v>0</v>
      </c>
      <c r="DL1" s="63"/>
      <c r="DM1" s="65" t="s">
        <v>4</v>
      </c>
      <c r="DN1" s="66"/>
      <c r="DO1" s="67"/>
      <c r="DP1" s="64" t="s">
        <v>1</v>
      </c>
      <c r="DQ1" s="64"/>
      <c r="DR1" s="68">
        <v>45599</v>
      </c>
      <c r="DS1" s="68"/>
      <c r="DU1" s="62" t="s">
        <v>0</v>
      </c>
      <c r="DV1" s="63"/>
      <c r="DW1" s="65" t="s">
        <v>2</v>
      </c>
      <c r="DX1" s="66"/>
      <c r="DY1" s="67"/>
      <c r="DZ1" s="64" t="s">
        <v>1</v>
      </c>
      <c r="EA1" s="64"/>
      <c r="EB1" s="68">
        <v>45606</v>
      </c>
      <c r="EC1" s="68"/>
      <c r="EE1" s="62" t="s">
        <v>0</v>
      </c>
      <c r="EF1" s="63"/>
      <c r="EG1" s="65" t="s">
        <v>2</v>
      </c>
      <c r="EH1" s="66"/>
      <c r="EI1" s="67"/>
      <c r="EJ1" s="64" t="s">
        <v>1</v>
      </c>
      <c r="EK1" s="64"/>
      <c r="EL1" s="68">
        <v>45613</v>
      </c>
      <c r="EM1" s="68"/>
      <c r="EO1" s="62" t="s">
        <v>0</v>
      </c>
      <c r="EP1" s="63"/>
      <c r="EQ1" s="65" t="s">
        <v>5</v>
      </c>
      <c r="ER1" s="66"/>
      <c r="ES1" s="67"/>
      <c r="ET1" s="64" t="s">
        <v>1</v>
      </c>
      <c r="EU1" s="64"/>
      <c r="EV1" s="68">
        <v>45615</v>
      </c>
      <c r="EW1" s="68"/>
      <c r="EY1" s="62" t="s">
        <v>0</v>
      </c>
      <c r="EZ1" s="63"/>
      <c r="FA1" s="65" t="s">
        <v>2</v>
      </c>
      <c r="FB1" s="66"/>
      <c r="FC1" s="67"/>
      <c r="FD1" s="64" t="s">
        <v>1</v>
      </c>
      <c r="FE1" s="64"/>
      <c r="FF1" s="68">
        <v>45620</v>
      </c>
      <c r="FG1" s="68"/>
      <c r="FI1" s="62" t="s">
        <v>0</v>
      </c>
      <c r="FJ1" s="63"/>
      <c r="FK1" s="65" t="s">
        <v>2</v>
      </c>
      <c r="FL1" s="66"/>
      <c r="FM1" s="67"/>
      <c r="FN1" s="64" t="s">
        <v>1</v>
      </c>
      <c r="FO1" s="64"/>
      <c r="FP1" s="68">
        <v>45627</v>
      </c>
      <c r="FQ1" s="68"/>
      <c r="FS1" s="62" t="s">
        <v>0</v>
      </c>
      <c r="FT1" s="63"/>
      <c r="FU1" s="65" t="s">
        <v>2</v>
      </c>
      <c r="FV1" s="66"/>
      <c r="FW1" s="67"/>
      <c r="FX1" s="64" t="s">
        <v>1</v>
      </c>
      <c r="FY1" s="64"/>
      <c r="FZ1" s="68">
        <v>45634</v>
      </c>
      <c r="GA1" s="68"/>
      <c r="GC1" s="62" t="s">
        <v>0</v>
      </c>
      <c r="GD1" s="63"/>
      <c r="GE1" s="65" t="s">
        <v>3</v>
      </c>
      <c r="GF1" s="66"/>
      <c r="GG1" s="67"/>
      <c r="GH1" s="64" t="s">
        <v>1</v>
      </c>
      <c r="GI1" s="64"/>
      <c r="GJ1" s="68">
        <v>45641</v>
      </c>
      <c r="GK1" s="68"/>
      <c r="GM1" s="62" t="s">
        <v>0</v>
      </c>
      <c r="GN1" s="63"/>
      <c r="GO1" s="65" t="s">
        <v>3</v>
      </c>
      <c r="GP1" s="66"/>
      <c r="GQ1" s="67"/>
      <c r="GR1" s="64" t="s">
        <v>1</v>
      </c>
      <c r="GS1" s="64"/>
      <c r="GT1" s="68">
        <v>45648</v>
      </c>
      <c r="GU1" s="68"/>
      <c r="GW1" s="62" t="s">
        <v>0</v>
      </c>
      <c r="GX1" s="63"/>
      <c r="GY1" s="65" t="s">
        <v>2</v>
      </c>
      <c r="GZ1" s="66"/>
      <c r="HA1" s="67"/>
      <c r="HB1" s="64" t="s">
        <v>1</v>
      </c>
      <c r="HC1" s="64"/>
      <c r="HD1" s="68">
        <v>45655</v>
      </c>
      <c r="HE1" s="68"/>
      <c r="HG1" s="62" t="s">
        <v>0</v>
      </c>
      <c r="HH1" s="63"/>
      <c r="HI1" s="65" t="s">
        <v>3</v>
      </c>
      <c r="HJ1" s="66"/>
      <c r="HK1" s="67"/>
      <c r="HL1" s="64" t="s">
        <v>1</v>
      </c>
      <c r="HM1" s="64"/>
      <c r="HN1" s="68">
        <v>45662</v>
      </c>
      <c r="HO1" s="68"/>
      <c r="HQ1" s="62" t="s">
        <v>0</v>
      </c>
      <c r="HR1" s="63"/>
      <c r="HS1" s="65" t="s">
        <v>3</v>
      </c>
      <c r="HT1" s="66"/>
      <c r="HU1" s="67"/>
      <c r="HV1" s="64" t="s">
        <v>1</v>
      </c>
      <c r="HW1" s="64"/>
      <c r="HX1" s="68">
        <v>45669</v>
      </c>
      <c r="HY1" s="68"/>
      <c r="IA1" s="62" t="s">
        <v>0</v>
      </c>
      <c r="IB1" s="63"/>
      <c r="IC1" s="65" t="s">
        <v>3</v>
      </c>
      <c r="ID1" s="66"/>
      <c r="IE1" s="67"/>
      <c r="IF1" s="64" t="s">
        <v>1</v>
      </c>
      <c r="IG1" s="64"/>
      <c r="IH1" s="68">
        <v>45676</v>
      </c>
      <c r="II1" s="68"/>
      <c r="IK1" s="62" t="s">
        <v>0</v>
      </c>
      <c r="IL1" s="63"/>
      <c r="IM1" s="65" t="s">
        <v>3</v>
      </c>
      <c r="IN1" s="66"/>
      <c r="IO1" s="67"/>
      <c r="IP1" s="64" t="s">
        <v>1</v>
      </c>
      <c r="IQ1" s="64"/>
      <c r="IR1" s="68">
        <v>45683</v>
      </c>
      <c r="IS1" s="68"/>
      <c r="IU1" s="62" t="s">
        <v>0</v>
      </c>
      <c r="IV1" s="63"/>
      <c r="IW1" s="65" t="s">
        <v>3</v>
      </c>
      <c r="IX1" s="66"/>
      <c r="IY1" s="67"/>
      <c r="IZ1" s="64" t="s">
        <v>1</v>
      </c>
      <c r="JA1" s="64"/>
      <c r="JB1" s="68">
        <v>45690</v>
      </c>
      <c r="JC1" s="68"/>
      <c r="JE1" s="62" t="s">
        <v>0</v>
      </c>
      <c r="JF1" s="63"/>
      <c r="JG1" s="65" t="s">
        <v>3</v>
      </c>
      <c r="JH1" s="66"/>
      <c r="JI1" s="67"/>
      <c r="JJ1" s="64" t="s">
        <v>1</v>
      </c>
      <c r="JK1" s="64"/>
      <c r="JL1" s="68">
        <v>45697</v>
      </c>
      <c r="JM1" s="68"/>
      <c r="JO1" s="62" t="s">
        <v>0</v>
      </c>
      <c r="JP1" s="63"/>
      <c r="JQ1" s="65" t="s">
        <v>6</v>
      </c>
      <c r="JR1" s="66"/>
      <c r="JS1" s="67"/>
      <c r="JT1" s="64" t="s">
        <v>1</v>
      </c>
      <c r="JU1" s="64"/>
      <c r="JV1" s="68">
        <v>45704</v>
      </c>
      <c r="JW1" s="68"/>
      <c r="JY1" s="62" t="s">
        <v>0</v>
      </c>
      <c r="JZ1" s="63"/>
      <c r="KA1" s="65" t="s">
        <v>3</v>
      </c>
      <c r="KB1" s="66"/>
      <c r="KC1" s="67"/>
      <c r="KD1" s="64" t="s">
        <v>1</v>
      </c>
      <c r="KE1" s="64"/>
      <c r="KF1" s="68">
        <v>45711</v>
      </c>
      <c r="KG1" s="68"/>
      <c r="KI1" s="62" t="s">
        <v>0</v>
      </c>
      <c r="KJ1" s="63"/>
      <c r="KK1" s="65" t="s">
        <v>3</v>
      </c>
      <c r="KL1" s="66"/>
      <c r="KM1" s="67"/>
      <c r="KN1" s="64" t="s">
        <v>1</v>
      </c>
      <c r="KO1" s="64"/>
      <c r="KP1" s="68">
        <v>45718</v>
      </c>
      <c r="KQ1" s="68"/>
      <c r="KS1" s="62" t="s">
        <v>0</v>
      </c>
      <c r="KT1" s="63"/>
      <c r="KU1" s="65" t="s">
        <v>3</v>
      </c>
      <c r="KV1" s="66"/>
      <c r="KW1" s="67"/>
      <c r="KX1" s="64" t="s">
        <v>1</v>
      </c>
      <c r="KY1" s="64"/>
      <c r="KZ1" s="68">
        <v>45725</v>
      </c>
      <c r="LA1" s="68"/>
      <c r="LC1" s="62" t="s">
        <v>0</v>
      </c>
      <c r="LD1" s="63"/>
      <c r="LE1" s="65" t="s">
        <v>6</v>
      </c>
      <c r="LF1" s="66"/>
      <c r="LG1" s="67"/>
      <c r="LH1" s="64" t="s">
        <v>1</v>
      </c>
      <c r="LI1" s="64"/>
      <c r="LJ1" s="68">
        <v>45732</v>
      </c>
      <c r="LK1" s="68"/>
      <c r="LM1" s="62" t="s">
        <v>0</v>
      </c>
      <c r="LN1" s="63"/>
      <c r="LO1" s="65" t="s">
        <v>6</v>
      </c>
      <c r="LP1" s="66"/>
      <c r="LQ1" s="67"/>
      <c r="LR1" s="64" t="s">
        <v>1</v>
      </c>
      <c r="LS1" s="64"/>
      <c r="LT1" s="68">
        <v>45739</v>
      </c>
      <c r="LU1" s="68"/>
      <c r="LW1" s="62" t="s">
        <v>0</v>
      </c>
      <c r="LX1" s="63"/>
      <c r="LY1" s="65" t="s">
        <v>6</v>
      </c>
      <c r="LZ1" s="66"/>
      <c r="MA1" s="67"/>
      <c r="MB1" s="64" t="s">
        <v>1</v>
      </c>
      <c r="MC1" s="64"/>
      <c r="MD1" s="68">
        <v>45746</v>
      </c>
      <c r="ME1" s="68"/>
      <c r="MG1" s="62" t="s">
        <v>0</v>
      </c>
      <c r="MH1" s="63"/>
      <c r="MI1" s="65" t="s">
        <v>6</v>
      </c>
      <c r="MJ1" s="66"/>
      <c r="MK1" s="67"/>
      <c r="ML1" s="64" t="s">
        <v>1</v>
      </c>
      <c r="MM1" s="64"/>
      <c r="MN1" s="68">
        <v>45753</v>
      </c>
      <c r="MO1" s="68"/>
      <c r="MQ1" s="62" t="s">
        <v>0</v>
      </c>
      <c r="MR1" s="63"/>
      <c r="MS1" s="55" t="s">
        <v>7</v>
      </c>
      <c r="MT1" s="56"/>
      <c r="MU1" s="57"/>
      <c r="MV1" s="64" t="s">
        <v>1</v>
      </c>
      <c r="MW1" s="64"/>
      <c r="MX1" s="59">
        <v>45760</v>
      </c>
      <c r="MY1" s="59"/>
      <c r="NA1" s="62" t="s">
        <v>0</v>
      </c>
      <c r="NB1" s="63"/>
      <c r="NC1" s="65" t="s">
        <v>6</v>
      </c>
      <c r="ND1" s="66"/>
      <c r="NE1" s="67"/>
      <c r="NF1" s="64" t="s">
        <v>1</v>
      </c>
      <c r="NG1" s="64"/>
      <c r="NH1" s="68">
        <v>45767</v>
      </c>
      <c r="NI1" s="68"/>
      <c r="NK1" s="62" t="s">
        <v>0</v>
      </c>
      <c r="NL1" s="63"/>
      <c r="NM1" s="65" t="s">
        <v>6</v>
      </c>
      <c r="NN1" s="66"/>
      <c r="NO1" s="67"/>
      <c r="NP1" s="64" t="s">
        <v>1</v>
      </c>
      <c r="NQ1" s="64"/>
      <c r="NR1" s="68">
        <v>45774</v>
      </c>
      <c r="NS1" s="68"/>
      <c r="NU1" s="62" t="s">
        <v>0</v>
      </c>
      <c r="NV1" s="63"/>
      <c r="NW1" s="65" t="s">
        <v>3</v>
      </c>
      <c r="NX1" s="66"/>
      <c r="NY1" s="67"/>
      <c r="NZ1" s="64" t="s">
        <v>1</v>
      </c>
      <c r="OA1" s="64"/>
      <c r="OB1" s="68">
        <v>45781</v>
      </c>
      <c r="OC1" s="68"/>
      <c r="OE1" s="62" t="s">
        <v>0</v>
      </c>
      <c r="OF1" s="63"/>
      <c r="OG1" s="55" t="s">
        <v>7</v>
      </c>
      <c r="OH1" s="56"/>
      <c r="OI1" s="57"/>
      <c r="OJ1" s="64" t="s">
        <v>1</v>
      </c>
      <c r="OK1" s="64"/>
      <c r="OL1" s="59">
        <v>45788</v>
      </c>
      <c r="OM1" s="59"/>
      <c r="OO1" s="62" t="s">
        <v>0</v>
      </c>
      <c r="OP1" s="63"/>
      <c r="OQ1" s="65" t="s">
        <v>6</v>
      </c>
      <c r="OR1" s="66"/>
      <c r="OS1" s="67"/>
      <c r="OT1" s="64" t="s">
        <v>1</v>
      </c>
      <c r="OU1" s="64"/>
      <c r="OV1" s="68">
        <v>45795</v>
      </c>
      <c r="OW1" s="68"/>
      <c r="OY1" s="62" t="s">
        <v>0</v>
      </c>
      <c r="OZ1" s="63"/>
      <c r="PA1" s="65" t="s">
        <v>7</v>
      </c>
      <c r="PB1" s="66"/>
      <c r="PC1" s="67"/>
      <c r="PD1" s="64" t="s">
        <v>1</v>
      </c>
      <c r="PE1" s="64"/>
      <c r="PF1" s="68">
        <v>45802</v>
      </c>
      <c r="PG1" s="68"/>
      <c r="PI1" s="62" t="s">
        <v>0</v>
      </c>
      <c r="PJ1" s="63"/>
      <c r="PK1" s="65" t="s">
        <v>6</v>
      </c>
      <c r="PL1" s="66"/>
      <c r="PM1" s="67"/>
      <c r="PN1" s="64" t="s">
        <v>1</v>
      </c>
      <c r="PO1" s="64"/>
      <c r="PP1" s="68">
        <v>45809</v>
      </c>
      <c r="PQ1" s="68"/>
      <c r="PS1" s="62" t="s">
        <v>0</v>
      </c>
      <c r="PT1" s="63"/>
      <c r="PU1" s="55" t="s">
        <v>6</v>
      </c>
      <c r="PV1" s="56"/>
      <c r="PW1" s="57"/>
      <c r="PX1" s="64" t="s">
        <v>1</v>
      </c>
      <c r="PY1" s="64"/>
      <c r="PZ1" s="59">
        <v>45816</v>
      </c>
      <c r="QA1" s="59"/>
      <c r="QC1" s="62" t="s">
        <v>0</v>
      </c>
      <c r="QD1" s="63"/>
      <c r="QE1" s="65" t="s">
        <v>6</v>
      </c>
      <c r="QF1" s="66"/>
      <c r="QG1" s="67"/>
      <c r="QH1" s="64" t="s">
        <v>1</v>
      </c>
      <c r="QI1" s="64"/>
      <c r="QJ1" s="68">
        <v>45823</v>
      </c>
      <c r="QK1" s="68"/>
      <c r="QM1" s="62" t="s">
        <v>0</v>
      </c>
      <c r="QN1" s="63"/>
      <c r="QO1" s="65" t="s">
        <v>6</v>
      </c>
      <c r="QP1" s="66"/>
      <c r="QQ1" s="67"/>
      <c r="QR1" s="64" t="s">
        <v>1</v>
      </c>
      <c r="QS1" s="64"/>
      <c r="QT1" s="68">
        <v>45830</v>
      </c>
      <c r="QU1" s="68"/>
      <c r="QW1" s="62" t="s">
        <v>0</v>
      </c>
      <c r="QX1" s="63"/>
      <c r="QY1" s="65" t="s">
        <v>7</v>
      </c>
      <c r="QZ1" s="66"/>
      <c r="RA1" s="67"/>
      <c r="RB1" s="64" t="s">
        <v>1</v>
      </c>
      <c r="RC1" s="64"/>
      <c r="RD1" s="68">
        <v>45837</v>
      </c>
      <c r="RE1" s="68"/>
      <c r="RG1" s="62" t="s">
        <v>0</v>
      </c>
      <c r="RH1" s="63"/>
      <c r="RI1" s="65" t="s">
        <v>3</v>
      </c>
      <c r="RJ1" s="66"/>
      <c r="RK1" s="67"/>
      <c r="RL1" s="64" t="s">
        <v>1</v>
      </c>
      <c r="RM1" s="64"/>
      <c r="RN1" s="68">
        <v>45844</v>
      </c>
      <c r="RO1" s="68"/>
      <c r="RQ1" s="62" t="s">
        <v>0</v>
      </c>
      <c r="RR1" s="63"/>
      <c r="RS1" s="65" t="s">
        <v>6</v>
      </c>
      <c r="RT1" s="66"/>
      <c r="RU1" s="67"/>
      <c r="RV1" s="64" t="s">
        <v>1</v>
      </c>
      <c r="RW1" s="64"/>
      <c r="RX1" s="68">
        <v>45851</v>
      </c>
      <c r="RY1" s="68"/>
      <c r="SA1" s="62" t="s">
        <v>0</v>
      </c>
      <c r="SB1" s="63"/>
      <c r="SC1" s="55" t="s">
        <v>7</v>
      </c>
      <c r="SD1" s="56"/>
      <c r="SE1" s="57"/>
      <c r="SF1" s="64" t="s">
        <v>1</v>
      </c>
      <c r="SG1" s="64"/>
      <c r="SH1" s="59">
        <v>45858</v>
      </c>
      <c r="SI1" s="59"/>
      <c r="SK1" s="62" t="s">
        <v>0</v>
      </c>
      <c r="SL1" s="63"/>
      <c r="SM1" s="65" t="s">
        <v>6</v>
      </c>
      <c r="SN1" s="66"/>
      <c r="SO1" s="67"/>
      <c r="SP1" s="64" t="s">
        <v>1</v>
      </c>
      <c r="SQ1" s="64"/>
      <c r="SR1" s="68">
        <v>45865</v>
      </c>
      <c r="SS1" s="68"/>
      <c r="SU1" s="62" t="s">
        <v>0</v>
      </c>
      <c r="SV1" s="63"/>
      <c r="SW1" s="65" t="s">
        <v>2</v>
      </c>
      <c r="SX1" s="66"/>
      <c r="SY1" s="67"/>
      <c r="SZ1" s="64" t="s">
        <v>1</v>
      </c>
      <c r="TA1" s="64"/>
      <c r="TB1" s="68" t="s">
        <v>58</v>
      </c>
      <c r="TC1" s="68"/>
      <c r="TE1" s="62" t="s">
        <v>0</v>
      </c>
      <c r="TF1" s="63"/>
      <c r="TG1" s="65" t="s">
        <v>3</v>
      </c>
      <c r="TH1" s="66"/>
      <c r="TI1" s="67"/>
      <c r="TJ1" s="64" t="s">
        <v>1</v>
      </c>
      <c r="TK1" s="64"/>
      <c r="TL1" s="68">
        <v>45879</v>
      </c>
      <c r="TM1" s="68"/>
      <c r="TO1" s="62" t="s">
        <v>0</v>
      </c>
      <c r="TP1" s="63"/>
      <c r="TQ1" s="65" t="s">
        <v>7</v>
      </c>
      <c r="TR1" s="66"/>
      <c r="TS1" s="67"/>
      <c r="TT1" s="64" t="s">
        <v>1</v>
      </c>
      <c r="TU1" s="64"/>
      <c r="TV1" s="68">
        <v>45886</v>
      </c>
      <c r="TW1" s="68"/>
      <c r="TY1" s="62" t="s">
        <v>0</v>
      </c>
      <c r="TZ1" s="63"/>
      <c r="UA1" s="65" t="s">
        <v>7</v>
      </c>
      <c r="UB1" s="66"/>
      <c r="UC1" s="67"/>
      <c r="UD1" s="64" t="s">
        <v>1</v>
      </c>
      <c r="UE1" s="64"/>
      <c r="UF1" s="68">
        <v>45893</v>
      </c>
      <c r="UG1" s="68"/>
      <c r="UI1" s="62" t="s">
        <v>0</v>
      </c>
      <c r="UJ1" s="63"/>
      <c r="UK1" s="55" t="s">
        <v>3</v>
      </c>
      <c r="UL1" s="56"/>
      <c r="UM1" s="57"/>
      <c r="UN1" s="64" t="s">
        <v>1</v>
      </c>
      <c r="UO1" s="64"/>
      <c r="UP1" s="59">
        <v>45900</v>
      </c>
      <c r="UQ1" s="59"/>
      <c r="US1" s="62" t="s">
        <v>0</v>
      </c>
      <c r="UT1" s="63"/>
      <c r="UU1" s="65" t="s">
        <v>7</v>
      </c>
      <c r="UV1" s="66"/>
      <c r="UW1" s="67"/>
      <c r="UX1" s="64" t="s">
        <v>1</v>
      </c>
      <c r="UY1" s="64"/>
      <c r="UZ1" s="68">
        <v>45907</v>
      </c>
      <c r="VA1" s="68"/>
      <c r="VC1" s="62" t="s">
        <v>0</v>
      </c>
      <c r="VD1" s="63"/>
      <c r="VE1" s="55" t="s">
        <v>7</v>
      </c>
      <c r="VF1" s="56"/>
      <c r="VG1" s="57"/>
      <c r="VH1" s="64" t="s">
        <v>1</v>
      </c>
      <c r="VI1" s="64"/>
      <c r="VJ1" s="59">
        <v>45914</v>
      </c>
      <c r="VK1" s="59"/>
      <c r="VM1" s="62" t="s">
        <v>0</v>
      </c>
      <c r="VN1" s="63"/>
      <c r="VO1" s="65" t="s">
        <v>7</v>
      </c>
      <c r="VP1" s="66"/>
      <c r="VQ1" s="67"/>
      <c r="VR1" s="64" t="s">
        <v>1</v>
      </c>
      <c r="VS1" s="64"/>
      <c r="VT1" s="68">
        <v>45921</v>
      </c>
      <c r="VU1" s="68"/>
      <c r="VW1" s="62" t="s">
        <v>0</v>
      </c>
      <c r="VX1" s="63"/>
      <c r="VY1" s="55" t="s">
        <v>59</v>
      </c>
      <c r="VZ1" s="56"/>
      <c r="WA1" s="57"/>
      <c r="WB1" s="64" t="s">
        <v>1</v>
      </c>
      <c r="WC1" s="64"/>
      <c r="WD1" s="59">
        <v>45928</v>
      </c>
      <c r="WE1" s="59"/>
      <c r="WG1" s="62" t="s">
        <v>0</v>
      </c>
      <c r="WH1" s="63"/>
      <c r="WI1" s="55" t="s">
        <v>60</v>
      </c>
      <c r="WJ1" s="56"/>
      <c r="WK1" s="57"/>
      <c r="WL1" s="64" t="s">
        <v>1</v>
      </c>
      <c r="WM1" s="64"/>
      <c r="WN1" s="59">
        <v>45935</v>
      </c>
      <c r="WO1" s="59"/>
      <c r="WQ1" s="62" t="s">
        <v>0</v>
      </c>
      <c r="WR1" s="63"/>
      <c r="WS1" s="55" t="s">
        <v>2</v>
      </c>
      <c r="WT1" s="56"/>
      <c r="WU1" s="57"/>
      <c r="WV1" s="64" t="s">
        <v>1</v>
      </c>
      <c r="WW1" s="64"/>
      <c r="WX1" s="59">
        <v>45947</v>
      </c>
      <c r="WY1" s="59"/>
      <c r="XA1" s="62" t="s">
        <v>0</v>
      </c>
      <c r="XB1" s="63"/>
      <c r="XC1" s="65" t="s">
        <v>2</v>
      </c>
      <c r="XD1" s="66"/>
      <c r="XE1" s="67"/>
      <c r="XF1" s="64" t="s">
        <v>1</v>
      </c>
      <c r="XG1" s="64"/>
      <c r="XH1" s="68">
        <v>45949</v>
      </c>
      <c r="XI1" s="68"/>
      <c r="XK1" s="62" t="s">
        <v>0</v>
      </c>
      <c r="XL1" s="63"/>
      <c r="XM1" s="65" t="s">
        <v>4</v>
      </c>
      <c r="XN1" s="66"/>
      <c r="XO1" s="67"/>
      <c r="XP1" s="64" t="s">
        <v>1</v>
      </c>
      <c r="XQ1" s="64"/>
      <c r="XR1" s="68">
        <v>45956</v>
      </c>
      <c r="XS1" s="68"/>
      <c r="XU1" s="62" t="s">
        <v>0</v>
      </c>
      <c r="XV1" s="63"/>
      <c r="XW1" s="65" t="s">
        <v>2</v>
      </c>
      <c r="XX1" s="66"/>
      <c r="XY1" s="67"/>
      <c r="XZ1" s="64" t="s">
        <v>1</v>
      </c>
      <c r="YA1" s="64"/>
      <c r="YB1" s="68">
        <v>45963</v>
      </c>
      <c r="YC1" s="68"/>
      <c r="YE1" s="62" t="s">
        <v>0</v>
      </c>
      <c r="YF1" s="63"/>
      <c r="YG1" s="65" t="s">
        <v>62</v>
      </c>
      <c r="YH1" s="66"/>
      <c r="YI1" s="67"/>
      <c r="YJ1" s="64" t="s">
        <v>1</v>
      </c>
      <c r="YK1" s="64"/>
      <c r="YL1" s="68">
        <v>45970</v>
      </c>
      <c r="YM1" s="68"/>
      <c r="YO1" s="62" t="s">
        <v>0</v>
      </c>
      <c r="YP1" s="63"/>
      <c r="YQ1" s="65" t="s">
        <v>62</v>
      </c>
      <c r="YR1" s="66"/>
      <c r="YS1" s="67"/>
      <c r="YT1" s="64" t="s">
        <v>1</v>
      </c>
      <c r="YU1" s="64"/>
      <c r="YV1" s="68">
        <v>45977</v>
      </c>
      <c r="YW1" s="68"/>
      <c r="YY1" s="62" t="s">
        <v>0</v>
      </c>
      <c r="YZ1" s="63"/>
      <c r="ZA1" s="65" t="s">
        <v>2</v>
      </c>
      <c r="ZB1" s="66"/>
      <c r="ZC1" s="67"/>
      <c r="ZD1" s="64" t="s">
        <v>1</v>
      </c>
      <c r="ZE1" s="64"/>
      <c r="ZF1" s="68">
        <v>45984</v>
      </c>
      <c r="ZG1" s="68"/>
      <c r="ZI1" s="62" t="s">
        <v>0</v>
      </c>
      <c r="ZJ1" s="63"/>
      <c r="ZK1" s="65" t="s">
        <v>62</v>
      </c>
      <c r="ZL1" s="66"/>
      <c r="ZM1" s="67"/>
      <c r="ZN1" s="64" t="s">
        <v>1</v>
      </c>
      <c r="ZO1" s="64"/>
      <c r="ZP1" s="68">
        <v>45991</v>
      </c>
      <c r="ZQ1" s="68"/>
      <c r="ZS1" s="62" t="s">
        <v>0</v>
      </c>
      <c r="ZT1" s="63"/>
      <c r="ZU1" s="65" t="s">
        <v>2</v>
      </c>
      <c r="ZV1" s="66"/>
      <c r="ZW1" s="67"/>
      <c r="ZX1" s="64" t="s">
        <v>1</v>
      </c>
      <c r="ZY1" s="64"/>
      <c r="ZZ1" s="68">
        <v>45998</v>
      </c>
      <c r="AAA1" s="68"/>
      <c r="AAC1" s="62" t="s">
        <v>0</v>
      </c>
      <c r="AAD1" s="63"/>
      <c r="AAE1" s="65" t="s">
        <v>2</v>
      </c>
      <c r="AAF1" s="66"/>
      <c r="AAG1" s="67"/>
      <c r="AAH1" s="64" t="s">
        <v>1</v>
      </c>
      <c r="AAI1" s="64"/>
      <c r="AAJ1" s="68">
        <v>46005</v>
      </c>
      <c r="AAK1" s="68"/>
      <c r="AAM1" s="62" t="s">
        <v>0</v>
      </c>
      <c r="AAN1" s="63"/>
      <c r="AAO1" s="55" t="s">
        <v>63</v>
      </c>
      <c r="AAP1" s="56"/>
      <c r="AAQ1" s="57"/>
      <c r="AAR1" s="64" t="s">
        <v>1</v>
      </c>
      <c r="AAS1" s="64"/>
      <c r="AAT1" s="59" t="s">
        <v>64</v>
      </c>
      <c r="AAU1" s="59"/>
      <c r="AAW1" s="62" t="s">
        <v>0</v>
      </c>
      <c r="AAX1" s="63"/>
      <c r="AAY1" s="55" t="s">
        <v>2</v>
      </c>
      <c r="AAZ1" s="56"/>
      <c r="ABA1" s="57"/>
      <c r="ABB1" s="64" t="s">
        <v>1</v>
      </c>
      <c r="ABC1" s="64"/>
      <c r="ABD1" s="59">
        <v>46019</v>
      </c>
      <c r="ABE1" s="59"/>
      <c r="ABG1" s="62" t="s">
        <v>0</v>
      </c>
      <c r="ABH1" s="63"/>
      <c r="ABI1" s="65" t="s">
        <v>2</v>
      </c>
      <c r="ABJ1" s="66"/>
      <c r="ABK1" s="67"/>
      <c r="ABL1" s="64" t="s">
        <v>1</v>
      </c>
      <c r="ABM1" s="64"/>
      <c r="ABN1" s="68">
        <v>46026</v>
      </c>
      <c r="ABO1" s="68"/>
      <c r="ABQ1" s="62" t="s">
        <v>0</v>
      </c>
      <c r="ABR1" s="63"/>
      <c r="ABS1" s="55" t="s">
        <v>2</v>
      </c>
      <c r="ABT1" s="56"/>
      <c r="ABU1" s="57"/>
      <c r="ABV1" s="64" t="s">
        <v>1</v>
      </c>
      <c r="ABW1" s="64"/>
      <c r="ABX1" s="59" t="s">
        <v>65</v>
      </c>
      <c r="ABY1" s="59"/>
      <c r="ACA1" s="62" t="s">
        <v>0</v>
      </c>
      <c r="ACB1" s="63"/>
      <c r="ACC1" s="65" t="s">
        <v>66</v>
      </c>
      <c r="ACD1" s="66"/>
      <c r="ACE1" s="67"/>
      <c r="ACF1" s="64" t="s">
        <v>1</v>
      </c>
      <c r="ACG1" s="64"/>
      <c r="ACH1" s="68" t="s">
        <v>67</v>
      </c>
      <c r="ACI1" s="68"/>
      <c r="ACK1" s="62" t="s">
        <v>0</v>
      </c>
      <c r="ACL1" s="63"/>
      <c r="ACM1" s="65" t="s">
        <v>2</v>
      </c>
      <c r="ACN1" s="66"/>
      <c r="ACO1" s="67"/>
      <c r="ACP1" s="64" t="s">
        <v>1</v>
      </c>
      <c r="ACQ1" s="64"/>
      <c r="ACR1" s="68" t="s">
        <v>68</v>
      </c>
      <c r="ACS1" s="68"/>
      <c r="ACU1" s="62" t="s">
        <v>0</v>
      </c>
      <c r="ACV1" s="63"/>
      <c r="ACW1" s="65" t="s">
        <v>2</v>
      </c>
      <c r="ACX1" s="66"/>
      <c r="ACY1" s="67"/>
      <c r="ACZ1" s="64" t="s">
        <v>1</v>
      </c>
      <c r="ADA1" s="64"/>
      <c r="ADB1" s="68" t="s">
        <v>69</v>
      </c>
      <c r="ADC1" s="68"/>
      <c r="ADE1" s="62" t="s">
        <v>0</v>
      </c>
      <c r="ADF1" s="63"/>
      <c r="ADG1" s="65" t="s">
        <v>2</v>
      </c>
      <c r="ADH1" s="66"/>
      <c r="ADI1" s="67"/>
      <c r="ADJ1" s="64" t="s">
        <v>1</v>
      </c>
      <c r="ADK1" s="64"/>
      <c r="ADL1" s="68" t="s">
        <v>70</v>
      </c>
      <c r="ADM1" s="68"/>
      <c r="ADO1" s="62" t="s">
        <v>0</v>
      </c>
      <c r="ADP1" s="63"/>
      <c r="ADQ1" s="65" t="s">
        <v>2</v>
      </c>
      <c r="ADR1" s="66"/>
      <c r="ADS1" s="67"/>
      <c r="ADT1" s="64" t="s">
        <v>1</v>
      </c>
      <c r="ADU1" s="64"/>
      <c r="ADV1" s="68" t="s">
        <v>71</v>
      </c>
      <c r="ADW1" s="68"/>
      <c r="ADY1" s="62" t="s">
        <v>0</v>
      </c>
      <c r="ADZ1" s="63"/>
      <c r="AEA1" s="65" t="s">
        <v>2</v>
      </c>
      <c r="AEB1" s="66"/>
      <c r="AEC1" s="67"/>
      <c r="AED1" s="64" t="s">
        <v>1</v>
      </c>
      <c r="AEE1" s="64"/>
      <c r="AEF1" s="68">
        <v>46075</v>
      </c>
      <c r="AEG1" s="68"/>
      <c r="AEI1" s="62" t="s">
        <v>0</v>
      </c>
      <c r="AEJ1" s="63"/>
      <c r="AEK1" s="55" t="s">
        <v>2</v>
      </c>
      <c r="AEL1" s="56"/>
      <c r="AEM1" s="57"/>
      <c r="AEN1" s="64" t="s">
        <v>1</v>
      </c>
      <c r="AEO1" s="64"/>
      <c r="AEP1" s="59">
        <v>46082</v>
      </c>
      <c r="AEQ1" s="59"/>
      <c r="AES1" s="62" t="s">
        <v>0</v>
      </c>
      <c r="AET1" s="63"/>
      <c r="AEU1" s="65" t="s">
        <v>2</v>
      </c>
      <c r="AEV1" s="66"/>
      <c r="AEW1" s="67"/>
      <c r="AEX1" s="64" t="s">
        <v>1</v>
      </c>
      <c r="AEY1" s="64"/>
      <c r="AEZ1" s="68">
        <v>46089</v>
      </c>
      <c r="AFA1" s="68"/>
      <c r="AFC1" s="62" t="s">
        <v>0</v>
      </c>
      <c r="AFD1" s="63"/>
      <c r="AFE1" s="55" t="s">
        <v>2</v>
      </c>
      <c r="AFF1" s="56"/>
      <c r="AFG1" s="57"/>
      <c r="AFH1" s="64" t="s">
        <v>1</v>
      </c>
      <c r="AFI1" s="64"/>
      <c r="AFJ1" s="59">
        <v>46096</v>
      </c>
      <c r="AFK1" s="59"/>
      <c r="AFM1" s="62" t="s">
        <v>0</v>
      </c>
      <c r="AFN1" s="63"/>
      <c r="AFO1" s="55" t="s">
        <v>2</v>
      </c>
      <c r="AFP1" s="56"/>
      <c r="AFQ1" s="57"/>
      <c r="AFR1" s="64" t="s">
        <v>1</v>
      </c>
      <c r="AFS1" s="64"/>
      <c r="AFT1" s="59" t="s">
        <v>72</v>
      </c>
      <c r="AFU1" s="59"/>
      <c r="AFW1" s="62" t="s">
        <v>0</v>
      </c>
      <c r="AFX1" s="63"/>
      <c r="AFY1" s="65" t="s">
        <v>2</v>
      </c>
      <c r="AFZ1" s="66"/>
      <c r="AGA1" s="67"/>
      <c r="AGB1" s="64" t="s">
        <v>1</v>
      </c>
      <c r="AGC1" s="64"/>
      <c r="AGD1" s="68" t="s">
        <v>73</v>
      </c>
      <c r="AGE1" s="68"/>
      <c r="AGG1" s="62" t="s">
        <v>0</v>
      </c>
      <c r="AGH1" s="63"/>
      <c r="AGI1" s="65" t="s">
        <v>2</v>
      </c>
      <c r="AGJ1" s="66"/>
      <c r="AGK1" s="67"/>
      <c r="AGL1" s="64" t="s">
        <v>1</v>
      </c>
      <c r="AGM1" s="64"/>
      <c r="AGN1" s="68" t="s">
        <v>74</v>
      </c>
      <c r="AGO1" s="68"/>
      <c r="AGQ1" s="62" t="s">
        <v>0</v>
      </c>
      <c r="AGR1" s="63"/>
      <c r="AGS1" s="65" t="s">
        <v>2</v>
      </c>
      <c r="AGT1" s="66"/>
      <c r="AGU1" s="67"/>
      <c r="AGV1" s="64" t="s">
        <v>1</v>
      </c>
      <c r="AGW1" s="64"/>
      <c r="AGX1" s="68" t="s">
        <v>75</v>
      </c>
      <c r="AGY1" s="68"/>
      <c r="AHA1" s="62" t="s">
        <v>0</v>
      </c>
      <c r="AHB1" s="63"/>
      <c r="AHC1" s="65" t="s">
        <v>2</v>
      </c>
      <c r="AHD1" s="66"/>
      <c r="AHE1" s="67"/>
      <c r="AHF1" s="64" t="s">
        <v>1</v>
      </c>
      <c r="AHG1" s="64"/>
      <c r="AHH1" s="68" t="s">
        <v>76</v>
      </c>
      <c r="AHI1" s="68"/>
      <c r="AHK1" s="62" t="s">
        <v>0</v>
      </c>
      <c r="AHL1" s="63"/>
      <c r="AHM1" s="55" t="s">
        <v>2</v>
      </c>
      <c r="AHN1" s="56"/>
      <c r="AHO1" s="57"/>
      <c r="AHP1" s="64" t="s">
        <v>1</v>
      </c>
      <c r="AHQ1" s="64"/>
      <c r="AHR1" s="59" t="s">
        <v>77</v>
      </c>
      <c r="AHS1" s="59"/>
      <c r="AHU1" s="62" t="s">
        <v>0</v>
      </c>
      <c r="AHV1" s="63"/>
      <c r="AHW1" s="55" t="s">
        <v>2</v>
      </c>
      <c r="AHX1" s="56"/>
      <c r="AHY1" s="57"/>
      <c r="AHZ1" s="64" t="s">
        <v>1</v>
      </c>
      <c r="AIA1" s="64"/>
      <c r="AIB1" s="59" t="s">
        <v>78</v>
      </c>
      <c r="AIC1" s="59"/>
      <c r="AIE1" s="62" t="s">
        <v>0</v>
      </c>
      <c r="AIF1" s="63"/>
      <c r="AIG1" s="65" t="s">
        <v>2</v>
      </c>
      <c r="AIH1" s="66"/>
      <c r="AII1" s="67"/>
      <c r="AIJ1" s="64" t="s">
        <v>1</v>
      </c>
      <c r="AIK1" s="64"/>
      <c r="AIL1" s="68" t="s">
        <v>80</v>
      </c>
      <c r="AIM1" s="68"/>
      <c r="AIO1" s="62" t="s">
        <v>0</v>
      </c>
      <c r="AIP1" s="63"/>
      <c r="AIQ1" s="65" t="s">
        <v>2</v>
      </c>
      <c r="AIR1" s="66"/>
      <c r="AIS1" s="67"/>
      <c r="AIT1" s="64" t="s">
        <v>1</v>
      </c>
      <c r="AIU1" s="64"/>
      <c r="AIV1" s="68">
        <v>46159</v>
      </c>
      <c r="AIW1" s="68"/>
      <c r="AIY1" s="62" t="s">
        <v>0</v>
      </c>
      <c r="AIZ1" s="63"/>
      <c r="AJA1" s="65" t="s">
        <v>2</v>
      </c>
      <c r="AJB1" s="66"/>
      <c r="AJC1" s="67"/>
      <c r="AJD1" s="64" t="s">
        <v>1</v>
      </c>
      <c r="AJE1" s="64"/>
      <c r="AJF1" s="68">
        <v>46166</v>
      </c>
      <c r="AJG1" s="68"/>
      <c r="AJI1" s="62" t="s">
        <v>0</v>
      </c>
      <c r="AJJ1" s="63"/>
      <c r="AJK1" s="55" t="s">
        <v>2</v>
      </c>
      <c r="AJL1" s="56"/>
      <c r="AJM1" s="57"/>
      <c r="AJN1" s="64" t="s">
        <v>1</v>
      </c>
      <c r="AJO1" s="64"/>
      <c r="AJP1" s="59" t="s">
        <v>81</v>
      </c>
      <c r="AJQ1" s="59"/>
      <c r="AJS1" s="62" t="s">
        <v>0</v>
      </c>
      <c r="AJT1" s="63"/>
      <c r="AJU1" s="65" t="s">
        <v>2</v>
      </c>
      <c r="AJV1" s="66"/>
      <c r="AJW1" s="67"/>
      <c r="AJX1" s="64" t="s">
        <v>1</v>
      </c>
      <c r="AJY1" s="64"/>
      <c r="AJZ1" s="68" t="s">
        <v>82</v>
      </c>
      <c r="AKA1" s="68"/>
      <c r="AKC1" s="62" t="s">
        <v>0</v>
      </c>
      <c r="AKD1" s="63"/>
      <c r="AKE1" s="55" t="s">
        <v>2</v>
      </c>
      <c r="AKF1" s="56"/>
      <c r="AKG1" s="57"/>
      <c r="AKH1" s="64" t="s">
        <v>1</v>
      </c>
      <c r="AKI1" s="64"/>
      <c r="AKJ1" s="59" t="s">
        <v>83</v>
      </c>
      <c r="AKK1" s="59"/>
      <c r="AKM1" s="62" t="s">
        <v>0</v>
      </c>
      <c r="AKN1" s="63"/>
      <c r="AKO1" s="65" t="s">
        <v>2</v>
      </c>
      <c r="AKP1" s="66"/>
      <c r="AKQ1" s="67"/>
      <c r="AKR1" s="64" t="s">
        <v>1</v>
      </c>
      <c r="AKS1" s="64"/>
      <c r="AKT1" s="68" t="s">
        <v>84</v>
      </c>
      <c r="AKU1" s="68"/>
      <c r="AKW1" s="62" t="s">
        <v>0</v>
      </c>
      <c r="AKX1" s="63"/>
      <c r="AKY1" s="55" t="s">
        <v>2</v>
      </c>
      <c r="AKZ1" s="56"/>
      <c r="ALA1" s="57"/>
      <c r="ALB1" s="64" t="s">
        <v>1</v>
      </c>
      <c r="ALC1" s="64"/>
      <c r="ALD1" s="59" t="s">
        <v>85</v>
      </c>
      <c r="ALE1" s="59"/>
      <c r="ALG1" s="62" t="s">
        <v>0</v>
      </c>
      <c r="ALH1" s="63"/>
      <c r="ALI1" s="55" t="s">
        <v>2</v>
      </c>
      <c r="ALJ1" s="56"/>
      <c r="ALK1" s="57"/>
      <c r="ALL1" s="64" t="s">
        <v>1</v>
      </c>
      <c r="ALM1" s="64"/>
      <c r="ALN1" s="59" t="s">
        <v>86</v>
      </c>
      <c r="ALO1" s="59"/>
      <c r="ALQ1" s="62" t="s">
        <v>0</v>
      </c>
      <c r="ALR1" s="63"/>
      <c r="ALS1" s="65" t="s">
        <v>2</v>
      </c>
      <c r="ALT1" s="66"/>
      <c r="ALU1" s="67"/>
      <c r="ALV1" s="64" t="s">
        <v>1</v>
      </c>
      <c r="ALW1" s="64"/>
      <c r="ALX1" s="68" t="s">
        <v>87</v>
      </c>
      <c r="ALY1" s="68"/>
      <c r="AMA1" s="62" t="s">
        <v>0</v>
      </c>
      <c r="AMB1" s="63"/>
      <c r="AMC1" s="65" t="s">
        <v>60</v>
      </c>
      <c r="AMD1" s="66"/>
      <c r="AME1" s="67"/>
      <c r="AMF1" s="64" t="s">
        <v>1</v>
      </c>
      <c r="AMG1" s="64"/>
      <c r="AMH1" s="68">
        <v>46222</v>
      </c>
      <c r="AMI1" s="68"/>
      <c r="AMK1" s="62" t="s">
        <v>0</v>
      </c>
      <c r="AML1" s="63"/>
      <c r="AMM1" s="65" t="s">
        <v>2</v>
      </c>
      <c r="AMN1" s="66"/>
      <c r="AMO1" s="67"/>
      <c r="AMP1" s="64" t="s">
        <v>1</v>
      </c>
      <c r="AMQ1" s="64"/>
      <c r="AMR1" s="68" t="s">
        <v>89</v>
      </c>
      <c r="AMS1" s="68"/>
      <c r="AMU1" s="62" t="s">
        <v>0</v>
      </c>
      <c r="AMV1" s="63"/>
      <c r="AMW1" s="55" t="s">
        <v>2</v>
      </c>
      <c r="AMX1" s="56"/>
      <c r="AMY1" s="57"/>
      <c r="AMZ1" s="64" t="s">
        <v>1</v>
      </c>
      <c r="ANA1" s="64"/>
      <c r="ANB1" s="59" t="s">
        <v>90</v>
      </c>
      <c r="ANC1" s="59"/>
      <c r="ANE1" s="62" t="s">
        <v>0</v>
      </c>
      <c r="ANF1" s="63"/>
      <c r="ANG1" s="55" t="s">
        <v>2</v>
      </c>
      <c r="ANH1" s="56"/>
      <c r="ANI1" s="57"/>
      <c r="ANJ1" s="64" t="s">
        <v>1</v>
      </c>
      <c r="ANK1" s="64"/>
      <c r="ANL1" s="59" t="s">
        <v>91</v>
      </c>
      <c r="ANM1" s="59"/>
      <c r="ANO1" s="62" t="s">
        <v>0</v>
      </c>
      <c r="ANP1" s="63"/>
      <c r="ANQ1" s="65" t="s">
        <v>2</v>
      </c>
      <c r="ANR1" s="66"/>
      <c r="ANS1" s="67"/>
      <c r="ANT1" s="64" t="s">
        <v>1</v>
      </c>
      <c r="ANU1" s="64"/>
      <c r="ANV1" s="68" t="s">
        <v>92</v>
      </c>
      <c r="ANW1" s="68"/>
      <c r="ANY1" s="62" t="s">
        <v>0</v>
      </c>
      <c r="ANZ1" s="63"/>
      <c r="AOA1" s="65" t="s">
        <v>2</v>
      </c>
      <c r="AOB1" s="66"/>
      <c r="AOC1" s="67"/>
      <c r="AOD1" s="64" t="s">
        <v>1</v>
      </c>
      <c r="AOE1" s="64"/>
      <c r="AOF1" s="68">
        <v>46260</v>
      </c>
      <c r="AOG1" s="68"/>
      <c r="AOI1" s="62" t="s">
        <v>0</v>
      </c>
      <c r="AOJ1" s="63"/>
      <c r="AOK1" s="65" t="s">
        <v>2</v>
      </c>
      <c r="AOL1" s="66"/>
      <c r="AOM1" s="67"/>
      <c r="AON1" s="64" t="s">
        <v>1</v>
      </c>
      <c r="AOO1" s="64"/>
      <c r="AOP1" s="68">
        <v>46264</v>
      </c>
      <c r="AOQ1" s="68"/>
      <c r="AOS1" s="62" t="s">
        <v>0</v>
      </c>
      <c r="AOT1" s="63"/>
      <c r="AOU1" s="65" t="s">
        <v>2</v>
      </c>
      <c r="AOV1" s="66"/>
      <c r="AOW1" s="67"/>
      <c r="AOX1" s="64" t="s">
        <v>1</v>
      </c>
      <c r="AOY1" s="64"/>
      <c r="AOZ1" s="68" t="s">
        <v>93</v>
      </c>
      <c r="APA1" s="68"/>
      <c r="APC1" s="62" t="s">
        <v>0</v>
      </c>
      <c r="APD1" s="63"/>
      <c r="APE1" s="65" t="s">
        <v>2</v>
      </c>
      <c r="APF1" s="66"/>
      <c r="APG1" s="67"/>
      <c r="APH1" s="64" t="s">
        <v>1</v>
      </c>
      <c r="API1" s="64"/>
      <c r="APJ1" s="68" t="s">
        <v>94</v>
      </c>
      <c r="APK1" s="68"/>
      <c r="APM1" s="62" t="s">
        <v>0</v>
      </c>
      <c r="APN1" s="63"/>
      <c r="APO1" s="65" t="s">
        <v>2</v>
      </c>
      <c r="APP1" s="66"/>
      <c r="APQ1" s="67"/>
      <c r="APR1" s="64" t="s">
        <v>1</v>
      </c>
      <c r="APS1" s="64"/>
      <c r="APT1" s="68" t="s">
        <v>95</v>
      </c>
      <c r="APU1" s="68"/>
      <c r="APW1" s="53" t="s">
        <v>0</v>
      </c>
      <c r="APX1" s="54"/>
      <c r="APY1" s="55"/>
      <c r="APZ1" s="56"/>
      <c r="AQA1" s="57"/>
      <c r="AQB1" s="58" t="s">
        <v>1</v>
      </c>
      <c r="AQC1" s="58"/>
      <c r="AQD1" s="59"/>
      <c r="AQE1" s="59"/>
    </row>
    <row r="2" spans="1:1123" s="21" customFormat="1" ht="9" x14ac:dyDescent="0.15">
      <c r="A2" s="20" t="s">
        <v>8</v>
      </c>
      <c r="B2" s="4" t="s">
        <v>9</v>
      </c>
      <c r="C2" s="4" t="s">
        <v>10</v>
      </c>
      <c r="E2" s="39" t="s">
        <v>11</v>
      </c>
      <c r="F2" s="40"/>
      <c r="G2" s="39" t="s">
        <v>12</v>
      </c>
      <c r="H2" s="40"/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O2" s="39" t="s">
        <v>11</v>
      </c>
      <c r="P2" s="40"/>
      <c r="Q2" s="39" t="s">
        <v>12</v>
      </c>
      <c r="R2" s="40"/>
      <c r="S2" s="4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Y2" s="39" t="s">
        <v>11</v>
      </c>
      <c r="Z2" s="40"/>
      <c r="AA2" s="39" t="s">
        <v>12</v>
      </c>
      <c r="AB2" s="40"/>
      <c r="AC2" s="4" t="s">
        <v>13</v>
      </c>
      <c r="AD2" s="4" t="s">
        <v>14</v>
      </c>
      <c r="AE2" s="4" t="s">
        <v>15</v>
      </c>
      <c r="AF2" s="4" t="s">
        <v>16</v>
      </c>
      <c r="AG2" s="4" t="s">
        <v>17</v>
      </c>
      <c r="AI2" s="39" t="s">
        <v>11</v>
      </c>
      <c r="AJ2" s="40"/>
      <c r="AK2" s="39" t="s">
        <v>12</v>
      </c>
      <c r="AL2" s="40"/>
      <c r="AM2" s="4" t="s">
        <v>13</v>
      </c>
      <c r="AN2" s="4" t="s">
        <v>14</v>
      </c>
      <c r="AO2" s="4" t="s">
        <v>15</v>
      </c>
      <c r="AP2" s="4" t="s">
        <v>16</v>
      </c>
      <c r="AQ2" s="4" t="s">
        <v>17</v>
      </c>
      <c r="AS2" s="39" t="s">
        <v>11</v>
      </c>
      <c r="AT2" s="40"/>
      <c r="AU2" s="39" t="s">
        <v>12</v>
      </c>
      <c r="AV2" s="40"/>
      <c r="AW2" s="4" t="s">
        <v>13</v>
      </c>
      <c r="AX2" s="4" t="s">
        <v>14</v>
      </c>
      <c r="AY2" s="4" t="s">
        <v>15</v>
      </c>
      <c r="AZ2" s="4" t="s">
        <v>16</v>
      </c>
      <c r="BA2" s="4" t="s">
        <v>17</v>
      </c>
      <c r="BC2" s="39" t="s">
        <v>11</v>
      </c>
      <c r="BD2" s="40"/>
      <c r="BE2" s="39" t="s">
        <v>12</v>
      </c>
      <c r="BF2" s="40"/>
      <c r="BG2" s="4" t="s">
        <v>13</v>
      </c>
      <c r="BH2" s="4" t="s">
        <v>14</v>
      </c>
      <c r="BI2" s="4" t="s">
        <v>15</v>
      </c>
      <c r="BJ2" s="4" t="s">
        <v>16</v>
      </c>
      <c r="BK2" s="4" t="s">
        <v>17</v>
      </c>
      <c r="BM2" s="39" t="s">
        <v>11</v>
      </c>
      <c r="BN2" s="40"/>
      <c r="BO2" s="39" t="s">
        <v>12</v>
      </c>
      <c r="BP2" s="40"/>
      <c r="BQ2" s="4" t="s">
        <v>13</v>
      </c>
      <c r="BR2" s="4" t="s">
        <v>14</v>
      </c>
      <c r="BS2" s="4" t="s">
        <v>15</v>
      </c>
      <c r="BT2" s="4" t="s">
        <v>16</v>
      </c>
      <c r="BU2" s="4" t="s">
        <v>17</v>
      </c>
      <c r="BW2" s="39" t="s">
        <v>11</v>
      </c>
      <c r="BX2" s="40"/>
      <c r="BY2" s="39" t="s">
        <v>12</v>
      </c>
      <c r="BZ2" s="40"/>
      <c r="CA2" s="4" t="s">
        <v>13</v>
      </c>
      <c r="CB2" s="4" t="s">
        <v>14</v>
      </c>
      <c r="CC2" s="4" t="s">
        <v>15</v>
      </c>
      <c r="CD2" s="4" t="s">
        <v>16</v>
      </c>
      <c r="CE2" s="4" t="s">
        <v>17</v>
      </c>
      <c r="CG2" s="39" t="s">
        <v>11</v>
      </c>
      <c r="CH2" s="40"/>
      <c r="CI2" s="39" t="s">
        <v>12</v>
      </c>
      <c r="CJ2" s="40"/>
      <c r="CK2" s="4" t="s">
        <v>13</v>
      </c>
      <c r="CL2" s="4" t="s">
        <v>14</v>
      </c>
      <c r="CM2" s="4" t="s">
        <v>15</v>
      </c>
      <c r="CN2" s="4" t="s">
        <v>16</v>
      </c>
      <c r="CO2" s="4" t="s">
        <v>17</v>
      </c>
      <c r="CQ2" s="39" t="s">
        <v>11</v>
      </c>
      <c r="CR2" s="40"/>
      <c r="CS2" s="39" t="s">
        <v>12</v>
      </c>
      <c r="CT2" s="40"/>
      <c r="CU2" s="4" t="s">
        <v>13</v>
      </c>
      <c r="CV2" s="4" t="s">
        <v>14</v>
      </c>
      <c r="CW2" s="4" t="s">
        <v>15</v>
      </c>
      <c r="CX2" s="4" t="s">
        <v>16</v>
      </c>
      <c r="CY2" s="4" t="s">
        <v>17</v>
      </c>
      <c r="DA2" s="39" t="s">
        <v>11</v>
      </c>
      <c r="DB2" s="40"/>
      <c r="DC2" s="39" t="s">
        <v>12</v>
      </c>
      <c r="DD2" s="40"/>
      <c r="DE2" s="4" t="s">
        <v>13</v>
      </c>
      <c r="DF2" s="4" t="s">
        <v>14</v>
      </c>
      <c r="DG2" s="4" t="s">
        <v>15</v>
      </c>
      <c r="DH2" s="4" t="s">
        <v>16</v>
      </c>
      <c r="DI2" s="4" t="s">
        <v>17</v>
      </c>
      <c r="DK2" s="39" t="s">
        <v>11</v>
      </c>
      <c r="DL2" s="40"/>
      <c r="DM2" s="39" t="s">
        <v>12</v>
      </c>
      <c r="DN2" s="40"/>
      <c r="DO2" s="4" t="s">
        <v>13</v>
      </c>
      <c r="DP2" s="4" t="s">
        <v>14</v>
      </c>
      <c r="DQ2" s="4" t="s">
        <v>15</v>
      </c>
      <c r="DR2" s="4" t="s">
        <v>16</v>
      </c>
      <c r="DS2" s="4" t="s">
        <v>17</v>
      </c>
      <c r="DU2" s="39" t="s">
        <v>11</v>
      </c>
      <c r="DV2" s="40"/>
      <c r="DW2" s="39" t="s">
        <v>12</v>
      </c>
      <c r="DX2" s="40"/>
      <c r="DY2" s="4" t="s">
        <v>13</v>
      </c>
      <c r="DZ2" s="4" t="s">
        <v>14</v>
      </c>
      <c r="EA2" s="4" t="s">
        <v>15</v>
      </c>
      <c r="EB2" s="4" t="s">
        <v>16</v>
      </c>
      <c r="EC2" s="4" t="s">
        <v>17</v>
      </c>
      <c r="EE2" s="39" t="s">
        <v>11</v>
      </c>
      <c r="EF2" s="40"/>
      <c r="EG2" s="39" t="s">
        <v>12</v>
      </c>
      <c r="EH2" s="40"/>
      <c r="EI2" s="4" t="s">
        <v>13</v>
      </c>
      <c r="EJ2" s="4" t="s">
        <v>14</v>
      </c>
      <c r="EK2" s="4" t="s">
        <v>15</v>
      </c>
      <c r="EL2" s="4" t="s">
        <v>16</v>
      </c>
      <c r="EM2" s="4" t="s">
        <v>17</v>
      </c>
      <c r="EO2" s="39" t="s">
        <v>11</v>
      </c>
      <c r="EP2" s="40"/>
      <c r="EQ2" s="39" t="s">
        <v>12</v>
      </c>
      <c r="ER2" s="40"/>
      <c r="ES2" s="4" t="s">
        <v>13</v>
      </c>
      <c r="ET2" s="4" t="s">
        <v>14</v>
      </c>
      <c r="EU2" s="4" t="s">
        <v>15</v>
      </c>
      <c r="EV2" s="4" t="s">
        <v>16</v>
      </c>
      <c r="EW2" s="4" t="s">
        <v>17</v>
      </c>
      <c r="EY2" s="39" t="s">
        <v>11</v>
      </c>
      <c r="EZ2" s="40"/>
      <c r="FA2" s="39" t="s">
        <v>12</v>
      </c>
      <c r="FB2" s="40"/>
      <c r="FC2" s="4" t="s">
        <v>13</v>
      </c>
      <c r="FD2" s="4" t="s">
        <v>14</v>
      </c>
      <c r="FE2" s="4" t="s">
        <v>15</v>
      </c>
      <c r="FF2" s="4" t="s">
        <v>16</v>
      </c>
      <c r="FG2" s="4" t="s">
        <v>17</v>
      </c>
      <c r="FI2" s="39" t="s">
        <v>11</v>
      </c>
      <c r="FJ2" s="40"/>
      <c r="FK2" s="39" t="s">
        <v>12</v>
      </c>
      <c r="FL2" s="40"/>
      <c r="FM2" s="4" t="s">
        <v>13</v>
      </c>
      <c r="FN2" s="4" t="s">
        <v>14</v>
      </c>
      <c r="FO2" s="4" t="s">
        <v>15</v>
      </c>
      <c r="FP2" s="4" t="s">
        <v>16</v>
      </c>
      <c r="FQ2" s="4" t="s">
        <v>17</v>
      </c>
      <c r="FS2" s="39" t="s">
        <v>11</v>
      </c>
      <c r="FT2" s="40"/>
      <c r="FU2" s="39" t="s">
        <v>12</v>
      </c>
      <c r="FV2" s="40"/>
      <c r="FW2" s="4" t="s">
        <v>13</v>
      </c>
      <c r="FX2" s="4" t="s">
        <v>14</v>
      </c>
      <c r="FY2" s="4" t="s">
        <v>15</v>
      </c>
      <c r="FZ2" s="4" t="s">
        <v>16</v>
      </c>
      <c r="GA2" s="4" t="s">
        <v>17</v>
      </c>
      <c r="GC2" s="39" t="s">
        <v>11</v>
      </c>
      <c r="GD2" s="40"/>
      <c r="GE2" s="39" t="s">
        <v>12</v>
      </c>
      <c r="GF2" s="40"/>
      <c r="GG2" s="4" t="s">
        <v>13</v>
      </c>
      <c r="GH2" s="4" t="s">
        <v>14</v>
      </c>
      <c r="GI2" s="4" t="s">
        <v>15</v>
      </c>
      <c r="GJ2" s="4" t="s">
        <v>16</v>
      </c>
      <c r="GK2" s="4" t="s">
        <v>17</v>
      </c>
      <c r="GM2" s="39" t="s">
        <v>11</v>
      </c>
      <c r="GN2" s="40"/>
      <c r="GO2" s="39" t="s">
        <v>12</v>
      </c>
      <c r="GP2" s="40"/>
      <c r="GQ2" s="4" t="s">
        <v>13</v>
      </c>
      <c r="GR2" s="4" t="s">
        <v>14</v>
      </c>
      <c r="GS2" s="4" t="s">
        <v>15</v>
      </c>
      <c r="GT2" s="4" t="s">
        <v>16</v>
      </c>
      <c r="GU2" s="4" t="s">
        <v>17</v>
      </c>
      <c r="GW2" s="39" t="s">
        <v>11</v>
      </c>
      <c r="GX2" s="40"/>
      <c r="GY2" s="39" t="s">
        <v>12</v>
      </c>
      <c r="GZ2" s="40"/>
      <c r="HA2" s="4" t="s">
        <v>13</v>
      </c>
      <c r="HB2" s="4" t="s">
        <v>14</v>
      </c>
      <c r="HC2" s="4" t="s">
        <v>15</v>
      </c>
      <c r="HD2" s="4" t="s">
        <v>16</v>
      </c>
      <c r="HE2" s="4" t="s">
        <v>17</v>
      </c>
      <c r="HG2" s="39" t="s">
        <v>11</v>
      </c>
      <c r="HH2" s="40"/>
      <c r="HI2" s="39" t="s">
        <v>12</v>
      </c>
      <c r="HJ2" s="40"/>
      <c r="HK2" s="4" t="s">
        <v>13</v>
      </c>
      <c r="HL2" s="4" t="s">
        <v>14</v>
      </c>
      <c r="HM2" s="4" t="s">
        <v>15</v>
      </c>
      <c r="HN2" s="4" t="s">
        <v>16</v>
      </c>
      <c r="HO2" s="4" t="s">
        <v>17</v>
      </c>
      <c r="HQ2" s="39" t="s">
        <v>11</v>
      </c>
      <c r="HR2" s="40"/>
      <c r="HS2" s="39" t="s">
        <v>12</v>
      </c>
      <c r="HT2" s="40"/>
      <c r="HU2" s="4" t="s">
        <v>13</v>
      </c>
      <c r="HV2" s="4" t="s">
        <v>14</v>
      </c>
      <c r="HW2" s="4" t="s">
        <v>15</v>
      </c>
      <c r="HX2" s="4" t="s">
        <v>16</v>
      </c>
      <c r="HY2" s="4" t="s">
        <v>17</v>
      </c>
      <c r="IA2" s="39" t="s">
        <v>11</v>
      </c>
      <c r="IB2" s="40"/>
      <c r="IC2" s="39" t="s">
        <v>12</v>
      </c>
      <c r="ID2" s="40"/>
      <c r="IE2" s="4" t="s">
        <v>13</v>
      </c>
      <c r="IF2" s="4" t="s">
        <v>14</v>
      </c>
      <c r="IG2" s="4" t="s">
        <v>15</v>
      </c>
      <c r="IH2" s="4" t="s">
        <v>16</v>
      </c>
      <c r="II2" s="4" t="s">
        <v>17</v>
      </c>
      <c r="IK2" s="39" t="s">
        <v>11</v>
      </c>
      <c r="IL2" s="40"/>
      <c r="IM2" s="39" t="s">
        <v>12</v>
      </c>
      <c r="IN2" s="40"/>
      <c r="IO2" s="4" t="s">
        <v>13</v>
      </c>
      <c r="IP2" s="4" t="s">
        <v>14</v>
      </c>
      <c r="IQ2" s="4" t="s">
        <v>15</v>
      </c>
      <c r="IR2" s="4" t="s">
        <v>16</v>
      </c>
      <c r="IS2" s="4" t="s">
        <v>17</v>
      </c>
      <c r="IU2" s="39" t="s">
        <v>11</v>
      </c>
      <c r="IV2" s="40"/>
      <c r="IW2" s="39" t="s">
        <v>12</v>
      </c>
      <c r="IX2" s="40"/>
      <c r="IY2" s="4" t="s">
        <v>13</v>
      </c>
      <c r="IZ2" s="4" t="s">
        <v>14</v>
      </c>
      <c r="JA2" s="4" t="s">
        <v>15</v>
      </c>
      <c r="JB2" s="4" t="s">
        <v>16</v>
      </c>
      <c r="JC2" s="4" t="s">
        <v>17</v>
      </c>
      <c r="JE2" s="39" t="s">
        <v>11</v>
      </c>
      <c r="JF2" s="40"/>
      <c r="JG2" s="39" t="s">
        <v>12</v>
      </c>
      <c r="JH2" s="40"/>
      <c r="JI2" s="4" t="s">
        <v>13</v>
      </c>
      <c r="JJ2" s="4" t="s">
        <v>14</v>
      </c>
      <c r="JK2" s="4" t="s">
        <v>15</v>
      </c>
      <c r="JL2" s="4" t="s">
        <v>16</v>
      </c>
      <c r="JM2" s="4" t="s">
        <v>17</v>
      </c>
      <c r="JO2" s="39" t="s">
        <v>11</v>
      </c>
      <c r="JP2" s="40"/>
      <c r="JQ2" s="39" t="s">
        <v>12</v>
      </c>
      <c r="JR2" s="40"/>
      <c r="JS2" s="4" t="s">
        <v>13</v>
      </c>
      <c r="JT2" s="4" t="s">
        <v>14</v>
      </c>
      <c r="JU2" s="4" t="s">
        <v>15</v>
      </c>
      <c r="JV2" s="4" t="s">
        <v>16</v>
      </c>
      <c r="JW2" s="4" t="s">
        <v>17</v>
      </c>
      <c r="JY2" s="39" t="s">
        <v>11</v>
      </c>
      <c r="JZ2" s="40"/>
      <c r="KA2" s="39" t="s">
        <v>12</v>
      </c>
      <c r="KB2" s="40"/>
      <c r="KC2" s="4" t="s">
        <v>13</v>
      </c>
      <c r="KD2" s="4" t="s">
        <v>14</v>
      </c>
      <c r="KE2" s="4" t="s">
        <v>15</v>
      </c>
      <c r="KF2" s="4" t="s">
        <v>16</v>
      </c>
      <c r="KG2" s="4" t="s">
        <v>17</v>
      </c>
      <c r="KI2" s="39" t="s">
        <v>11</v>
      </c>
      <c r="KJ2" s="40"/>
      <c r="KK2" s="39" t="s">
        <v>12</v>
      </c>
      <c r="KL2" s="40"/>
      <c r="KM2" s="4" t="s">
        <v>13</v>
      </c>
      <c r="KN2" s="4" t="s">
        <v>14</v>
      </c>
      <c r="KO2" s="4" t="s">
        <v>15</v>
      </c>
      <c r="KP2" s="4" t="s">
        <v>16</v>
      </c>
      <c r="KQ2" s="4" t="s">
        <v>17</v>
      </c>
      <c r="KS2" s="39" t="s">
        <v>11</v>
      </c>
      <c r="KT2" s="40"/>
      <c r="KU2" s="39" t="s">
        <v>12</v>
      </c>
      <c r="KV2" s="40"/>
      <c r="KW2" s="4" t="s">
        <v>13</v>
      </c>
      <c r="KX2" s="4" t="s">
        <v>14</v>
      </c>
      <c r="KY2" s="4" t="s">
        <v>15</v>
      </c>
      <c r="KZ2" s="4" t="s">
        <v>16</v>
      </c>
      <c r="LA2" s="4" t="s">
        <v>17</v>
      </c>
      <c r="LC2" s="39" t="s">
        <v>11</v>
      </c>
      <c r="LD2" s="40"/>
      <c r="LE2" s="39" t="s">
        <v>12</v>
      </c>
      <c r="LF2" s="40"/>
      <c r="LG2" s="4" t="s">
        <v>13</v>
      </c>
      <c r="LH2" s="4" t="s">
        <v>14</v>
      </c>
      <c r="LI2" s="4" t="s">
        <v>15</v>
      </c>
      <c r="LJ2" s="4" t="s">
        <v>16</v>
      </c>
      <c r="LK2" s="4" t="s">
        <v>17</v>
      </c>
      <c r="LM2" s="39" t="s">
        <v>11</v>
      </c>
      <c r="LN2" s="40"/>
      <c r="LO2" s="39" t="s">
        <v>12</v>
      </c>
      <c r="LP2" s="40"/>
      <c r="LQ2" s="4" t="s">
        <v>13</v>
      </c>
      <c r="LR2" s="4" t="s">
        <v>14</v>
      </c>
      <c r="LS2" s="4" t="s">
        <v>15</v>
      </c>
      <c r="LT2" s="4" t="s">
        <v>16</v>
      </c>
      <c r="LU2" s="4" t="s">
        <v>17</v>
      </c>
      <c r="LW2" s="39" t="s">
        <v>11</v>
      </c>
      <c r="LX2" s="40"/>
      <c r="LY2" s="39" t="s">
        <v>12</v>
      </c>
      <c r="LZ2" s="40"/>
      <c r="MA2" s="4" t="s">
        <v>13</v>
      </c>
      <c r="MB2" s="4" t="s">
        <v>14</v>
      </c>
      <c r="MC2" s="4" t="s">
        <v>15</v>
      </c>
      <c r="MD2" s="4" t="s">
        <v>16</v>
      </c>
      <c r="ME2" s="4" t="s">
        <v>17</v>
      </c>
      <c r="MG2" s="39" t="s">
        <v>11</v>
      </c>
      <c r="MH2" s="40"/>
      <c r="MI2" s="39" t="s">
        <v>12</v>
      </c>
      <c r="MJ2" s="40"/>
      <c r="MK2" s="4" t="s">
        <v>13</v>
      </c>
      <c r="ML2" s="4" t="s">
        <v>14</v>
      </c>
      <c r="MM2" s="4" t="s">
        <v>15</v>
      </c>
      <c r="MN2" s="4" t="s">
        <v>16</v>
      </c>
      <c r="MO2" s="4" t="s">
        <v>17</v>
      </c>
      <c r="MQ2" s="39" t="s">
        <v>11</v>
      </c>
      <c r="MR2" s="40"/>
      <c r="MS2" s="39" t="s">
        <v>12</v>
      </c>
      <c r="MT2" s="40"/>
      <c r="MU2" s="4" t="s">
        <v>13</v>
      </c>
      <c r="MV2" s="4" t="s">
        <v>14</v>
      </c>
      <c r="MW2" s="4" t="s">
        <v>15</v>
      </c>
      <c r="MX2" s="4" t="s">
        <v>16</v>
      </c>
      <c r="MY2" s="4" t="s">
        <v>17</v>
      </c>
      <c r="NA2" s="39" t="s">
        <v>11</v>
      </c>
      <c r="NB2" s="40"/>
      <c r="NC2" s="39" t="s">
        <v>12</v>
      </c>
      <c r="ND2" s="40"/>
      <c r="NE2" s="4" t="s">
        <v>13</v>
      </c>
      <c r="NF2" s="4" t="s">
        <v>14</v>
      </c>
      <c r="NG2" s="4" t="s">
        <v>15</v>
      </c>
      <c r="NH2" s="4" t="s">
        <v>16</v>
      </c>
      <c r="NI2" s="4" t="s">
        <v>17</v>
      </c>
      <c r="NK2" s="39" t="s">
        <v>11</v>
      </c>
      <c r="NL2" s="40"/>
      <c r="NM2" s="39" t="s">
        <v>12</v>
      </c>
      <c r="NN2" s="40"/>
      <c r="NO2" s="4" t="s">
        <v>13</v>
      </c>
      <c r="NP2" s="4" t="s">
        <v>14</v>
      </c>
      <c r="NQ2" s="4" t="s">
        <v>15</v>
      </c>
      <c r="NR2" s="4" t="s">
        <v>16</v>
      </c>
      <c r="NS2" s="4" t="s">
        <v>17</v>
      </c>
      <c r="NU2" s="39" t="s">
        <v>11</v>
      </c>
      <c r="NV2" s="40"/>
      <c r="NW2" s="39" t="s">
        <v>12</v>
      </c>
      <c r="NX2" s="40"/>
      <c r="NY2" s="4" t="s">
        <v>13</v>
      </c>
      <c r="NZ2" s="4" t="s">
        <v>14</v>
      </c>
      <c r="OA2" s="4" t="s">
        <v>15</v>
      </c>
      <c r="OB2" s="4" t="s">
        <v>16</v>
      </c>
      <c r="OC2" s="4" t="s">
        <v>17</v>
      </c>
      <c r="OE2" s="39" t="s">
        <v>11</v>
      </c>
      <c r="OF2" s="40"/>
      <c r="OG2" s="39" t="s">
        <v>12</v>
      </c>
      <c r="OH2" s="40"/>
      <c r="OI2" s="4" t="s">
        <v>13</v>
      </c>
      <c r="OJ2" s="4" t="s">
        <v>14</v>
      </c>
      <c r="OK2" s="4" t="s">
        <v>15</v>
      </c>
      <c r="OL2" s="4" t="s">
        <v>16</v>
      </c>
      <c r="OM2" s="4" t="s">
        <v>17</v>
      </c>
      <c r="OO2" s="39" t="s">
        <v>11</v>
      </c>
      <c r="OP2" s="40"/>
      <c r="OQ2" s="39" t="s">
        <v>12</v>
      </c>
      <c r="OR2" s="40"/>
      <c r="OS2" s="4" t="s">
        <v>13</v>
      </c>
      <c r="OT2" s="4" t="s">
        <v>14</v>
      </c>
      <c r="OU2" s="4" t="s">
        <v>15</v>
      </c>
      <c r="OV2" s="4" t="s">
        <v>16</v>
      </c>
      <c r="OW2" s="4" t="s">
        <v>17</v>
      </c>
      <c r="OY2" s="39" t="s">
        <v>11</v>
      </c>
      <c r="OZ2" s="40"/>
      <c r="PA2" s="39" t="s">
        <v>12</v>
      </c>
      <c r="PB2" s="40"/>
      <c r="PC2" s="4" t="s">
        <v>13</v>
      </c>
      <c r="PD2" s="4" t="s">
        <v>14</v>
      </c>
      <c r="PE2" s="4" t="s">
        <v>15</v>
      </c>
      <c r="PF2" s="4" t="s">
        <v>16</v>
      </c>
      <c r="PG2" s="4" t="s">
        <v>17</v>
      </c>
      <c r="PI2" s="39" t="s">
        <v>11</v>
      </c>
      <c r="PJ2" s="40"/>
      <c r="PK2" s="39" t="s">
        <v>12</v>
      </c>
      <c r="PL2" s="40"/>
      <c r="PM2" s="4" t="s">
        <v>13</v>
      </c>
      <c r="PN2" s="4" t="s">
        <v>14</v>
      </c>
      <c r="PO2" s="4" t="s">
        <v>15</v>
      </c>
      <c r="PP2" s="4" t="s">
        <v>16</v>
      </c>
      <c r="PQ2" s="4" t="s">
        <v>17</v>
      </c>
      <c r="PS2" s="39" t="s">
        <v>11</v>
      </c>
      <c r="PT2" s="40"/>
      <c r="PU2" s="39" t="s">
        <v>12</v>
      </c>
      <c r="PV2" s="40"/>
      <c r="PW2" s="4" t="s">
        <v>13</v>
      </c>
      <c r="PX2" s="4" t="s">
        <v>14</v>
      </c>
      <c r="PY2" s="4" t="s">
        <v>15</v>
      </c>
      <c r="PZ2" s="4" t="s">
        <v>16</v>
      </c>
      <c r="QA2" s="4" t="s">
        <v>17</v>
      </c>
      <c r="QC2" s="39" t="s">
        <v>11</v>
      </c>
      <c r="QD2" s="40"/>
      <c r="QE2" s="39" t="s">
        <v>12</v>
      </c>
      <c r="QF2" s="40"/>
      <c r="QG2" s="4" t="s">
        <v>13</v>
      </c>
      <c r="QH2" s="4" t="s">
        <v>14</v>
      </c>
      <c r="QI2" s="4" t="s">
        <v>15</v>
      </c>
      <c r="QJ2" s="4" t="s">
        <v>16</v>
      </c>
      <c r="QK2" s="4" t="s">
        <v>17</v>
      </c>
      <c r="QM2" s="39" t="s">
        <v>11</v>
      </c>
      <c r="QN2" s="40"/>
      <c r="QO2" s="39" t="s">
        <v>12</v>
      </c>
      <c r="QP2" s="40"/>
      <c r="QQ2" s="4" t="s">
        <v>13</v>
      </c>
      <c r="QR2" s="4" t="s">
        <v>14</v>
      </c>
      <c r="QS2" s="4" t="s">
        <v>15</v>
      </c>
      <c r="QT2" s="4" t="s">
        <v>16</v>
      </c>
      <c r="QU2" s="4" t="s">
        <v>17</v>
      </c>
      <c r="QW2" s="39" t="s">
        <v>11</v>
      </c>
      <c r="QX2" s="40"/>
      <c r="QY2" s="39" t="s">
        <v>12</v>
      </c>
      <c r="QZ2" s="40"/>
      <c r="RA2" s="4" t="s">
        <v>13</v>
      </c>
      <c r="RB2" s="4" t="s">
        <v>14</v>
      </c>
      <c r="RC2" s="4" t="s">
        <v>15</v>
      </c>
      <c r="RD2" s="4" t="s">
        <v>16</v>
      </c>
      <c r="RE2" s="4" t="s">
        <v>17</v>
      </c>
      <c r="RG2" s="39" t="s">
        <v>11</v>
      </c>
      <c r="RH2" s="40"/>
      <c r="RI2" s="39" t="s">
        <v>12</v>
      </c>
      <c r="RJ2" s="40"/>
      <c r="RK2" s="4" t="s">
        <v>13</v>
      </c>
      <c r="RL2" s="4" t="s">
        <v>14</v>
      </c>
      <c r="RM2" s="4" t="s">
        <v>15</v>
      </c>
      <c r="RN2" s="4" t="s">
        <v>16</v>
      </c>
      <c r="RO2" s="4" t="s">
        <v>17</v>
      </c>
      <c r="RQ2" s="39" t="s">
        <v>11</v>
      </c>
      <c r="RR2" s="40"/>
      <c r="RS2" s="39" t="s">
        <v>12</v>
      </c>
      <c r="RT2" s="40"/>
      <c r="RU2" s="4" t="s">
        <v>13</v>
      </c>
      <c r="RV2" s="4" t="s">
        <v>14</v>
      </c>
      <c r="RW2" s="4" t="s">
        <v>15</v>
      </c>
      <c r="RX2" s="4" t="s">
        <v>16</v>
      </c>
      <c r="RY2" s="4" t="s">
        <v>17</v>
      </c>
      <c r="SA2" s="39" t="s">
        <v>11</v>
      </c>
      <c r="SB2" s="40"/>
      <c r="SC2" s="39" t="s">
        <v>12</v>
      </c>
      <c r="SD2" s="40"/>
      <c r="SE2" s="4" t="s">
        <v>13</v>
      </c>
      <c r="SF2" s="4" t="s">
        <v>14</v>
      </c>
      <c r="SG2" s="4" t="s">
        <v>15</v>
      </c>
      <c r="SH2" s="4" t="s">
        <v>16</v>
      </c>
      <c r="SI2" s="4" t="s">
        <v>17</v>
      </c>
      <c r="SK2" s="39" t="s">
        <v>11</v>
      </c>
      <c r="SL2" s="40"/>
      <c r="SM2" s="39" t="s">
        <v>12</v>
      </c>
      <c r="SN2" s="40"/>
      <c r="SO2" s="4" t="s">
        <v>13</v>
      </c>
      <c r="SP2" s="4" t="s">
        <v>14</v>
      </c>
      <c r="SQ2" s="4" t="s">
        <v>15</v>
      </c>
      <c r="SR2" s="4" t="s">
        <v>16</v>
      </c>
      <c r="SS2" s="4" t="s">
        <v>17</v>
      </c>
      <c r="SU2" s="39" t="s">
        <v>11</v>
      </c>
      <c r="SV2" s="40"/>
      <c r="SW2" s="39" t="s">
        <v>12</v>
      </c>
      <c r="SX2" s="40"/>
      <c r="SY2" s="4" t="s">
        <v>13</v>
      </c>
      <c r="SZ2" s="4" t="s">
        <v>14</v>
      </c>
      <c r="TA2" s="4" t="s">
        <v>15</v>
      </c>
      <c r="TB2" s="4" t="s">
        <v>16</v>
      </c>
      <c r="TC2" s="4" t="s">
        <v>17</v>
      </c>
      <c r="TE2" s="39" t="s">
        <v>11</v>
      </c>
      <c r="TF2" s="40"/>
      <c r="TG2" s="39" t="s">
        <v>12</v>
      </c>
      <c r="TH2" s="40"/>
      <c r="TI2" s="4" t="s">
        <v>13</v>
      </c>
      <c r="TJ2" s="4" t="s">
        <v>14</v>
      </c>
      <c r="TK2" s="4" t="s">
        <v>15</v>
      </c>
      <c r="TL2" s="4" t="s">
        <v>16</v>
      </c>
      <c r="TM2" s="4" t="s">
        <v>17</v>
      </c>
      <c r="TO2" s="39" t="s">
        <v>11</v>
      </c>
      <c r="TP2" s="40"/>
      <c r="TQ2" s="39" t="s">
        <v>12</v>
      </c>
      <c r="TR2" s="40"/>
      <c r="TS2" s="4" t="s">
        <v>13</v>
      </c>
      <c r="TT2" s="4" t="s">
        <v>14</v>
      </c>
      <c r="TU2" s="4" t="s">
        <v>15</v>
      </c>
      <c r="TV2" s="4" t="s">
        <v>16</v>
      </c>
      <c r="TW2" s="4" t="s">
        <v>17</v>
      </c>
      <c r="TY2" s="39" t="s">
        <v>11</v>
      </c>
      <c r="TZ2" s="40"/>
      <c r="UA2" s="39" t="s">
        <v>12</v>
      </c>
      <c r="UB2" s="40"/>
      <c r="UC2" s="4" t="s">
        <v>13</v>
      </c>
      <c r="UD2" s="4" t="s">
        <v>14</v>
      </c>
      <c r="UE2" s="4" t="s">
        <v>15</v>
      </c>
      <c r="UF2" s="4" t="s">
        <v>16</v>
      </c>
      <c r="UG2" s="4" t="s">
        <v>17</v>
      </c>
      <c r="UI2" s="39" t="s">
        <v>11</v>
      </c>
      <c r="UJ2" s="40"/>
      <c r="UK2" s="39" t="s">
        <v>12</v>
      </c>
      <c r="UL2" s="40"/>
      <c r="UM2" s="4" t="s">
        <v>13</v>
      </c>
      <c r="UN2" s="4" t="s">
        <v>14</v>
      </c>
      <c r="UO2" s="4" t="s">
        <v>15</v>
      </c>
      <c r="UP2" s="4" t="s">
        <v>16</v>
      </c>
      <c r="UQ2" s="4" t="s">
        <v>17</v>
      </c>
      <c r="US2" s="39" t="s">
        <v>11</v>
      </c>
      <c r="UT2" s="40"/>
      <c r="UU2" s="39" t="s">
        <v>12</v>
      </c>
      <c r="UV2" s="40"/>
      <c r="UW2" s="4" t="s">
        <v>13</v>
      </c>
      <c r="UX2" s="4" t="s">
        <v>14</v>
      </c>
      <c r="UY2" s="4" t="s">
        <v>15</v>
      </c>
      <c r="UZ2" s="4" t="s">
        <v>16</v>
      </c>
      <c r="VA2" s="4" t="s">
        <v>17</v>
      </c>
      <c r="VC2" s="39" t="s">
        <v>11</v>
      </c>
      <c r="VD2" s="40"/>
      <c r="VE2" s="39" t="s">
        <v>12</v>
      </c>
      <c r="VF2" s="40"/>
      <c r="VG2" s="4" t="s">
        <v>13</v>
      </c>
      <c r="VH2" s="4" t="s">
        <v>14</v>
      </c>
      <c r="VI2" s="4" t="s">
        <v>15</v>
      </c>
      <c r="VJ2" s="4" t="s">
        <v>16</v>
      </c>
      <c r="VK2" s="4" t="s">
        <v>17</v>
      </c>
      <c r="VM2" s="39" t="s">
        <v>11</v>
      </c>
      <c r="VN2" s="40"/>
      <c r="VO2" s="39" t="s">
        <v>12</v>
      </c>
      <c r="VP2" s="40"/>
      <c r="VQ2" s="4" t="s">
        <v>13</v>
      </c>
      <c r="VR2" s="4" t="s">
        <v>14</v>
      </c>
      <c r="VS2" s="4" t="s">
        <v>15</v>
      </c>
      <c r="VT2" s="4" t="s">
        <v>16</v>
      </c>
      <c r="VU2" s="4" t="s">
        <v>17</v>
      </c>
      <c r="VW2" s="39" t="s">
        <v>11</v>
      </c>
      <c r="VX2" s="40"/>
      <c r="VY2" s="39" t="s">
        <v>12</v>
      </c>
      <c r="VZ2" s="40"/>
      <c r="WA2" s="4" t="s">
        <v>13</v>
      </c>
      <c r="WB2" s="4" t="s">
        <v>14</v>
      </c>
      <c r="WC2" s="4" t="s">
        <v>15</v>
      </c>
      <c r="WD2" s="4" t="s">
        <v>16</v>
      </c>
      <c r="WE2" s="4" t="s">
        <v>17</v>
      </c>
      <c r="WG2" s="39" t="s">
        <v>11</v>
      </c>
      <c r="WH2" s="40"/>
      <c r="WI2" s="39" t="s">
        <v>12</v>
      </c>
      <c r="WJ2" s="40"/>
      <c r="WK2" s="4" t="s">
        <v>13</v>
      </c>
      <c r="WL2" s="4" t="s">
        <v>14</v>
      </c>
      <c r="WM2" s="4" t="s">
        <v>15</v>
      </c>
      <c r="WN2" s="4" t="s">
        <v>16</v>
      </c>
      <c r="WO2" s="4" t="s">
        <v>17</v>
      </c>
      <c r="WQ2" s="39" t="s">
        <v>11</v>
      </c>
      <c r="WR2" s="40"/>
      <c r="WS2" s="39" t="s">
        <v>12</v>
      </c>
      <c r="WT2" s="40"/>
      <c r="WU2" s="4" t="s">
        <v>13</v>
      </c>
      <c r="WV2" s="4" t="s">
        <v>14</v>
      </c>
      <c r="WW2" s="4" t="s">
        <v>15</v>
      </c>
      <c r="WX2" s="4" t="s">
        <v>16</v>
      </c>
      <c r="WY2" s="4" t="s">
        <v>17</v>
      </c>
      <c r="XA2" s="39" t="s">
        <v>11</v>
      </c>
      <c r="XB2" s="40"/>
      <c r="XC2" s="39" t="s">
        <v>12</v>
      </c>
      <c r="XD2" s="40"/>
      <c r="XE2" s="4" t="s">
        <v>13</v>
      </c>
      <c r="XF2" s="4" t="s">
        <v>14</v>
      </c>
      <c r="XG2" s="4" t="s">
        <v>15</v>
      </c>
      <c r="XH2" s="4" t="s">
        <v>16</v>
      </c>
      <c r="XI2" s="4" t="s">
        <v>17</v>
      </c>
      <c r="XK2" s="39" t="s">
        <v>11</v>
      </c>
      <c r="XL2" s="40"/>
      <c r="XM2" s="39" t="s">
        <v>12</v>
      </c>
      <c r="XN2" s="40"/>
      <c r="XO2" s="4" t="s">
        <v>13</v>
      </c>
      <c r="XP2" s="4" t="s">
        <v>14</v>
      </c>
      <c r="XQ2" s="4" t="s">
        <v>15</v>
      </c>
      <c r="XR2" s="4" t="s">
        <v>16</v>
      </c>
      <c r="XS2" s="4" t="s">
        <v>17</v>
      </c>
      <c r="XU2" s="39" t="s">
        <v>11</v>
      </c>
      <c r="XV2" s="40"/>
      <c r="XW2" s="39" t="s">
        <v>12</v>
      </c>
      <c r="XX2" s="40"/>
      <c r="XY2" s="4" t="s">
        <v>13</v>
      </c>
      <c r="XZ2" s="4" t="s">
        <v>14</v>
      </c>
      <c r="YA2" s="4" t="s">
        <v>15</v>
      </c>
      <c r="YB2" s="4" t="s">
        <v>16</v>
      </c>
      <c r="YC2" s="4" t="s">
        <v>17</v>
      </c>
      <c r="YE2" s="39" t="s">
        <v>11</v>
      </c>
      <c r="YF2" s="40"/>
      <c r="YG2" s="39" t="s">
        <v>12</v>
      </c>
      <c r="YH2" s="40"/>
      <c r="YI2" s="4" t="s">
        <v>13</v>
      </c>
      <c r="YJ2" s="4" t="s">
        <v>14</v>
      </c>
      <c r="YK2" s="4" t="s">
        <v>15</v>
      </c>
      <c r="YL2" s="4" t="s">
        <v>16</v>
      </c>
      <c r="YM2" s="4" t="s">
        <v>17</v>
      </c>
      <c r="YO2" s="39" t="s">
        <v>11</v>
      </c>
      <c r="YP2" s="40"/>
      <c r="YQ2" s="39" t="s">
        <v>12</v>
      </c>
      <c r="YR2" s="40"/>
      <c r="YS2" s="4" t="s">
        <v>13</v>
      </c>
      <c r="YT2" s="4" t="s">
        <v>14</v>
      </c>
      <c r="YU2" s="4" t="s">
        <v>15</v>
      </c>
      <c r="YV2" s="4" t="s">
        <v>16</v>
      </c>
      <c r="YW2" s="4" t="s">
        <v>17</v>
      </c>
      <c r="YY2" s="39" t="s">
        <v>11</v>
      </c>
      <c r="YZ2" s="40"/>
      <c r="ZA2" s="39" t="s">
        <v>12</v>
      </c>
      <c r="ZB2" s="40"/>
      <c r="ZC2" s="4" t="s">
        <v>13</v>
      </c>
      <c r="ZD2" s="4" t="s">
        <v>14</v>
      </c>
      <c r="ZE2" s="4" t="s">
        <v>15</v>
      </c>
      <c r="ZF2" s="4" t="s">
        <v>16</v>
      </c>
      <c r="ZG2" s="4" t="s">
        <v>17</v>
      </c>
      <c r="ZI2" s="39" t="s">
        <v>11</v>
      </c>
      <c r="ZJ2" s="40"/>
      <c r="ZK2" s="39" t="s">
        <v>12</v>
      </c>
      <c r="ZL2" s="40"/>
      <c r="ZM2" s="4" t="s">
        <v>13</v>
      </c>
      <c r="ZN2" s="4" t="s">
        <v>14</v>
      </c>
      <c r="ZO2" s="4" t="s">
        <v>15</v>
      </c>
      <c r="ZP2" s="4" t="s">
        <v>16</v>
      </c>
      <c r="ZQ2" s="4" t="s">
        <v>17</v>
      </c>
      <c r="ZS2" s="39" t="s">
        <v>11</v>
      </c>
      <c r="ZT2" s="40"/>
      <c r="ZU2" s="39" t="s">
        <v>12</v>
      </c>
      <c r="ZV2" s="40"/>
      <c r="ZW2" s="4" t="s">
        <v>13</v>
      </c>
      <c r="ZX2" s="4" t="s">
        <v>14</v>
      </c>
      <c r="ZY2" s="4" t="s">
        <v>15</v>
      </c>
      <c r="ZZ2" s="4" t="s">
        <v>16</v>
      </c>
      <c r="AAA2" s="4" t="s">
        <v>17</v>
      </c>
      <c r="AAC2" s="39" t="s">
        <v>11</v>
      </c>
      <c r="AAD2" s="40"/>
      <c r="AAE2" s="39" t="s">
        <v>12</v>
      </c>
      <c r="AAF2" s="40"/>
      <c r="AAG2" s="4" t="s">
        <v>13</v>
      </c>
      <c r="AAH2" s="4" t="s">
        <v>14</v>
      </c>
      <c r="AAI2" s="4" t="s">
        <v>15</v>
      </c>
      <c r="AAJ2" s="4" t="s">
        <v>16</v>
      </c>
      <c r="AAK2" s="4" t="s">
        <v>17</v>
      </c>
      <c r="AAM2" s="39" t="s">
        <v>11</v>
      </c>
      <c r="AAN2" s="40"/>
      <c r="AAO2" s="39" t="s">
        <v>12</v>
      </c>
      <c r="AAP2" s="40"/>
      <c r="AAQ2" s="4" t="s">
        <v>13</v>
      </c>
      <c r="AAR2" s="4" t="s">
        <v>14</v>
      </c>
      <c r="AAS2" s="4" t="s">
        <v>15</v>
      </c>
      <c r="AAT2" s="4" t="s">
        <v>16</v>
      </c>
      <c r="AAU2" s="4" t="s">
        <v>17</v>
      </c>
      <c r="AAW2" s="39" t="s">
        <v>11</v>
      </c>
      <c r="AAX2" s="40"/>
      <c r="AAY2" s="39" t="s">
        <v>12</v>
      </c>
      <c r="AAZ2" s="40"/>
      <c r="ABA2" s="4" t="s">
        <v>13</v>
      </c>
      <c r="ABB2" s="4" t="s">
        <v>14</v>
      </c>
      <c r="ABC2" s="4" t="s">
        <v>15</v>
      </c>
      <c r="ABD2" s="4" t="s">
        <v>16</v>
      </c>
      <c r="ABE2" s="4" t="s">
        <v>17</v>
      </c>
      <c r="ABG2" s="39" t="s">
        <v>11</v>
      </c>
      <c r="ABH2" s="40"/>
      <c r="ABI2" s="39" t="s">
        <v>12</v>
      </c>
      <c r="ABJ2" s="40"/>
      <c r="ABK2" s="4" t="s">
        <v>13</v>
      </c>
      <c r="ABL2" s="4" t="s">
        <v>14</v>
      </c>
      <c r="ABM2" s="4" t="s">
        <v>15</v>
      </c>
      <c r="ABN2" s="4" t="s">
        <v>16</v>
      </c>
      <c r="ABO2" s="4" t="s">
        <v>17</v>
      </c>
      <c r="ABQ2" s="39" t="s">
        <v>11</v>
      </c>
      <c r="ABR2" s="40"/>
      <c r="ABS2" s="39" t="s">
        <v>12</v>
      </c>
      <c r="ABT2" s="40"/>
      <c r="ABU2" s="4" t="s">
        <v>13</v>
      </c>
      <c r="ABV2" s="4" t="s">
        <v>14</v>
      </c>
      <c r="ABW2" s="4" t="s">
        <v>15</v>
      </c>
      <c r="ABX2" s="4" t="s">
        <v>16</v>
      </c>
      <c r="ABY2" s="4" t="s">
        <v>17</v>
      </c>
      <c r="ACA2" s="39" t="s">
        <v>11</v>
      </c>
      <c r="ACB2" s="40"/>
      <c r="ACC2" s="39" t="s">
        <v>12</v>
      </c>
      <c r="ACD2" s="40"/>
      <c r="ACE2" s="4" t="s">
        <v>13</v>
      </c>
      <c r="ACF2" s="4" t="s">
        <v>14</v>
      </c>
      <c r="ACG2" s="4" t="s">
        <v>15</v>
      </c>
      <c r="ACH2" s="4" t="s">
        <v>16</v>
      </c>
      <c r="ACI2" s="4" t="s">
        <v>17</v>
      </c>
      <c r="ACK2" s="39" t="s">
        <v>11</v>
      </c>
      <c r="ACL2" s="40"/>
      <c r="ACM2" s="39" t="s">
        <v>12</v>
      </c>
      <c r="ACN2" s="40"/>
      <c r="ACO2" s="4" t="s">
        <v>13</v>
      </c>
      <c r="ACP2" s="4" t="s">
        <v>14</v>
      </c>
      <c r="ACQ2" s="4" t="s">
        <v>15</v>
      </c>
      <c r="ACR2" s="4" t="s">
        <v>16</v>
      </c>
      <c r="ACS2" s="4" t="s">
        <v>17</v>
      </c>
      <c r="ACU2" s="39" t="s">
        <v>11</v>
      </c>
      <c r="ACV2" s="40"/>
      <c r="ACW2" s="39" t="s">
        <v>12</v>
      </c>
      <c r="ACX2" s="40"/>
      <c r="ACY2" s="4" t="s">
        <v>13</v>
      </c>
      <c r="ACZ2" s="4" t="s">
        <v>14</v>
      </c>
      <c r="ADA2" s="4" t="s">
        <v>15</v>
      </c>
      <c r="ADB2" s="4" t="s">
        <v>16</v>
      </c>
      <c r="ADC2" s="4" t="s">
        <v>17</v>
      </c>
      <c r="ADE2" s="39" t="s">
        <v>11</v>
      </c>
      <c r="ADF2" s="40"/>
      <c r="ADG2" s="39" t="s">
        <v>12</v>
      </c>
      <c r="ADH2" s="40"/>
      <c r="ADI2" s="4" t="s">
        <v>13</v>
      </c>
      <c r="ADJ2" s="4" t="s">
        <v>14</v>
      </c>
      <c r="ADK2" s="4" t="s">
        <v>15</v>
      </c>
      <c r="ADL2" s="4" t="s">
        <v>16</v>
      </c>
      <c r="ADM2" s="4" t="s">
        <v>17</v>
      </c>
      <c r="ADO2" s="39" t="s">
        <v>11</v>
      </c>
      <c r="ADP2" s="40"/>
      <c r="ADQ2" s="39" t="s">
        <v>12</v>
      </c>
      <c r="ADR2" s="40"/>
      <c r="ADS2" s="4" t="s">
        <v>13</v>
      </c>
      <c r="ADT2" s="4" t="s">
        <v>14</v>
      </c>
      <c r="ADU2" s="4" t="s">
        <v>15</v>
      </c>
      <c r="ADV2" s="4" t="s">
        <v>16</v>
      </c>
      <c r="ADW2" s="4" t="s">
        <v>17</v>
      </c>
      <c r="ADY2" s="39" t="s">
        <v>11</v>
      </c>
      <c r="ADZ2" s="40"/>
      <c r="AEA2" s="39" t="s">
        <v>12</v>
      </c>
      <c r="AEB2" s="40"/>
      <c r="AEC2" s="4" t="s">
        <v>13</v>
      </c>
      <c r="AED2" s="4" t="s">
        <v>14</v>
      </c>
      <c r="AEE2" s="4" t="s">
        <v>15</v>
      </c>
      <c r="AEF2" s="4" t="s">
        <v>16</v>
      </c>
      <c r="AEG2" s="4" t="s">
        <v>17</v>
      </c>
      <c r="AEI2" s="39" t="s">
        <v>11</v>
      </c>
      <c r="AEJ2" s="40"/>
      <c r="AEK2" s="39" t="s">
        <v>12</v>
      </c>
      <c r="AEL2" s="40"/>
      <c r="AEM2" s="4" t="s">
        <v>13</v>
      </c>
      <c r="AEN2" s="4" t="s">
        <v>14</v>
      </c>
      <c r="AEO2" s="4" t="s">
        <v>15</v>
      </c>
      <c r="AEP2" s="4" t="s">
        <v>16</v>
      </c>
      <c r="AEQ2" s="4" t="s">
        <v>17</v>
      </c>
      <c r="AES2" s="39" t="s">
        <v>11</v>
      </c>
      <c r="AET2" s="40"/>
      <c r="AEU2" s="39" t="s">
        <v>12</v>
      </c>
      <c r="AEV2" s="40"/>
      <c r="AEW2" s="4" t="s">
        <v>13</v>
      </c>
      <c r="AEX2" s="4" t="s">
        <v>14</v>
      </c>
      <c r="AEY2" s="4" t="s">
        <v>15</v>
      </c>
      <c r="AEZ2" s="4" t="s">
        <v>16</v>
      </c>
      <c r="AFA2" s="4" t="s">
        <v>17</v>
      </c>
      <c r="AFC2" s="39" t="s">
        <v>11</v>
      </c>
      <c r="AFD2" s="40"/>
      <c r="AFE2" s="39" t="s">
        <v>12</v>
      </c>
      <c r="AFF2" s="40"/>
      <c r="AFG2" s="4" t="s">
        <v>13</v>
      </c>
      <c r="AFH2" s="4" t="s">
        <v>14</v>
      </c>
      <c r="AFI2" s="4" t="s">
        <v>15</v>
      </c>
      <c r="AFJ2" s="4" t="s">
        <v>16</v>
      </c>
      <c r="AFK2" s="4" t="s">
        <v>17</v>
      </c>
      <c r="AFM2" s="39" t="s">
        <v>11</v>
      </c>
      <c r="AFN2" s="40"/>
      <c r="AFO2" s="39" t="s">
        <v>12</v>
      </c>
      <c r="AFP2" s="40"/>
      <c r="AFQ2" s="4" t="s">
        <v>13</v>
      </c>
      <c r="AFR2" s="4" t="s">
        <v>14</v>
      </c>
      <c r="AFS2" s="4" t="s">
        <v>15</v>
      </c>
      <c r="AFT2" s="4" t="s">
        <v>16</v>
      </c>
      <c r="AFU2" s="4" t="s">
        <v>17</v>
      </c>
      <c r="AFW2" s="39" t="s">
        <v>11</v>
      </c>
      <c r="AFX2" s="40"/>
      <c r="AFY2" s="39" t="s">
        <v>12</v>
      </c>
      <c r="AFZ2" s="40"/>
      <c r="AGA2" s="4" t="s">
        <v>13</v>
      </c>
      <c r="AGB2" s="4" t="s">
        <v>14</v>
      </c>
      <c r="AGC2" s="4" t="s">
        <v>15</v>
      </c>
      <c r="AGD2" s="4" t="s">
        <v>16</v>
      </c>
      <c r="AGE2" s="4" t="s">
        <v>17</v>
      </c>
      <c r="AGG2" s="39" t="s">
        <v>11</v>
      </c>
      <c r="AGH2" s="40"/>
      <c r="AGI2" s="39" t="s">
        <v>12</v>
      </c>
      <c r="AGJ2" s="40"/>
      <c r="AGK2" s="4" t="s">
        <v>13</v>
      </c>
      <c r="AGL2" s="4" t="s">
        <v>14</v>
      </c>
      <c r="AGM2" s="4" t="s">
        <v>15</v>
      </c>
      <c r="AGN2" s="4" t="s">
        <v>16</v>
      </c>
      <c r="AGO2" s="4" t="s">
        <v>17</v>
      </c>
      <c r="AGQ2" s="39" t="s">
        <v>11</v>
      </c>
      <c r="AGR2" s="40"/>
      <c r="AGS2" s="39" t="s">
        <v>12</v>
      </c>
      <c r="AGT2" s="40"/>
      <c r="AGU2" s="4" t="s">
        <v>13</v>
      </c>
      <c r="AGV2" s="4" t="s">
        <v>14</v>
      </c>
      <c r="AGW2" s="4" t="s">
        <v>15</v>
      </c>
      <c r="AGX2" s="4" t="s">
        <v>16</v>
      </c>
      <c r="AGY2" s="4" t="s">
        <v>17</v>
      </c>
      <c r="AHA2" s="39" t="s">
        <v>11</v>
      </c>
      <c r="AHB2" s="40"/>
      <c r="AHC2" s="39" t="s">
        <v>12</v>
      </c>
      <c r="AHD2" s="40"/>
      <c r="AHE2" s="4" t="s">
        <v>13</v>
      </c>
      <c r="AHF2" s="4" t="s">
        <v>14</v>
      </c>
      <c r="AHG2" s="4" t="s">
        <v>15</v>
      </c>
      <c r="AHH2" s="4" t="s">
        <v>16</v>
      </c>
      <c r="AHI2" s="4" t="s">
        <v>17</v>
      </c>
      <c r="AHK2" s="39" t="s">
        <v>11</v>
      </c>
      <c r="AHL2" s="40"/>
      <c r="AHM2" s="39" t="s">
        <v>12</v>
      </c>
      <c r="AHN2" s="40"/>
      <c r="AHO2" s="4" t="s">
        <v>13</v>
      </c>
      <c r="AHP2" s="4" t="s">
        <v>14</v>
      </c>
      <c r="AHQ2" s="4" t="s">
        <v>15</v>
      </c>
      <c r="AHR2" s="4" t="s">
        <v>16</v>
      </c>
      <c r="AHS2" s="4" t="s">
        <v>17</v>
      </c>
      <c r="AHU2" s="39" t="s">
        <v>11</v>
      </c>
      <c r="AHV2" s="40"/>
      <c r="AHW2" s="39" t="s">
        <v>12</v>
      </c>
      <c r="AHX2" s="40"/>
      <c r="AHY2" s="4" t="s">
        <v>13</v>
      </c>
      <c r="AHZ2" s="4" t="s">
        <v>14</v>
      </c>
      <c r="AIA2" s="4" t="s">
        <v>15</v>
      </c>
      <c r="AIB2" s="4" t="s">
        <v>16</v>
      </c>
      <c r="AIC2" s="4" t="s">
        <v>17</v>
      </c>
      <c r="AIE2" s="39" t="s">
        <v>11</v>
      </c>
      <c r="AIF2" s="40"/>
      <c r="AIG2" s="39" t="s">
        <v>12</v>
      </c>
      <c r="AIH2" s="40"/>
      <c r="AII2" s="4" t="s">
        <v>13</v>
      </c>
      <c r="AIJ2" s="4" t="s">
        <v>14</v>
      </c>
      <c r="AIK2" s="4" t="s">
        <v>15</v>
      </c>
      <c r="AIL2" s="4" t="s">
        <v>16</v>
      </c>
      <c r="AIM2" s="4" t="s">
        <v>17</v>
      </c>
      <c r="AIO2" s="39" t="s">
        <v>11</v>
      </c>
      <c r="AIP2" s="40"/>
      <c r="AIQ2" s="39" t="s">
        <v>12</v>
      </c>
      <c r="AIR2" s="40"/>
      <c r="AIS2" s="4" t="s">
        <v>13</v>
      </c>
      <c r="AIT2" s="4" t="s">
        <v>14</v>
      </c>
      <c r="AIU2" s="4" t="s">
        <v>15</v>
      </c>
      <c r="AIV2" s="4" t="s">
        <v>16</v>
      </c>
      <c r="AIW2" s="4" t="s">
        <v>17</v>
      </c>
      <c r="AIY2" s="39" t="s">
        <v>11</v>
      </c>
      <c r="AIZ2" s="40"/>
      <c r="AJA2" s="39" t="s">
        <v>12</v>
      </c>
      <c r="AJB2" s="40"/>
      <c r="AJC2" s="4" t="s">
        <v>13</v>
      </c>
      <c r="AJD2" s="4" t="s">
        <v>14</v>
      </c>
      <c r="AJE2" s="4" t="s">
        <v>15</v>
      </c>
      <c r="AJF2" s="4" t="s">
        <v>16</v>
      </c>
      <c r="AJG2" s="4" t="s">
        <v>17</v>
      </c>
      <c r="AJI2" s="39" t="s">
        <v>11</v>
      </c>
      <c r="AJJ2" s="40"/>
      <c r="AJK2" s="39" t="s">
        <v>12</v>
      </c>
      <c r="AJL2" s="40"/>
      <c r="AJM2" s="4" t="s">
        <v>13</v>
      </c>
      <c r="AJN2" s="4" t="s">
        <v>14</v>
      </c>
      <c r="AJO2" s="4" t="s">
        <v>15</v>
      </c>
      <c r="AJP2" s="4" t="s">
        <v>16</v>
      </c>
      <c r="AJQ2" s="4" t="s">
        <v>17</v>
      </c>
      <c r="AJS2" s="39" t="s">
        <v>11</v>
      </c>
      <c r="AJT2" s="40"/>
      <c r="AJU2" s="39" t="s">
        <v>12</v>
      </c>
      <c r="AJV2" s="40"/>
      <c r="AJW2" s="4" t="s">
        <v>13</v>
      </c>
      <c r="AJX2" s="4" t="s">
        <v>14</v>
      </c>
      <c r="AJY2" s="4" t="s">
        <v>15</v>
      </c>
      <c r="AJZ2" s="4" t="s">
        <v>16</v>
      </c>
      <c r="AKA2" s="4" t="s">
        <v>17</v>
      </c>
      <c r="AKC2" s="39" t="s">
        <v>11</v>
      </c>
      <c r="AKD2" s="40"/>
      <c r="AKE2" s="39" t="s">
        <v>12</v>
      </c>
      <c r="AKF2" s="40"/>
      <c r="AKG2" s="4" t="s">
        <v>13</v>
      </c>
      <c r="AKH2" s="4" t="s">
        <v>14</v>
      </c>
      <c r="AKI2" s="4" t="s">
        <v>15</v>
      </c>
      <c r="AKJ2" s="4" t="s">
        <v>16</v>
      </c>
      <c r="AKK2" s="4" t="s">
        <v>17</v>
      </c>
      <c r="AKM2" s="39" t="s">
        <v>11</v>
      </c>
      <c r="AKN2" s="40"/>
      <c r="AKO2" s="39" t="s">
        <v>12</v>
      </c>
      <c r="AKP2" s="40"/>
      <c r="AKQ2" s="4" t="s">
        <v>13</v>
      </c>
      <c r="AKR2" s="4" t="s">
        <v>14</v>
      </c>
      <c r="AKS2" s="4" t="s">
        <v>15</v>
      </c>
      <c r="AKT2" s="4" t="s">
        <v>16</v>
      </c>
      <c r="AKU2" s="4" t="s">
        <v>17</v>
      </c>
      <c r="AKW2" s="39" t="s">
        <v>11</v>
      </c>
      <c r="AKX2" s="40"/>
      <c r="AKY2" s="39" t="s">
        <v>12</v>
      </c>
      <c r="AKZ2" s="40"/>
      <c r="ALA2" s="4" t="s">
        <v>13</v>
      </c>
      <c r="ALB2" s="4" t="s">
        <v>14</v>
      </c>
      <c r="ALC2" s="4" t="s">
        <v>15</v>
      </c>
      <c r="ALD2" s="4" t="s">
        <v>16</v>
      </c>
      <c r="ALE2" s="4" t="s">
        <v>17</v>
      </c>
      <c r="ALG2" s="39" t="s">
        <v>11</v>
      </c>
      <c r="ALH2" s="40"/>
      <c r="ALI2" s="39" t="s">
        <v>12</v>
      </c>
      <c r="ALJ2" s="40"/>
      <c r="ALK2" s="4" t="s">
        <v>13</v>
      </c>
      <c r="ALL2" s="4" t="s">
        <v>14</v>
      </c>
      <c r="ALM2" s="4" t="s">
        <v>15</v>
      </c>
      <c r="ALN2" s="4" t="s">
        <v>16</v>
      </c>
      <c r="ALO2" s="4" t="s">
        <v>17</v>
      </c>
      <c r="ALQ2" s="39" t="s">
        <v>11</v>
      </c>
      <c r="ALR2" s="40"/>
      <c r="ALS2" s="39" t="s">
        <v>12</v>
      </c>
      <c r="ALT2" s="40"/>
      <c r="ALU2" s="4" t="s">
        <v>13</v>
      </c>
      <c r="ALV2" s="4" t="s">
        <v>14</v>
      </c>
      <c r="ALW2" s="4" t="s">
        <v>15</v>
      </c>
      <c r="ALX2" s="4" t="s">
        <v>16</v>
      </c>
      <c r="ALY2" s="4" t="s">
        <v>17</v>
      </c>
      <c r="AMA2" s="39" t="s">
        <v>11</v>
      </c>
      <c r="AMB2" s="40"/>
      <c r="AMC2" s="39" t="s">
        <v>12</v>
      </c>
      <c r="AMD2" s="40"/>
      <c r="AME2" s="4" t="s">
        <v>13</v>
      </c>
      <c r="AMF2" s="4" t="s">
        <v>14</v>
      </c>
      <c r="AMG2" s="4" t="s">
        <v>15</v>
      </c>
      <c r="AMH2" s="4" t="s">
        <v>16</v>
      </c>
      <c r="AMI2" s="4" t="s">
        <v>17</v>
      </c>
      <c r="AMK2" s="39" t="s">
        <v>11</v>
      </c>
      <c r="AML2" s="40"/>
      <c r="AMM2" s="39" t="s">
        <v>12</v>
      </c>
      <c r="AMN2" s="40"/>
      <c r="AMO2" s="4" t="s">
        <v>13</v>
      </c>
      <c r="AMP2" s="4" t="s">
        <v>14</v>
      </c>
      <c r="AMQ2" s="4" t="s">
        <v>15</v>
      </c>
      <c r="AMR2" s="4" t="s">
        <v>16</v>
      </c>
      <c r="AMS2" s="4" t="s">
        <v>17</v>
      </c>
      <c r="AMU2" s="39" t="s">
        <v>11</v>
      </c>
      <c r="AMV2" s="40"/>
      <c r="AMW2" s="39" t="s">
        <v>12</v>
      </c>
      <c r="AMX2" s="40"/>
      <c r="AMY2" s="4" t="s">
        <v>13</v>
      </c>
      <c r="AMZ2" s="4" t="s">
        <v>14</v>
      </c>
      <c r="ANA2" s="4" t="s">
        <v>15</v>
      </c>
      <c r="ANB2" s="4" t="s">
        <v>16</v>
      </c>
      <c r="ANC2" s="4" t="s">
        <v>17</v>
      </c>
      <c r="ANE2" s="39" t="s">
        <v>11</v>
      </c>
      <c r="ANF2" s="40"/>
      <c r="ANG2" s="39" t="s">
        <v>12</v>
      </c>
      <c r="ANH2" s="40"/>
      <c r="ANI2" s="4" t="s">
        <v>13</v>
      </c>
      <c r="ANJ2" s="4" t="s">
        <v>14</v>
      </c>
      <c r="ANK2" s="4" t="s">
        <v>15</v>
      </c>
      <c r="ANL2" s="4" t="s">
        <v>16</v>
      </c>
      <c r="ANM2" s="4" t="s">
        <v>17</v>
      </c>
      <c r="ANO2" s="39" t="s">
        <v>11</v>
      </c>
      <c r="ANP2" s="40"/>
      <c r="ANQ2" s="39" t="s">
        <v>12</v>
      </c>
      <c r="ANR2" s="40"/>
      <c r="ANS2" s="4" t="s">
        <v>13</v>
      </c>
      <c r="ANT2" s="4" t="s">
        <v>14</v>
      </c>
      <c r="ANU2" s="4" t="s">
        <v>15</v>
      </c>
      <c r="ANV2" s="4" t="s">
        <v>16</v>
      </c>
      <c r="ANW2" s="4" t="s">
        <v>17</v>
      </c>
      <c r="ANY2" s="39" t="s">
        <v>11</v>
      </c>
      <c r="ANZ2" s="40"/>
      <c r="AOA2" s="39" t="s">
        <v>12</v>
      </c>
      <c r="AOB2" s="40"/>
      <c r="AOC2" s="4" t="s">
        <v>13</v>
      </c>
      <c r="AOD2" s="4" t="s">
        <v>14</v>
      </c>
      <c r="AOE2" s="4" t="s">
        <v>15</v>
      </c>
      <c r="AOF2" s="4" t="s">
        <v>16</v>
      </c>
      <c r="AOG2" s="4" t="s">
        <v>17</v>
      </c>
      <c r="AOI2" s="39" t="s">
        <v>11</v>
      </c>
      <c r="AOJ2" s="40"/>
      <c r="AOK2" s="39" t="s">
        <v>12</v>
      </c>
      <c r="AOL2" s="40"/>
      <c r="AOM2" s="4" t="s">
        <v>13</v>
      </c>
      <c r="AON2" s="4" t="s">
        <v>14</v>
      </c>
      <c r="AOO2" s="4" t="s">
        <v>15</v>
      </c>
      <c r="AOP2" s="4" t="s">
        <v>16</v>
      </c>
      <c r="AOQ2" s="4" t="s">
        <v>17</v>
      </c>
      <c r="AOS2" s="39" t="s">
        <v>11</v>
      </c>
      <c r="AOT2" s="40"/>
      <c r="AOU2" s="39" t="s">
        <v>12</v>
      </c>
      <c r="AOV2" s="40"/>
      <c r="AOW2" s="4" t="s">
        <v>13</v>
      </c>
      <c r="AOX2" s="4" t="s">
        <v>14</v>
      </c>
      <c r="AOY2" s="4" t="s">
        <v>15</v>
      </c>
      <c r="AOZ2" s="4" t="s">
        <v>16</v>
      </c>
      <c r="APA2" s="4" t="s">
        <v>17</v>
      </c>
      <c r="APC2" s="39" t="s">
        <v>11</v>
      </c>
      <c r="APD2" s="40"/>
      <c r="APE2" s="39" t="s">
        <v>12</v>
      </c>
      <c r="APF2" s="40"/>
      <c r="APG2" s="4" t="s">
        <v>13</v>
      </c>
      <c r="APH2" s="4" t="s">
        <v>14</v>
      </c>
      <c r="API2" s="4" t="s">
        <v>15</v>
      </c>
      <c r="APJ2" s="4" t="s">
        <v>16</v>
      </c>
      <c r="APK2" s="4" t="s">
        <v>17</v>
      </c>
      <c r="APM2" s="39" t="s">
        <v>11</v>
      </c>
      <c r="APN2" s="40"/>
      <c r="APO2" s="39" t="s">
        <v>12</v>
      </c>
      <c r="APP2" s="40"/>
      <c r="APQ2" s="4" t="s">
        <v>13</v>
      </c>
      <c r="APR2" s="4" t="s">
        <v>14</v>
      </c>
      <c r="APS2" s="4" t="s">
        <v>15</v>
      </c>
      <c r="APT2" s="4" t="s">
        <v>16</v>
      </c>
      <c r="APU2" s="4" t="s">
        <v>17</v>
      </c>
      <c r="APW2" s="60" t="s">
        <v>11</v>
      </c>
      <c r="APX2" s="61"/>
      <c r="APY2" s="60" t="s">
        <v>12</v>
      </c>
      <c r="APZ2" s="61"/>
      <c r="AQA2" s="4" t="s">
        <v>13</v>
      </c>
      <c r="AQB2" s="4" t="s">
        <v>14</v>
      </c>
      <c r="AQC2" s="4" t="s">
        <v>15</v>
      </c>
      <c r="AQD2" s="4" t="s">
        <v>16</v>
      </c>
      <c r="AQE2" s="4" t="s">
        <v>17</v>
      </c>
    </row>
    <row r="3" spans="1:1123" ht="12.75" customHeight="1" x14ac:dyDescent="0.2">
      <c r="A3" s="22" t="s">
        <v>18</v>
      </c>
      <c r="B3" s="13" t="s">
        <v>19</v>
      </c>
      <c r="C3" s="13">
        <v>18</v>
      </c>
      <c r="E3" s="24"/>
      <c r="F3" s="6" t="s">
        <v>20</v>
      </c>
      <c r="G3" s="24">
        <v>17</v>
      </c>
      <c r="H3" s="6" t="s">
        <v>20</v>
      </c>
      <c r="I3" s="5">
        <f>IF(OR(ISNUMBER(E3), ISNUMBER(G3)), IF(ISNUMBER(E3), E3, 0) + IF(ISNUMBER(G3), G3, 0), "")</f>
        <v>17</v>
      </c>
      <c r="J3" s="3"/>
      <c r="K3" s="7"/>
      <c r="L3" s="5"/>
      <c r="M3" s="7" t="str">
        <f>IF(ISNUMBER(L3), L3-K3, "")</f>
        <v/>
      </c>
      <c r="O3" s="24"/>
      <c r="P3" s="6" t="s">
        <v>20</v>
      </c>
      <c r="Q3" s="24">
        <v>27</v>
      </c>
      <c r="R3" s="6" t="s">
        <v>20</v>
      </c>
      <c r="S3" s="5">
        <f>IF(OR(ISNUMBER(O3), ISNUMBER(Q3)), IF(ISNUMBER(O3), O3, 0) + IF(ISNUMBER(Q3), Q3, 0), "")</f>
        <v>27</v>
      </c>
      <c r="T3" s="3"/>
      <c r="U3" s="7">
        <f t="shared" ref="U3:U6" si="0">IF(ISNUMBER(S3), (I3 + (J3 * 24)) - S3, "")</f>
        <v>-10</v>
      </c>
      <c r="V3" s="5">
        <v>2</v>
      </c>
      <c r="W3" s="7">
        <f>IF(ISNUMBER(V3), V3-U3, "")</f>
        <v>12</v>
      </c>
      <c r="Y3" s="24">
        <v>24</v>
      </c>
      <c r="Z3" s="6" t="s">
        <v>20</v>
      </c>
      <c r="AA3" s="24"/>
      <c r="AB3" s="6" t="s">
        <v>20</v>
      </c>
      <c r="AC3" s="5">
        <f>IF(OR(ISNUMBER(Y3), ISNUMBER(AA3)), IF(ISNUMBER(Y3), Y3, 0) + IF(ISNUMBER(AA3), AA3, 0), "")</f>
        <v>24</v>
      </c>
      <c r="AD3" s="3"/>
      <c r="AE3" s="7">
        <f t="shared" ref="AE3:AE6" si="1">IF(ISNUMBER(AC3), (S3 + (T3 * 24)) - AC3, "")</f>
        <v>3</v>
      </c>
      <c r="AF3" s="5">
        <v>4</v>
      </c>
      <c r="AG3" s="7">
        <f>IF(ISNUMBER(AF3), AF3-AE3, "")</f>
        <v>1</v>
      </c>
      <c r="AI3" s="24">
        <v>0</v>
      </c>
      <c r="AJ3" s="6" t="s">
        <v>20</v>
      </c>
      <c r="AK3" s="24">
        <v>15</v>
      </c>
      <c r="AL3" s="6" t="s">
        <v>20</v>
      </c>
      <c r="AM3" s="5">
        <f>IF(OR(ISNUMBER(AI3), ISNUMBER(AK3)), IF(ISNUMBER(AI3), AI3, 0) + IF(ISNUMBER(AK3), AK3, 0), "")</f>
        <v>15</v>
      </c>
      <c r="AN3" s="3">
        <v>1</v>
      </c>
      <c r="AO3" s="7">
        <f t="shared" ref="AO3:AO6" si="2">IF(ISNUMBER(AM3), (AC3 + (AD3 * 24)) - AM3, "")</f>
        <v>9</v>
      </c>
      <c r="AP3" s="5">
        <v>8</v>
      </c>
      <c r="AQ3" s="7">
        <f>IF(ISNUMBER(AP3), AP3-AO3, "")</f>
        <v>-1</v>
      </c>
      <c r="AS3" s="24">
        <v>24</v>
      </c>
      <c r="AT3" s="6" t="s">
        <v>20</v>
      </c>
      <c r="AU3" s="24">
        <v>13</v>
      </c>
      <c r="AV3" s="6" t="s">
        <v>20</v>
      </c>
      <c r="AW3" s="5">
        <f>IF(OR(ISNUMBER(AS3), ISNUMBER(AU3)), IF(ISNUMBER(AS3), AS3, 0) + IF(ISNUMBER(AU3), AU3, 0), "")</f>
        <v>37</v>
      </c>
      <c r="AX3" s="3"/>
      <c r="AY3" s="7">
        <f t="shared" ref="AY3:AY6" si="3">IF(ISNUMBER(AW3), (AM3 + (AN3 * 24)) - AW3, "")</f>
        <v>2</v>
      </c>
      <c r="AZ3" s="5">
        <v>2</v>
      </c>
      <c r="BA3" s="7">
        <f>IF(ISNUMBER(AZ3), AZ3-AY3, "")</f>
        <v>0</v>
      </c>
      <c r="BC3" s="2">
        <v>24</v>
      </c>
      <c r="BD3" s="6" t="s">
        <v>20</v>
      </c>
      <c r="BE3" s="2">
        <v>5</v>
      </c>
      <c r="BF3" s="6" t="s">
        <v>20</v>
      </c>
      <c r="BG3" s="5">
        <f>IF(OR(ISNUMBER(BC3), ISNUMBER(BE3)), IF(ISNUMBER(BC3), BC3, 0) + IF(ISNUMBER(BE3), BE3, 0), "")</f>
        <v>29</v>
      </c>
      <c r="BH3" s="3"/>
      <c r="BI3" s="7">
        <f t="shared" ref="BI3:BI6" si="4">IF(ISNUMBER(BG3), (AW3 + (AX3 * 24)) - BG3, "")</f>
        <v>8</v>
      </c>
      <c r="BJ3" s="5">
        <v>9</v>
      </c>
      <c r="BK3" s="7">
        <f>IF(ISNUMBER(BJ3), BJ3-BI3, "")</f>
        <v>1</v>
      </c>
      <c r="BM3" s="2">
        <v>14</v>
      </c>
      <c r="BN3" s="6" t="s">
        <v>20</v>
      </c>
      <c r="BO3" s="2">
        <v>14</v>
      </c>
      <c r="BP3" s="6" t="s">
        <v>20</v>
      </c>
      <c r="BQ3" s="5">
        <f>IF(OR(ISNUMBER(BM3), ISNUMBER(BO3)), IF(ISNUMBER(BM3), BM3, 0) + IF(ISNUMBER(BO3), BO3, 0), "")</f>
        <v>28</v>
      </c>
      <c r="BR3" s="3">
        <v>1</v>
      </c>
      <c r="BS3" s="7">
        <f t="shared" ref="BS3:BS5" si="5">IF(ISNUMBER(BQ3), (BG3 + (BH3 * 24)) - BQ3, "")</f>
        <v>1</v>
      </c>
      <c r="BT3" s="5">
        <v>2</v>
      </c>
      <c r="BU3" s="7">
        <f>IF(ISNUMBER(BT3), BT3-BS3, "")</f>
        <v>1</v>
      </c>
      <c r="BW3" s="24">
        <v>24</v>
      </c>
      <c r="BX3" s="6" t="s">
        <v>20</v>
      </c>
      <c r="BY3" s="24">
        <v>25</v>
      </c>
      <c r="BZ3" s="6" t="s">
        <v>20</v>
      </c>
      <c r="CA3" s="5">
        <f>IF(OR(ISNUMBER(BW3), ISNUMBER(BY3)), IF(ISNUMBER(BW3), BW3, 0) + IF(ISNUMBER(BY3), BY3, 0), "")</f>
        <v>49</v>
      </c>
      <c r="CB3" s="3"/>
      <c r="CC3" s="7">
        <f t="shared" ref="CC3:CC6" si="6">IF(ISNUMBER(CA3), (BQ3 + (BR3 * 24)) - CA3, "")</f>
        <v>3</v>
      </c>
      <c r="CD3" s="5">
        <v>3</v>
      </c>
      <c r="CE3" s="7">
        <f>IF(ISNUMBER(CD3), CD3-CC3, "")</f>
        <v>0</v>
      </c>
      <c r="CG3" s="24">
        <v>32</v>
      </c>
      <c r="CH3" s="6" t="s">
        <v>20</v>
      </c>
      <c r="CI3" s="24">
        <v>15</v>
      </c>
      <c r="CJ3" s="6" t="s">
        <v>20</v>
      </c>
      <c r="CK3" s="5">
        <f>IF(OR(ISNUMBER(CG3), ISNUMBER(CI3)), IF(ISNUMBER(CG3), CG3, 0) + IF(ISNUMBER(CI3), CI3, 0), "")</f>
        <v>47</v>
      </c>
      <c r="CL3" s="3"/>
      <c r="CM3" s="7">
        <f t="shared" ref="CM3:CM6" si="7">IF(ISNUMBER(CK3), (CA3 + (CB3 * 24)) - CK3, "")</f>
        <v>2</v>
      </c>
      <c r="CN3" s="5">
        <v>2</v>
      </c>
      <c r="CO3" s="7">
        <f>IF(ISNUMBER(CN3), CN3-CM3, "")</f>
        <v>0</v>
      </c>
      <c r="CQ3" s="24">
        <v>32</v>
      </c>
      <c r="CR3" s="6" t="s">
        <v>20</v>
      </c>
      <c r="CS3" s="24">
        <v>10</v>
      </c>
      <c r="CT3" s="6" t="s">
        <v>20</v>
      </c>
      <c r="CU3" s="5">
        <f>IF(OR(ISNUMBER(CQ3), ISNUMBER(CS3)), IF(ISNUMBER(CQ3), CQ3, 0) + IF(ISNUMBER(CS3), CS3, 0), "")</f>
        <v>42</v>
      </c>
      <c r="CV3" s="3"/>
      <c r="CW3" s="7">
        <f t="shared" ref="CW3:CW6" si="8">IF(ISNUMBER(CU3), (CK3 + (CL3 * 24)) - CU3, "")</f>
        <v>5</v>
      </c>
      <c r="CX3" s="5">
        <v>5</v>
      </c>
      <c r="CY3" s="7">
        <f>IF(ISNUMBER(CX3), CX3-CW3, "")</f>
        <v>0</v>
      </c>
      <c r="DA3" s="24">
        <v>32</v>
      </c>
      <c r="DB3" s="6" t="s">
        <v>20</v>
      </c>
      <c r="DC3" s="24">
        <v>6</v>
      </c>
      <c r="DD3" s="6" t="s">
        <v>20</v>
      </c>
      <c r="DE3" s="5">
        <f>IF(OR(ISNUMBER(DA3), ISNUMBER(DC3)), IF(ISNUMBER(DA3), DA3, 0) + IF(ISNUMBER(DC3), DC3, 0), "")</f>
        <v>38</v>
      </c>
      <c r="DF3" s="3"/>
      <c r="DG3" s="7">
        <f t="shared" ref="DG3:DG6" si="9">IF(ISNUMBER(DE3), (CU3 + (CV3 * 24)) - DE3, "")</f>
        <v>4</v>
      </c>
      <c r="DH3" s="5">
        <v>3</v>
      </c>
      <c r="DI3" s="7">
        <f>IF(ISNUMBER(DH3), DH3-DG3, "")</f>
        <v>-1</v>
      </c>
      <c r="DK3" s="24">
        <v>24</v>
      </c>
      <c r="DL3" s="6" t="s">
        <v>20</v>
      </c>
      <c r="DM3" s="24">
        <v>14</v>
      </c>
      <c r="DN3" s="6" t="s">
        <v>20</v>
      </c>
      <c r="DO3" s="5">
        <f>IF(OR(ISNUMBER(DK3), ISNUMBER(DM3)), IF(ISNUMBER(DK3), DK3, 0) + IF(ISNUMBER(DM3), DM3, 0), "")</f>
        <v>38</v>
      </c>
      <c r="DP3" s="3"/>
      <c r="DQ3" s="7">
        <f t="shared" ref="DQ3:DQ6" si="10">IF(ISNUMBER(DO3), (DE3 + (DF3 * 24)) - DO3, "")</f>
        <v>0</v>
      </c>
      <c r="DR3" s="5">
        <v>1</v>
      </c>
      <c r="DS3" s="7">
        <f>IF(ISNUMBER(DR3), DR3-DQ3, "")</f>
        <v>1</v>
      </c>
      <c r="DU3" s="24">
        <v>24</v>
      </c>
      <c r="DV3" s="6" t="s">
        <v>20</v>
      </c>
      <c r="DW3" s="24">
        <v>12</v>
      </c>
      <c r="DX3" s="6" t="s">
        <v>20</v>
      </c>
      <c r="DY3" s="5">
        <f>IF(OR(ISNUMBER(DU3), ISNUMBER(DW3)), IF(ISNUMBER(DU3), DU3, 0) + IF(ISNUMBER(DW3), DW3, 0), "")</f>
        <v>36</v>
      </c>
      <c r="DZ3" s="3"/>
      <c r="EA3" s="7">
        <f t="shared" ref="EA3:EA6" si="11">IF(ISNUMBER(DY3), (DO3 + (DP3 * 24)) - DY3, "")</f>
        <v>2</v>
      </c>
      <c r="EB3" s="5">
        <v>2</v>
      </c>
      <c r="EC3" s="7">
        <f>IF(ISNUMBER(EB3), EB3-EA3, "")</f>
        <v>0</v>
      </c>
      <c r="EE3" s="24">
        <v>24</v>
      </c>
      <c r="EF3" s="6" t="s">
        <v>20</v>
      </c>
      <c r="EG3" s="24">
        <v>5</v>
      </c>
      <c r="EH3" s="6" t="s">
        <v>20</v>
      </c>
      <c r="EI3" s="5">
        <f>IF(OR(ISNUMBER(EE3), ISNUMBER(EG3)), IF(ISNUMBER(EE3), EE3, 0) + IF(ISNUMBER(EG3), EG3, 0), "")</f>
        <v>29</v>
      </c>
      <c r="EJ3" s="3"/>
      <c r="EK3" s="7">
        <f t="shared" ref="EK3:EK6" si="12">IF(ISNUMBER(EI3), (DY3 + (DZ3 * 24)) - EI3, "")</f>
        <v>7</v>
      </c>
      <c r="EL3" s="5">
        <v>6</v>
      </c>
      <c r="EM3" s="7">
        <f>IF(ISNUMBER(EL3), EL3-EK3, "")</f>
        <v>-1</v>
      </c>
      <c r="EO3" s="24">
        <v>24</v>
      </c>
      <c r="EP3" s="6" t="s">
        <v>20</v>
      </c>
      <c r="EQ3" s="24">
        <v>6</v>
      </c>
      <c r="ER3" s="6" t="s">
        <v>20</v>
      </c>
      <c r="ES3" s="5">
        <f>IF(OR(ISNUMBER(EO3), ISNUMBER(EQ3)), IF(ISNUMBER(EO3), EO3, 0) + IF(ISNUMBER(EQ3), EQ3, 0), "")</f>
        <v>30</v>
      </c>
      <c r="ET3" s="3"/>
      <c r="EU3" s="7">
        <f t="shared" ref="EU3:EU6" si="13">IF(ISNUMBER(ES3), (EI3 + (EJ3 * 24)) - ES3, "")</f>
        <v>-1</v>
      </c>
      <c r="EV3" s="5"/>
      <c r="EW3" s="7" t="str">
        <f>IF(ISNUMBER(EV3), EV3-EU3, "")</f>
        <v/>
      </c>
      <c r="EY3" s="24">
        <v>12</v>
      </c>
      <c r="EZ3" s="6" t="s">
        <v>20</v>
      </c>
      <c r="FA3" s="24">
        <v>13</v>
      </c>
      <c r="FB3" s="6" t="s">
        <v>20</v>
      </c>
      <c r="FC3" s="5">
        <f>IF(OR(ISNUMBER(EY3), ISNUMBER(FA3)), IF(ISNUMBER(EY3), EY3, 0) + IF(ISNUMBER(FA3), FA3, 0), "")</f>
        <v>25</v>
      </c>
      <c r="FD3" s="3"/>
      <c r="FE3" s="7">
        <f t="shared" ref="FE3:FE6" si="14">IF(ISNUMBER(FC3), (ES3 + (ET3 * 24)) - FC3, "")</f>
        <v>5</v>
      </c>
      <c r="FF3" s="5">
        <v>5</v>
      </c>
      <c r="FG3" s="7">
        <f>IF(ISNUMBER(FF3), FF3-FE3, "")</f>
        <v>0</v>
      </c>
      <c r="FI3" s="24">
        <v>9</v>
      </c>
      <c r="FJ3" s="6" t="s">
        <v>20</v>
      </c>
      <c r="FK3" s="24">
        <v>9</v>
      </c>
      <c r="FL3" s="6" t="s">
        <v>20</v>
      </c>
      <c r="FM3" s="5">
        <f>IF(OR(ISNUMBER(FI3), ISNUMBER(FK3)), IF(ISNUMBER(FI3), FI3, 0) + IF(ISNUMBER(FK3), FK3, 0), "")</f>
        <v>18</v>
      </c>
      <c r="FN3" s="3"/>
      <c r="FO3" s="7">
        <f t="shared" ref="FO3:FO6" si="15">IF(ISNUMBER(FM3), (FC3 + (FD3 * 24)) - FM3, "")</f>
        <v>7</v>
      </c>
      <c r="FP3" s="5">
        <v>2</v>
      </c>
      <c r="FQ3" s="7">
        <f>IF(ISNUMBER(FP3), FP3-FO3, "")</f>
        <v>-5</v>
      </c>
      <c r="FS3" s="24">
        <v>12</v>
      </c>
      <c r="FT3" s="6" t="s">
        <v>20</v>
      </c>
      <c r="FU3" s="24">
        <v>8</v>
      </c>
      <c r="FV3" s="6" t="s">
        <v>20</v>
      </c>
      <c r="FW3" s="5">
        <f>IF(OR(ISNUMBER(FS3), ISNUMBER(FU3)), IF(ISNUMBER(FS3), FS3, 0) + IF(ISNUMBER(FU3), FU3, 0), "")</f>
        <v>20</v>
      </c>
      <c r="FX3" s="3">
        <v>1</v>
      </c>
      <c r="FY3" s="7">
        <f t="shared" ref="FY3:FY6" si="16">IF(ISNUMBER(FW3), (FM3 + (FN3 * 24)) - FW3, "")</f>
        <v>-2</v>
      </c>
      <c r="FZ3" s="5">
        <v>1</v>
      </c>
      <c r="GA3" s="7">
        <f>IF(ISNUMBER(FZ3), FZ3-FY3, "")</f>
        <v>3</v>
      </c>
      <c r="GC3" s="24">
        <v>24</v>
      </c>
      <c r="GD3" s="6" t="s">
        <v>20</v>
      </c>
      <c r="GE3" s="24">
        <v>15</v>
      </c>
      <c r="GF3" s="6" t="s">
        <v>20</v>
      </c>
      <c r="GG3" s="5">
        <f>IF(OR(ISNUMBER(GC3), ISNUMBER(GE3)), IF(ISNUMBER(GC3), GC3, 0) + IF(ISNUMBER(GE3), GE3, 0), "")</f>
        <v>39</v>
      </c>
      <c r="GH3" s="3"/>
      <c r="GI3" s="7">
        <f t="shared" ref="GI3:GI6" si="17">IF(ISNUMBER(GG3), (FW3 + (FX3 * 24)) - GG3, "")</f>
        <v>5</v>
      </c>
      <c r="GJ3" s="5">
        <v>4</v>
      </c>
      <c r="GK3" s="7">
        <f>IF(ISNUMBER(GJ3), GJ3-GI3, "")</f>
        <v>-1</v>
      </c>
      <c r="GM3" s="24">
        <v>24</v>
      </c>
      <c r="GN3" s="6" t="s">
        <v>20</v>
      </c>
      <c r="GO3" s="24">
        <v>17</v>
      </c>
      <c r="GP3" s="6" t="s">
        <v>20</v>
      </c>
      <c r="GQ3" s="5">
        <f>IF(OR(ISNUMBER(GM3), ISNUMBER(GO3)), IF(ISNUMBER(GM3), GM3, 0) + IF(ISNUMBER(GO3), GO3, 0), "")</f>
        <v>41</v>
      </c>
      <c r="GR3" s="3"/>
      <c r="GS3" s="7">
        <f t="shared" ref="GS3:GS6" si="18">IF(ISNUMBER(GQ3), (GG3 + (GH3 * 24)) - GQ3, "")</f>
        <v>-2</v>
      </c>
      <c r="GT3" s="5"/>
      <c r="GU3" s="7" t="str">
        <f>IF(ISNUMBER(GT3), GT3-GS3, "")</f>
        <v/>
      </c>
      <c r="GW3" s="24">
        <v>24</v>
      </c>
      <c r="GX3" s="6" t="s">
        <v>20</v>
      </c>
      <c r="GY3" s="24">
        <v>9</v>
      </c>
      <c r="GZ3" s="6" t="s">
        <v>20</v>
      </c>
      <c r="HA3" s="5">
        <f>IF(OR(ISNUMBER(GW3), ISNUMBER(GY3)), IF(ISNUMBER(GW3), GW3, 0) + IF(ISNUMBER(GY3), GY3, 0), "")</f>
        <v>33</v>
      </c>
      <c r="HB3" s="3"/>
      <c r="HC3" s="7">
        <f t="shared" ref="HC3:HC6" si="19">IF(ISNUMBER(HA3), (GQ3 + (GR3 * 24)) - HA3, "")</f>
        <v>8</v>
      </c>
      <c r="HD3" s="5">
        <v>8</v>
      </c>
      <c r="HE3" s="7">
        <f>IF(ISNUMBER(HD3), HD3-HC3, "")</f>
        <v>0</v>
      </c>
      <c r="HG3" s="24">
        <v>20</v>
      </c>
      <c r="HH3" s="6" t="s">
        <v>20</v>
      </c>
      <c r="HI3" s="24">
        <v>11</v>
      </c>
      <c r="HJ3" s="6" t="s">
        <v>20</v>
      </c>
      <c r="HK3" s="5">
        <f>IF(OR(ISNUMBER(HG3), ISNUMBER(HI3)), IF(ISNUMBER(HG3), HG3, 0) + IF(ISNUMBER(HI3), HI3, 0), "")</f>
        <v>31</v>
      </c>
      <c r="HL3" s="3">
        <v>1</v>
      </c>
      <c r="HM3" s="7">
        <f t="shared" ref="HM3:HM6" si="20">IF(ISNUMBER(HK3), (HA3 + (HB3 * 24)) - HK3, "")</f>
        <v>2</v>
      </c>
      <c r="HN3" s="5">
        <v>2</v>
      </c>
      <c r="HO3" s="7">
        <f>IF(ISNUMBER(HN3), HN3-HM3, "")</f>
        <v>0</v>
      </c>
      <c r="HQ3" s="24">
        <v>20</v>
      </c>
      <c r="HR3" s="6" t="s">
        <v>20</v>
      </c>
      <c r="HS3" s="24">
        <v>11</v>
      </c>
      <c r="HT3" s="6" t="s">
        <v>20</v>
      </c>
      <c r="HU3" s="5">
        <f>IF(OR(ISNUMBER(HQ3), ISNUMBER(HS3)), IF(ISNUMBER(HQ3), HQ3, 0) + IF(ISNUMBER(HS3), HS3, 0), "")</f>
        <v>31</v>
      </c>
      <c r="HV3" s="3"/>
      <c r="HW3" s="7">
        <f t="shared" ref="HW3:HW6" si="21">IF(ISNUMBER(HU3), (HK3 + (HL3 * 24)) - HU3, "")</f>
        <v>24</v>
      </c>
      <c r="HX3" s="5">
        <v>3</v>
      </c>
      <c r="HY3" s="7">
        <f>IF(ISNUMBER(HX3), HX3-HW3, "")</f>
        <v>-21</v>
      </c>
      <c r="IA3" s="24">
        <v>20</v>
      </c>
      <c r="IB3" s="6" t="s">
        <v>20</v>
      </c>
      <c r="IC3" s="24">
        <v>10</v>
      </c>
      <c r="ID3" s="6" t="s">
        <v>20</v>
      </c>
      <c r="IE3" s="5">
        <f>IF(OR(ISNUMBER(IA3), ISNUMBER(IC3)), IF(ISNUMBER(IA3), IA3, 0) + IF(ISNUMBER(IC3), IC3, 0), "")</f>
        <v>30</v>
      </c>
      <c r="IF3" s="3"/>
      <c r="IG3" s="7">
        <f t="shared" ref="IG3:IG6" si="22">IF(ISNUMBER(IE3), (HU3 + (HV3 * 24)) - IE3, "")</f>
        <v>1</v>
      </c>
      <c r="IH3" s="5">
        <v>1</v>
      </c>
      <c r="II3" s="7">
        <f>IF(ISNUMBER(IH3), IH3-IG3, "")</f>
        <v>0</v>
      </c>
      <c r="IK3" s="24">
        <v>20</v>
      </c>
      <c r="IL3" s="6" t="s">
        <v>20</v>
      </c>
      <c r="IM3" s="24">
        <v>8</v>
      </c>
      <c r="IN3" s="6" t="s">
        <v>20</v>
      </c>
      <c r="IO3" s="5">
        <f>IF(OR(ISNUMBER(IK3), ISNUMBER(IM3)), IF(ISNUMBER(IK3), IK3, 0) + IF(ISNUMBER(IM3), IM3, 0), "")</f>
        <v>28</v>
      </c>
      <c r="IP3" s="3"/>
      <c r="IQ3" s="7">
        <f t="shared" ref="IQ3:IQ6" si="23">IF(ISNUMBER(IO3), (IE3 + (IF3 * 24)) - IO3, "")</f>
        <v>2</v>
      </c>
      <c r="IR3" s="5">
        <v>1</v>
      </c>
      <c r="IS3" s="7">
        <f>IF(ISNUMBER(IR3), IR3-IQ3, "")</f>
        <v>-1</v>
      </c>
      <c r="IU3" s="24">
        <v>10</v>
      </c>
      <c r="IV3" s="6" t="s">
        <v>20</v>
      </c>
      <c r="IW3" s="24">
        <v>10</v>
      </c>
      <c r="IX3" s="6" t="s">
        <v>20</v>
      </c>
      <c r="IY3" s="5">
        <f>IF(OR(ISNUMBER(IU3), ISNUMBER(IW3)), IF(ISNUMBER(IU3), IU3, 0) + IF(ISNUMBER(IW3), IW3, 0), "")</f>
        <v>20</v>
      </c>
      <c r="IZ3" s="3"/>
      <c r="JA3" s="7">
        <f t="shared" ref="JA3:JA6" si="24">IF(ISNUMBER(IY3), (IO3 + (IP3 * 24)) - IY3, "")</f>
        <v>8</v>
      </c>
      <c r="JB3" s="5">
        <v>8</v>
      </c>
      <c r="JC3" s="7">
        <f>IF(ISNUMBER(JB3), JB3-JA3, "")</f>
        <v>0</v>
      </c>
      <c r="JE3" s="24">
        <v>0</v>
      </c>
      <c r="JF3" s="6" t="s">
        <v>20</v>
      </c>
      <c r="JG3" s="24">
        <v>17</v>
      </c>
      <c r="JH3" s="6" t="s">
        <v>20</v>
      </c>
      <c r="JI3" s="5">
        <f>IF(OR(ISNUMBER(JE3), ISNUMBER(JG3)), IF(ISNUMBER(JE3), JE3, 0) + IF(ISNUMBER(JG3), JG3, 0), "")</f>
        <v>17</v>
      </c>
      <c r="JJ3" s="3">
        <v>1</v>
      </c>
      <c r="JK3" s="7">
        <f t="shared" ref="JK3:JK6" si="25">IF(ISNUMBER(JI3), (IY3 + (IZ3 * 24)) - JI3, "")</f>
        <v>3</v>
      </c>
      <c r="JL3" s="5">
        <v>3</v>
      </c>
      <c r="JM3" s="7">
        <f>IF(ISNUMBER(JL3), JL3-JK3, "")</f>
        <v>0</v>
      </c>
      <c r="JO3" s="24">
        <v>24</v>
      </c>
      <c r="JP3" s="6" t="s">
        <v>20</v>
      </c>
      <c r="JQ3" s="24">
        <v>15</v>
      </c>
      <c r="JR3" s="6" t="s">
        <v>20</v>
      </c>
      <c r="JS3" s="5">
        <f>IF(OR(ISNUMBER(JO3), ISNUMBER(JQ3)), IF(ISNUMBER(JO3), JO3, 0) + IF(ISNUMBER(JQ3), JQ3, 0), "")</f>
        <v>39</v>
      </c>
      <c r="JT3" s="3"/>
      <c r="JU3" s="7">
        <f t="shared" ref="JU3:JU6" si="26">IF(ISNUMBER(JS3), (JI3 + (JJ3 * 24)) - JS3, "")</f>
        <v>2</v>
      </c>
      <c r="JV3" s="5">
        <v>2</v>
      </c>
      <c r="JW3" s="7">
        <f>IF(ISNUMBER(JV3), JV3-JU3, "")</f>
        <v>0</v>
      </c>
      <c r="JY3" s="24">
        <v>24</v>
      </c>
      <c r="JZ3" s="6" t="s">
        <v>20</v>
      </c>
      <c r="KA3" s="24">
        <v>13</v>
      </c>
      <c r="KB3" s="6" t="s">
        <v>20</v>
      </c>
      <c r="KC3" s="5">
        <f>IF(OR(ISNUMBER(JY3), ISNUMBER(KA3)), IF(ISNUMBER(JY3), JY3, 0) + IF(ISNUMBER(KA3), KA3, 0), "")</f>
        <v>37</v>
      </c>
      <c r="KD3" s="3"/>
      <c r="KE3" s="7">
        <f t="shared" ref="KE3:KE6" si="27">IF(ISNUMBER(KC3), (JS3 + (JT3 * 24)) - KC3, "")</f>
        <v>2</v>
      </c>
      <c r="KF3" s="5">
        <v>2</v>
      </c>
      <c r="KG3" s="7">
        <f>IF(ISNUMBER(KF3), KF3-KE3, "")</f>
        <v>0</v>
      </c>
      <c r="KI3" s="24">
        <v>18</v>
      </c>
      <c r="KJ3" s="6" t="s">
        <v>20</v>
      </c>
      <c r="KK3" s="24">
        <v>15</v>
      </c>
      <c r="KL3" s="6" t="s">
        <v>20</v>
      </c>
      <c r="KM3" s="5">
        <f>IF(OR(ISNUMBER(KI3), ISNUMBER(KK3)), IF(ISNUMBER(KI3), KI3, 0) + IF(ISNUMBER(KK3), KK3, 0), "")</f>
        <v>33</v>
      </c>
      <c r="KN3" s="3"/>
      <c r="KO3" s="7">
        <f t="shared" ref="KO3:KO6" si="28">IF(ISNUMBER(KM3), (KC3 + (KD3 * 24)) - KM3, "")</f>
        <v>4</v>
      </c>
      <c r="KP3" s="5">
        <v>4</v>
      </c>
      <c r="KQ3" s="7">
        <f>IF(ISNUMBER(KP3), KP3-KO3, "")</f>
        <v>0</v>
      </c>
      <c r="KS3" s="24">
        <v>18</v>
      </c>
      <c r="KT3" s="6" t="s">
        <v>20</v>
      </c>
      <c r="KU3" s="24">
        <v>9</v>
      </c>
      <c r="KV3" s="6" t="s">
        <v>20</v>
      </c>
      <c r="KW3" s="5">
        <f>IF(OR(ISNUMBER(KS3), ISNUMBER(KU3)), IF(ISNUMBER(KS3), KS3, 0) + IF(ISNUMBER(KU3), KU3, 0), "")</f>
        <v>27</v>
      </c>
      <c r="KX3" s="3"/>
      <c r="KY3" s="7">
        <f t="shared" ref="KY3:KY6" si="29">IF(ISNUMBER(KW3), (KM3 + (KN3 * 24)) - KW3, "")</f>
        <v>6</v>
      </c>
      <c r="KZ3" s="5">
        <v>6</v>
      </c>
      <c r="LA3" s="7">
        <f>IF(ISNUMBER(KZ3), KZ3-KY3, "")</f>
        <v>0</v>
      </c>
      <c r="LC3" s="24">
        <v>0</v>
      </c>
      <c r="LD3" s="6" t="s">
        <v>20</v>
      </c>
      <c r="LE3" s="24">
        <v>24</v>
      </c>
      <c r="LF3" s="6" t="s">
        <v>20</v>
      </c>
      <c r="LG3" s="5">
        <f>IF(OR(ISNUMBER(LC3), ISNUMBER(LE3)), IF(ISNUMBER(LC3), LC3, 0) + IF(ISNUMBER(LE3), LE3, 0), "")</f>
        <v>24</v>
      </c>
      <c r="LH3" s="3"/>
      <c r="LI3" s="7">
        <f t="shared" ref="LI3:LI6" si="30">IF(ISNUMBER(LG3), (KW3 + (KX3 * 24)) - LG3, "")</f>
        <v>3</v>
      </c>
      <c r="LJ3" s="5">
        <v>1</v>
      </c>
      <c r="LK3" s="7">
        <f>IF(ISNUMBER(LJ3), LJ3-LI3, "")</f>
        <v>-2</v>
      </c>
      <c r="LM3" s="24">
        <v>0</v>
      </c>
      <c r="LN3" s="6" t="s">
        <v>20</v>
      </c>
      <c r="LO3" s="24">
        <v>22</v>
      </c>
      <c r="LP3" s="6" t="s">
        <v>20</v>
      </c>
      <c r="LQ3" s="5">
        <f>IF(OR(ISNUMBER(LM3), ISNUMBER(LO3)), IF(ISNUMBER(LM3), LM3, 0) + IF(ISNUMBER(LO3), LO3, 0), "")</f>
        <v>22</v>
      </c>
      <c r="LR3" s="3"/>
      <c r="LS3" s="7">
        <f t="shared" ref="LS3:LS6" si="31">IF(ISNUMBER(LQ3), (LG3 + (LH3 * 24)) - LQ3, "")</f>
        <v>2</v>
      </c>
      <c r="LT3" s="5">
        <v>4</v>
      </c>
      <c r="LU3" s="7">
        <f>IF(ISNUMBER(LT3), LT3-LS3, "")</f>
        <v>2</v>
      </c>
      <c r="LW3" s="24">
        <v>0</v>
      </c>
      <c r="LX3" s="6" t="s">
        <v>20</v>
      </c>
      <c r="LY3" s="24">
        <v>21</v>
      </c>
      <c r="LZ3" s="6" t="s">
        <v>20</v>
      </c>
      <c r="MA3" s="5">
        <f>IF(OR(ISNUMBER(LW3), ISNUMBER(LY3)), IF(ISNUMBER(LW3), LW3, 0) + IF(ISNUMBER(LY3), LY3, 0), "")</f>
        <v>21</v>
      </c>
      <c r="MB3" s="3"/>
      <c r="MC3" s="7">
        <f t="shared" ref="MC3:MC6" si="32">IF(ISNUMBER(MA3), (LQ3 + (LR3 * 24)) - MA3, "")</f>
        <v>1</v>
      </c>
      <c r="MD3" s="5">
        <v>1</v>
      </c>
      <c r="ME3" s="7">
        <f>IF(ISNUMBER(MD3), MD3-MC3, "")</f>
        <v>0</v>
      </c>
      <c r="MG3" s="24">
        <v>0</v>
      </c>
      <c r="MH3" s="6" t="s">
        <v>20</v>
      </c>
      <c r="MI3" s="24">
        <v>17</v>
      </c>
      <c r="MJ3" s="6" t="s">
        <v>20</v>
      </c>
      <c r="MK3" s="5">
        <f>IF(OR(ISNUMBER(MG3), ISNUMBER(MI3)), IF(ISNUMBER(MG3), MG3, 0) + IF(ISNUMBER(MI3), MI3, 0), "")</f>
        <v>17</v>
      </c>
      <c r="ML3" s="3">
        <v>1</v>
      </c>
      <c r="MM3" s="7">
        <f t="shared" ref="MM3:MM6" si="33">IF(ISNUMBER(MK3), (MA3 + (MB3 * 24)) - MK3, "")</f>
        <v>4</v>
      </c>
      <c r="MN3" s="5">
        <v>4</v>
      </c>
      <c r="MO3" s="7">
        <f>IF(ISNUMBER(MN3), MN3-MM3, "")</f>
        <v>0</v>
      </c>
      <c r="MQ3" s="2">
        <v>24</v>
      </c>
      <c r="MR3" s="6" t="s">
        <v>20</v>
      </c>
      <c r="MS3" s="2">
        <v>11</v>
      </c>
      <c r="MT3" s="6" t="s">
        <v>20</v>
      </c>
      <c r="MU3" s="5">
        <f>IF(OR(ISNUMBER(MQ3), ISNUMBER(MS3)), IF(ISNUMBER(MQ3), MQ3, 0) + IF(ISNUMBER(MS3), MS3, 0), "")</f>
        <v>35</v>
      </c>
      <c r="MV3" s="3"/>
      <c r="MW3" s="7">
        <f t="shared" ref="MW3:MW6" si="34">IF(ISNUMBER(MU3), (MK3 + (ML3 * 24)) - MU3, "")</f>
        <v>6</v>
      </c>
      <c r="MX3" s="5">
        <v>6</v>
      </c>
      <c r="MY3" s="7">
        <f>IF(ISNUMBER(MX3), MX3-MW3, "")</f>
        <v>0</v>
      </c>
      <c r="NA3" s="24">
        <v>24</v>
      </c>
      <c r="NB3" s="6" t="s">
        <v>20</v>
      </c>
      <c r="NC3" s="24">
        <v>10</v>
      </c>
      <c r="ND3" s="6" t="s">
        <v>20</v>
      </c>
      <c r="NE3" s="5">
        <f>IF(OR(ISNUMBER(NA3), ISNUMBER(NC3)), IF(ISNUMBER(NA3), NA3, 0) + IF(ISNUMBER(NC3), NC3, 0), "")</f>
        <v>34</v>
      </c>
      <c r="NF3" s="3">
        <v>1</v>
      </c>
      <c r="NG3" s="7">
        <f t="shared" ref="NG3:NG6" si="35">IF(ISNUMBER(NE3), (MU3 + (MV3 * 24)) - NE3, "")</f>
        <v>1</v>
      </c>
      <c r="NH3" s="5">
        <v>3</v>
      </c>
      <c r="NI3" s="7">
        <f>IF(ISNUMBER(NH3), NH3-NG3, "")</f>
        <v>2</v>
      </c>
      <c r="NK3" s="24">
        <v>48</v>
      </c>
      <c r="NL3" s="6" t="s">
        <v>20</v>
      </c>
      <c r="NM3" s="24">
        <v>7</v>
      </c>
      <c r="NN3" s="6" t="s">
        <v>20</v>
      </c>
      <c r="NO3" s="5">
        <f>IF(OR(ISNUMBER(NK3), ISNUMBER(NM3)), IF(ISNUMBER(NK3), NK3, 0) + IF(ISNUMBER(NM3), NM3, 0), "")</f>
        <v>55</v>
      </c>
      <c r="NP3" s="3"/>
      <c r="NQ3" s="7">
        <f t="shared" ref="NQ3:NQ6" si="36">IF(ISNUMBER(NO3), (NE3 + (NF3 * 24)) - NO3, "")</f>
        <v>3</v>
      </c>
      <c r="NR3" s="5">
        <v>3</v>
      </c>
      <c r="NS3" s="7">
        <f>IF(ISNUMBER(NR3), NR3-NQ3, "")</f>
        <v>0</v>
      </c>
      <c r="NU3" s="24">
        <v>24</v>
      </c>
      <c r="NV3" s="6" t="s">
        <v>20</v>
      </c>
      <c r="NW3" s="24">
        <v>17</v>
      </c>
      <c r="NX3" s="6" t="s">
        <v>20</v>
      </c>
      <c r="NY3" s="5">
        <f>IF(OR(ISNUMBER(NU3), ISNUMBER(NW3)), IF(ISNUMBER(NU3), NU3, 0) + IF(ISNUMBER(NW3), NW3, 0), "")</f>
        <v>41</v>
      </c>
      <c r="NZ3" s="3"/>
      <c r="OA3" s="7">
        <f t="shared" ref="OA3:OA6" si="37">IF(ISNUMBER(NY3), (NO3 + (NP3 * 24)) - NY3, "")</f>
        <v>14</v>
      </c>
      <c r="OB3" s="5">
        <v>6</v>
      </c>
      <c r="OC3" s="7">
        <f>IF(ISNUMBER(OB3), OB3-OA3, "")</f>
        <v>-8</v>
      </c>
      <c r="OE3" s="2">
        <v>32</v>
      </c>
      <c r="OF3" s="6" t="s">
        <v>20</v>
      </c>
      <c r="OG3" s="2">
        <v>11</v>
      </c>
      <c r="OH3" s="6" t="s">
        <v>20</v>
      </c>
      <c r="OI3" s="5">
        <f>IF(OR(ISNUMBER(OE3), ISNUMBER(OG3)), IF(ISNUMBER(OE3), OE3, 0) + IF(ISNUMBER(OG3), OG3, 0), "")</f>
        <v>43</v>
      </c>
      <c r="OJ3" s="3"/>
      <c r="OK3" s="7">
        <f t="shared" ref="OK3:OK6" si="38">IF(ISNUMBER(OI3), (NY3 + (NZ3 * 24)) - OI3, "")</f>
        <v>-2</v>
      </c>
      <c r="OL3" s="5">
        <v>6</v>
      </c>
      <c r="OM3" s="7">
        <f>IF(ISNUMBER(OL3), OL3-OK3, "")</f>
        <v>8</v>
      </c>
      <c r="OO3" s="24">
        <v>24</v>
      </c>
      <c r="OP3" s="6" t="s">
        <v>20</v>
      </c>
      <c r="OQ3" s="24">
        <v>15</v>
      </c>
      <c r="OR3" s="6" t="s">
        <v>20</v>
      </c>
      <c r="OS3" s="5">
        <f>IF(OR(ISNUMBER(OO3), ISNUMBER(OQ3)), IF(ISNUMBER(OO3), OO3, 0) + IF(ISNUMBER(OQ3), OQ3, 0), "")</f>
        <v>39</v>
      </c>
      <c r="OT3" s="3">
        <v>-0.5</v>
      </c>
      <c r="OU3" s="7">
        <f t="shared" ref="OU3:OU6" si="39">IF(ISNUMBER(OS3), (OI3 + (OJ3 * 24)) - OS3, "")</f>
        <v>4</v>
      </c>
      <c r="OV3" s="5">
        <v>4</v>
      </c>
      <c r="OW3" s="7">
        <f>IF(ISNUMBER(OV3), OV3-OU3, "")</f>
        <v>0</v>
      </c>
      <c r="OY3" s="24">
        <v>12</v>
      </c>
      <c r="OZ3" s="6" t="s">
        <v>20</v>
      </c>
      <c r="PA3" s="24">
        <v>13</v>
      </c>
      <c r="PB3" s="6" t="s">
        <v>20</v>
      </c>
      <c r="PC3" s="5">
        <f>IF(OR(ISNUMBER(OY3), ISNUMBER(PA3)), IF(ISNUMBER(OY3), OY3, 0) + IF(ISNUMBER(PA3), PA3, 0), "")</f>
        <v>25</v>
      </c>
      <c r="PD3" s="3"/>
      <c r="PE3" s="7">
        <f t="shared" ref="PE3:PE6" si="40">IF(ISNUMBER(PC3), (OS3 + (OT3 * 24)) - PC3, "")</f>
        <v>2</v>
      </c>
      <c r="PF3" s="5">
        <v>2</v>
      </c>
      <c r="PG3" s="7">
        <f>IF(ISNUMBER(PF3), PF3-PE3, "")</f>
        <v>0</v>
      </c>
      <c r="PI3" s="24">
        <v>12</v>
      </c>
      <c r="PJ3" s="6" t="s">
        <v>20</v>
      </c>
      <c r="PK3" s="24">
        <v>10</v>
      </c>
      <c r="PL3" s="6" t="s">
        <v>20</v>
      </c>
      <c r="PM3" s="5">
        <f>IF(OR(ISNUMBER(PI3), ISNUMBER(PK3)), IF(ISNUMBER(PI3), PI3, 0) + IF(ISNUMBER(PK3), PK3, 0), "")</f>
        <v>22</v>
      </c>
      <c r="PN3" s="3"/>
      <c r="PO3" s="7">
        <f t="shared" ref="PO3:PO6" si="41">IF(ISNUMBER(PM3), (PC3 + (PD3 * 24)) - PM3, "")</f>
        <v>3</v>
      </c>
      <c r="PP3" s="5">
        <v>3</v>
      </c>
      <c r="PQ3" s="7">
        <f>IF(ISNUMBER(PP3), PP3-PO3, "")</f>
        <v>0</v>
      </c>
      <c r="PS3" s="2">
        <v>0</v>
      </c>
      <c r="PT3" s="6" t="s">
        <v>20</v>
      </c>
      <c r="PU3" s="2">
        <v>20</v>
      </c>
      <c r="PV3" s="6" t="s">
        <v>20</v>
      </c>
      <c r="PW3" s="5">
        <f>IF(OR(ISNUMBER(PS3), ISNUMBER(PU3)), IF(ISNUMBER(PS3), PS3, 0) + IF(ISNUMBER(PU3), PU3, 0), "")</f>
        <v>20</v>
      </c>
      <c r="PX3" s="3"/>
      <c r="PY3" s="7">
        <f t="shared" ref="PY3:PY7" si="42">IF(ISNUMBER(PW3), (PM3 + (PN3 * 24)) - PW3, "")</f>
        <v>2</v>
      </c>
      <c r="PZ3" s="5">
        <v>2</v>
      </c>
      <c r="QA3" s="7">
        <f>IF(ISNUMBER(PZ3), PZ3-PY3, "")</f>
        <v>0</v>
      </c>
      <c r="QC3" s="24">
        <v>0</v>
      </c>
      <c r="QD3" s="6" t="s">
        <v>20</v>
      </c>
      <c r="QE3" s="24">
        <v>18</v>
      </c>
      <c r="QF3" s="6" t="s">
        <v>20</v>
      </c>
      <c r="QG3" s="5">
        <f>IF(OR(ISNUMBER(QC3), ISNUMBER(QE3)), IF(ISNUMBER(QC3), QC3, 0) + IF(ISNUMBER(QE3), QE3, 0), "")</f>
        <v>18</v>
      </c>
      <c r="QH3" s="3">
        <v>1</v>
      </c>
      <c r="QI3" s="7">
        <f t="shared" ref="QI3:QI7" si="43">IF(ISNUMBER(QG3), (PW3 + (PX3 * 24)) - QG3, "")</f>
        <v>2</v>
      </c>
      <c r="QJ3" s="5">
        <v>2</v>
      </c>
      <c r="QK3" s="7">
        <f>IF(ISNUMBER(QJ3), QJ3-QI3, "")</f>
        <v>0</v>
      </c>
      <c r="QM3" s="24">
        <v>24</v>
      </c>
      <c r="QN3" s="6" t="s">
        <v>20</v>
      </c>
      <c r="QO3" s="24">
        <v>9</v>
      </c>
      <c r="QP3" s="6" t="s">
        <v>20</v>
      </c>
      <c r="QQ3" s="5">
        <f>IF(OR(ISNUMBER(QM3), ISNUMBER(QO3)), IF(ISNUMBER(QM3), QM3, 0) + IF(ISNUMBER(QO3), QO3, 0), "")</f>
        <v>33</v>
      </c>
      <c r="QR3" s="3"/>
      <c r="QS3" s="7">
        <f t="shared" ref="QS3:QS7" si="44">IF(ISNUMBER(QQ3), (QG3 + (QH3 * 24)) - QQ3, "")</f>
        <v>9</v>
      </c>
      <c r="QT3" s="5">
        <v>9</v>
      </c>
      <c r="QU3" s="7">
        <f>IF(ISNUMBER(QT3), QT3-QS3, "")</f>
        <v>0</v>
      </c>
      <c r="QW3" s="24">
        <v>24</v>
      </c>
      <c r="QX3" s="6" t="s">
        <v>20</v>
      </c>
      <c r="QY3" s="24">
        <v>6</v>
      </c>
      <c r="QZ3" s="6" t="s">
        <v>20</v>
      </c>
      <c r="RA3" s="5">
        <f>IF(OR(ISNUMBER(QW3), ISNUMBER(QY3)), IF(ISNUMBER(QW3), QW3, 0) + IF(ISNUMBER(QY3), QY3, 0), "")</f>
        <v>30</v>
      </c>
      <c r="RB3" s="3"/>
      <c r="RC3" s="7">
        <f t="shared" ref="RC3:RC7" si="45">IF(ISNUMBER(RA3), (QQ3 + (QR3 * 24)) - RA3, "")</f>
        <v>3</v>
      </c>
      <c r="RD3" s="5">
        <v>3</v>
      </c>
      <c r="RE3" s="7">
        <f>IF(ISNUMBER(RD3), RD3-RC3, "")</f>
        <v>0</v>
      </c>
      <c r="RG3" s="24">
        <v>24</v>
      </c>
      <c r="RH3" s="6" t="s">
        <v>20</v>
      </c>
      <c r="RI3" s="24">
        <v>2</v>
      </c>
      <c r="RJ3" s="6" t="s">
        <v>20</v>
      </c>
      <c r="RK3" s="5">
        <f>IF(OR(ISNUMBER(RG3), ISNUMBER(RI3)), IF(ISNUMBER(RG3), RG3, 0) + IF(ISNUMBER(RI3), RI3, 0), "")</f>
        <v>26</v>
      </c>
      <c r="RL3" s="3"/>
      <c r="RM3" s="7">
        <f t="shared" ref="RM3:RM7" si="46">IF(ISNUMBER(RK3), (RA3 + (RB3 * 24)) - RK3, "")</f>
        <v>4</v>
      </c>
      <c r="RN3" s="5">
        <v>4</v>
      </c>
      <c r="RO3" s="7">
        <f>IF(ISNUMBER(RN3), RN3-RM3, "")</f>
        <v>0</v>
      </c>
      <c r="RQ3" s="24">
        <v>0</v>
      </c>
      <c r="RR3" s="6" t="s">
        <v>20</v>
      </c>
      <c r="RS3" s="24">
        <v>22</v>
      </c>
      <c r="RT3" s="6" t="s">
        <v>20</v>
      </c>
      <c r="RU3" s="5">
        <f>IF(OR(ISNUMBER(RQ3), ISNUMBER(RS3)), IF(ISNUMBER(RQ3), RQ3, 0) + IF(ISNUMBER(RS3), RS3, 0), "")</f>
        <v>22</v>
      </c>
      <c r="RV3" s="3"/>
      <c r="RW3" s="7">
        <f t="shared" ref="RW3:RW7" si="47">IF(ISNUMBER(RU3), (RK3 + (RL3 * 24)) - RU3, "")</f>
        <v>4</v>
      </c>
      <c r="RX3" s="5">
        <v>4</v>
      </c>
      <c r="RY3" s="7">
        <f>IF(ISNUMBER(RX3), RX3-RW3, "")</f>
        <v>0</v>
      </c>
      <c r="SA3" s="2">
        <v>0</v>
      </c>
      <c r="SB3" s="6" t="s">
        <v>20</v>
      </c>
      <c r="SC3" s="2">
        <v>21</v>
      </c>
      <c r="SD3" s="6" t="s">
        <v>20</v>
      </c>
      <c r="SE3" s="5">
        <f>IF(OR(ISNUMBER(SA3), ISNUMBER(SC3)), IF(ISNUMBER(SA3), SA3, 0) + IF(ISNUMBER(SC3), SC3, 0), "")</f>
        <v>21</v>
      </c>
      <c r="SF3" s="3"/>
      <c r="SG3" s="7">
        <f t="shared" ref="SG3:SG7" si="48">IF(ISNUMBER(SE3), (RU3 + (RV3 * 24)) - SE3, "")</f>
        <v>1</v>
      </c>
      <c r="SH3" s="5">
        <v>3</v>
      </c>
      <c r="SI3" s="7">
        <f>IF(ISNUMBER(SH3), SH3-SG3, "")</f>
        <v>2</v>
      </c>
      <c r="SK3" s="24">
        <v>0</v>
      </c>
      <c r="SL3" s="6" t="s">
        <v>20</v>
      </c>
      <c r="SM3" s="24">
        <v>15</v>
      </c>
      <c r="SN3" s="6" t="s">
        <v>20</v>
      </c>
      <c r="SO3" s="5">
        <f>IF(OR(ISNUMBER(SK3), ISNUMBER(SM3)), IF(ISNUMBER(SK3), SK3, 0) + IF(ISNUMBER(SM3), SM3, 0), "")</f>
        <v>15</v>
      </c>
      <c r="SP3" s="3">
        <v>1</v>
      </c>
      <c r="SQ3" s="7">
        <f t="shared" ref="SQ3:SQ7" si="49">IF(ISNUMBER(SO3), (SE3 + (SF3 * 24)) - SO3, "")</f>
        <v>6</v>
      </c>
      <c r="SR3" s="5">
        <v>4</v>
      </c>
      <c r="SS3" s="7">
        <f>IF(ISNUMBER(SR3), SR3-SQ3, "")</f>
        <v>-2</v>
      </c>
      <c r="SU3" s="24">
        <v>10</v>
      </c>
      <c r="SV3" s="6" t="s">
        <v>20</v>
      </c>
      <c r="SW3" s="24">
        <v>19</v>
      </c>
      <c r="SX3" s="6" t="s">
        <v>20</v>
      </c>
      <c r="SY3" s="36">
        <f>IF(OR(ISNUMBER(SU3), ISNUMBER(SW3)), IF(ISNUMBER(SU3), SU3, 0) + IF(ISNUMBER(SW3), SW3, 0), "")</f>
        <v>29</v>
      </c>
      <c r="SZ3" s="3"/>
      <c r="TA3" s="7">
        <f t="shared" ref="TA3:TA7" si="50">IF(ISNUMBER(SY3), (SO3 + (SP3 * 24)) - SY3, "")</f>
        <v>10</v>
      </c>
      <c r="TB3" s="5">
        <v>9</v>
      </c>
      <c r="TC3" s="7">
        <f>IF(ISNUMBER(TB3), TB3-TA3, "")</f>
        <v>-1</v>
      </c>
      <c r="TE3" s="24">
        <v>9</v>
      </c>
      <c r="TF3" s="6" t="s">
        <v>20</v>
      </c>
      <c r="TG3" s="24">
        <v>17</v>
      </c>
      <c r="TH3" s="6" t="s">
        <v>20</v>
      </c>
      <c r="TI3" s="5">
        <f>IF(OR(ISNUMBER(TE3), ISNUMBER(TG3)), IF(ISNUMBER(TE3), TE3, 0) + IF(ISNUMBER(TG3), TG3, 0), "")</f>
        <v>26</v>
      </c>
      <c r="TJ3" s="3"/>
      <c r="TK3" s="7">
        <f t="shared" ref="TK3:TK7" si="51">IF(ISNUMBER(TI3), (SY3 + (SZ3 * 24)) - TI3, "")</f>
        <v>3</v>
      </c>
      <c r="TL3" s="5">
        <v>2</v>
      </c>
      <c r="TM3" s="7">
        <f>IF(ISNUMBER(TL3), TL3-TK3, "")</f>
        <v>-1</v>
      </c>
      <c r="TO3" s="24">
        <v>9</v>
      </c>
      <c r="TP3" s="6" t="s">
        <v>20</v>
      </c>
      <c r="TQ3" s="24">
        <v>12</v>
      </c>
      <c r="TR3" s="6" t="s">
        <v>20</v>
      </c>
      <c r="TS3" s="5">
        <f>IF(OR(ISNUMBER(TO3), ISNUMBER(TQ3)), IF(ISNUMBER(TO3), TO3, 0) + IF(ISNUMBER(TQ3), TQ3, 0), "")</f>
        <v>21</v>
      </c>
      <c r="TT3" s="3"/>
      <c r="TU3" s="7">
        <f t="shared" ref="TU3:TU7" si="52">IF(ISNUMBER(TS3), (TI3 + (TJ3 * 24)) - TS3, "")</f>
        <v>5</v>
      </c>
      <c r="TV3" s="5">
        <v>5</v>
      </c>
      <c r="TW3" s="7">
        <f>IF(ISNUMBER(TV3), TV3-TU3, "")</f>
        <v>0</v>
      </c>
      <c r="TY3" s="24">
        <v>9</v>
      </c>
      <c r="TZ3" s="6" t="s">
        <v>20</v>
      </c>
      <c r="UA3" s="24">
        <v>10</v>
      </c>
      <c r="UB3" s="6" t="s">
        <v>20</v>
      </c>
      <c r="UC3" s="5">
        <f>IF(OR(ISNUMBER(TY3), ISNUMBER(UA3)), IF(ISNUMBER(TY3), TY3, 0) + IF(ISNUMBER(UA3), UA3, 0), "")</f>
        <v>19</v>
      </c>
      <c r="UD3" s="3">
        <v>1</v>
      </c>
      <c r="UE3" s="7">
        <f t="shared" ref="UE3:UE7" si="53">IF(ISNUMBER(UC3), (TS3 + (TT3 * 24)) - UC3, "")</f>
        <v>2</v>
      </c>
      <c r="UF3" s="5">
        <v>1</v>
      </c>
      <c r="UG3" s="7">
        <f>IF(ISNUMBER(UF3), UF3-UE3, "")</f>
        <v>-1</v>
      </c>
      <c r="UI3" s="2">
        <v>24</v>
      </c>
      <c r="UJ3" s="6" t="s">
        <v>20</v>
      </c>
      <c r="UK3" s="2">
        <v>14</v>
      </c>
      <c r="UL3" s="6" t="s">
        <v>20</v>
      </c>
      <c r="UM3" s="5">
        <f>IF(OR(ISNUMBER(UI3), ISNUMBER(UK3)), IF(ISNUMBER(UI3), UI3, 0) + IF(ISNUMBER(UK3), UK3, 0), "")</f>
        <v>38</v>
      </c>
      <c r="UN3" s="3"/>
      <c r="UO3" s="7">
        <f t="shared" ref="UO3:UO7" si="54">IF(ISNUMBER(UM3), (UC3 + (UD3 * 24)) - UM3, "")</f>
        <v>5</v>
      </c>
      <c r="UP3" s="5">
        <v>6</v>
      </c>
      <c r="UQ3" s="7">
        <f>IF(ISNUMBER(UP3), UP3-UO3, "")</f>
        <v>1</v>
      </c>
      <c r="US3" s="24">
        <v>24</v>
      </c>
      <c r="UT3" s="6" t="s">
        <v>20</v>
      </c>
      <c r="UU3" s="24">
        <v>14</v>
      </c>
      <c r="UV3" s="6" t="s">
        <v>20</v>
      </c>
      <c r="UW3" s="5">
        <f>IF(OR(ISNUMBER(US3), ISNUMBER(UU3)), IF(ISNUMBER(US3), US3, 0) + IF(ISNUMBER(UU3), UU3, 0), "")</f>
        <v>38</v>
      </c>
      <c r="UX3" s="3">
        <v>2</v>
      </c>
      <c r="UY3" s="7">
        <f t="shared" ref="UY3:UY7" si="55">IF(ISNUMBER(UW3), (UM3 + (UN3 * 24)) - UW3, "")</f>
        <v>0</v>
      </c>
      <c r="UZ3" s="5"/>
      <c r="VA3" s="7" t="str">
        <f>IF(ISNUMBER(UZ3), UZ3-UY3, "")</f>
        <v/>
      </c>
      <c r="VC3" s="2">
        <v>72</v>
      </c>
      <c r="VD3" s="6" t="s">
        <v>20</v>
      </c>
      <c r="VE3" s="2">
        <v>10</v>
      </c>
      <c r="VF3" s="6" t="s">
        <v>20</v>
      </c>
      <c r="VG3" s="5">
        <f>IF(OR(ISNUMBER(VC3), ISNUMBER(VE3)), IF(ISNUMBER(VC3), VC3, 0) + IF(ISNUMBER(VE3), VE3, 0), "")</f>
        <v>82</v>
      </c>
      <c r="VH3" s="3"/>
      <c r="VI3" s="7">
        <f t="shared" ref="VI3:VI7" si="56">IF(ISNUMBER(VG3), (UW3 + (UX3 * 24)) - VG3, "")</f>
        <v>4</v>
      </c>
      <c r="VJ3" s="5">
        <v>4</v>
      </c>
      <c r="VK3" s="7">
        <f>IF(ISNUMBER(VJ3), VJ3-VI3, "")</f>
        <v>0</v>
      </c>
      <c r="VM3" s="24">
        <v>72</v>
      </c>
      <c r="VN3" s="6" t="s">
        <v>20</v>
      </c>
      <c r="VO3" s="24">
        <v>6</v>
      </c>
      <c r="VP3" s="6" t="s">
        <v>20</v>
      </c>
      <c r="VQ3" s="5">
        <f>IF(OR(ISNUMBER(VM3), ISNUMBER(VO3)), IF(ISNUMBER(VM3), VM3, 0) + IF(ISNUMBER(VO3), VO3, 0), "")</f>
        <v>78</v>
      </c>
      <c r="VR3" s="3"/>
      <c r="VS3" s="7">
        <f t="shared" ref="VS3:VS7" si="57">IF(ISNUMBER(VQ3), (VG3 + (VH3 * 24)) - VQ3, "")</f>
        <v>4</v>
      </c>
      <c r="VT3" s="5">
        <v>3</v>
      </c>
      <c r="VU3" s="7">
        <f>IF(ISNUMBER(VT3), VT3-VS3, "")</f>
        <v>-1</v>
      </c>
      <c r="VW3" s="2">
        <v>48</v>
      </c>
      <c r="VX3" s="6" t="s">
        <v>20</v>
      </c>
      <c r="VY3" s="2">
        <v>23</v>
      </c>
      <c r="VZ3" s="6" t="s">
        <v>20</v>
      </c>
      <c r="WA3" s="5">
        <f>IF(OR(ISNUMBER(VW3), ISNUMBER(VY3)), IF(ISNUMBER(VW3), VW3, 0) + IF(ISNUMBER(VY3), VY3, 0), "")</f>
        <v>71</v>
      </c>
      <c r="WB3" s="3"/>
      <c r="WC3" s="7">
        <f t="shared" ref="WC3:WC7" si="58">IF(ISNUMBER(WA3), (VQ3 + (VR3 * 24)) - WA3, "")</f>
        <v>7</v>
      </c>
      <c r="WD3" s="5">
        <v>6</v>
      </c>
      <c r="WE3" s="7">
        <f>IF(ISNUMBER(WD3), WD3-WC3, "")</f>
        <v>-1</v>
      </c>
      <c r="WG3" s="2">
        <v>50</v>
      </c>
      <c r="WH3" s="6" t="s">
        <v>20</v>
      </c>
      <c r="WI3" s="2">
        <v>22</v>
      </c>
      <c r="WJ3" s="6" t="s">
        <v>20</v>
      </c>
      <c r="WK3" s="5">
        <f>IF(OR(ISNUMBER(WG3), ISNUMBER(WI3)), IF(ISNUMBER(WG3), WG3, 0) + IF(ISNUMBER(WI3), WI3, 0), "")</f>
        <v>72</v>
      </c>
      <c r="WL3" s="3">
        <v>-2</v>
      </c>
      <c r="WM3" s="7">
        <f t="shared" ref="WM3:WM7" si="59">IF(ISNUMBER(WK3), (WA3 + (WB3 * 24)) - WK3, "")</f>
        <v>-1</v>
      </c>
      <c r="WN3" s="5">
        <v>3</v>
      </c>
      <c r="WO3" s="7">
        <f>IF(ISNUMBER(WN3), WN3-WM3, "")</f>
        <v>4</v>
      </c>
      <c r="WQ3" s="2">
        <v>0</v>
      </c>
      <c r="WR3" s="6" t="s">
        <v>20</v>
      </c>
      <c r="WS3" s="2">
        <v>19</v>
      </c>
      <c r="WT3" s="6" t="s">
        <v>20</v>
      </c>
      <c r="WU3" s="5">
        <f>IF(OR(ISNUMBER(WQ3), ISNUMBER(WS3)), IF(ISNUMBER(WQ3), WQ3, 0) + IF(ISNUMBER(WS3), WS3, 0), "")</f>
        <v>19</v>
      </c>
      <c r="WV3" s="3"/>
      <c r="WW3" s="7">
        <f t="shared" ref="WW3:WW7" si="60">IF(ISNUMBER(WU3), (WK3 + (WL3 * 24)) - WU3, "")</f>
        <v>5</v>
      </c>
      <c r="WX3" s="5">
        <v>1</v>
      </c>
      <c r="WY3" s="7">
        <f>IF(ISNUMBER(WX3), WX3-WW3, "")</f>
        <v>-4</v>
      </c>
      <c r="XA3" s="24">
        <v>0</v>
      </c>
      <c r="XB3" s="6" t="s">
        <v>20</v>
      </c>
      <c r="XC3" s="24">
        <v>17</v>
      </c>
      <c r="XD3" s="6" t="s">
        <v>20</v>
      </c>
      <c r="XE3" s="5">
        <f>IF(OR(ISNUMBER(XA3), ISNUMBER(XC3)), IF(ISNUMBER(XA3), XA3, 0) + IF(ISNUMBER(XC3), XC3, 0), "")</f>
        <v>17</v>
      </c>
      <c r="XF3" s="3"/>
      <c r="XG3" s="7">
        <f t="shared" ref="XG3:XG7" si="61">IF(ISNUMBER(XE3), (WU3 + (WV3 * 24)) - XE3, "")</f>
        <v>2</v>
      </c>
      <c r="XH3" s="5">
        <v>2</v>
      </c>
      <c r="XI3" s="7">
        <f>IF(ISNUMBER(XH3), XH3-XG3, "")</f>
        <v>0</v>
      </c>
      <c r="XK3" s="24"/>
      <c r="XL3" s="6" t="s">
        <v>20</v>
      </c>
      <c r="XM3" s="24">
        <v>12</v>
      </c>
      <c r="XN3" s="6" t="s">
        <v>20</v>
      </c>
      <c r="XO3" s="5">
        <f>IF(OR(ISNUMBER(XK3), ISNUMBER(XM3)), IF(ISNUMBER(XK3), XK3, 0) + IF(ISNUMBER(XM3), XM3, 0), "")</f>
        <v>12</v>
      </c>
      <c r="XP3" s="3"/>
      <c r="XQ3" s="7">
        <f t="shared" ref="XQ3:XQ7" si="62">IF(ISNUMBER(XO3), (XE3 + (XF3 * 24)) - XO3, "")</f>
        <v>5</v>
      </c>
      <c r="XR3" s="5">
        <v>5</v>
      </c>
      <c r="XS3" s="7">
        <f>IF(ISNUMBER(XR3), XR3-XQ3, "")</f>
        <v>0</v>
      </c>
      <c r="XU3" s="24"/>
      <c r="XV3" s="6" t="s">
        <v>20</v>
      </c>
      <c r="XW3" s="24">
        <v>7</v>
      </c>
      <c r="XX3" s="6" t="s">
        <v>20</v>
      </c>
      <c r="XY3" s="5">
        <f>IF(OR(ISNUMBER(XU3), ISNUMBER(XW3)), IF(ISNUMBER(XU3), XU3, 0) + IF(ISNUMBER(XW3), XW3, 0), "")</f>
        <v>7</v>
      </c>
      <c r="XZ3" s="3">
        <v>1</v>
      </c>
      <c r="YA3" s="7">
        <f t="shared" ref="YA3:YA7" si="63">IF(ISNUMBER(XY3), (XO3 + (XP3 * 24)) - XY3, "")</f>
        <v>5</v>
      </c>
      <c r="YB3" s="5">
        <v>3</v>
      </c>
      <c r="YC3" s="7">
        <f>IF(ISNUMBER(YB3), YB3-YA3, "")</f>
        <v>-2</v>
      </c>
      <c r="YE3" s="24">
        <v>24</v>
      </c>
      <c r="YF3" s="6" t="s">
        <v>20</v>
      </c>
      <c r="YG3" s="24">
        <v>7</v>
      </c>
      <c r="YH3" s="6" t="s">
        <v>20</v>
      </c>
      <c r="YI3" s="5">
        <f>IF(OR(ISNUMBER(YE3), ISNUMBER(YG3)), IF(ISNUMBER(YE3), YE3, 0) + IF(ISNUMBER(YG3), YG3, 0), "")</f>
        <v>31</v>
      </c>
      <c r="YJ3" s="3"/>
      <c r="YK3" s="7">
        <f t="shared" ref="YK3:YK7" si="64">IF(ISNUMBER(YI3), (XY3 + (XZ3 * 24)) - YI3, "")</f>
        <v>0</v>
      </c>
      <c r="YL3" s="5"/>
      <c r="YM3" s="7" t="str">
        <f>IF(ISNUMBER(YL3), YL3-YK3, "")</f>
        <v/>
      </c>
      <c r="YO3" s="24"/>
      <c r="YP3" s="6" t="s">
        <v>20</v>
      </c>
      <c r="YQ3" s="24">
        <v>4</v>
      </c>
      <c r="YR3" s="6" t="s">
        <v>20</v>
      </c>
      <c r="YS3" s="5">
        <f>IF(OR(ISNUMBER(YO3), ISNUMBER(YQ3)), IF(ISNUMBER(YO3), YO3, 0) + IF(ISNUMBER(YQ3), YQ3, 0), "")</f>
        <v>4</v>
      </c>
      <c r="YT3" s="3">
        <v>2</v>
      </c>
      <c r="YU3" s="7">
        <f t="shared" ref="YU3:YU7" si="65">IF(ISNUMBER(YS3), (YI3 + (YJ3 * 24)) - YS3, "")</f>
        <v>27</v>
      </c>
      <c r="YV3" s="5">
        <v>27</v>
      </c>
      <c r="YW3" s="7">
        <f>IF(ISNUMBER(YV3), YV3-YU3, "")</f>
        <v>0</v>
      </c>
      <c r="YY3" s="24">
        <v>42</v>
      </c>
      <c r="YZ3" s="6" t="s">
        <v>20</v>
      </c>
      <c r="ZA3" s="24">
        <v>8</v>
      </c>
      <c r="ZB3" s="6" t="s">
        <v>20</v>
      </c>
      <c r="ZC3" s="5">
        <f>IF(OR(ISNUMBER(YY3), ISNUMBER(ZA3)), IF(ISNUMBER(YY3), YY3, 0) + IF(ISNUMBER(ZA3), ZA3, 0), "")</f>
        <v>50</v>
      </c>
      <c r="ZD3" s="3"/>
      <c r="ZE3" s="7">
        <f t="shared" ref="ZE3:ZE7" si="66">IF(ISNUMBER(ZC3), (YS3 + (YT3 * 24)) - ZC3, "")</f>
        <v>2</v>
      </c>
      <c r="ZF3" s="5">
        <v>2</v>
      </c>
      <c r="ZG3" s="7">
        <f>IF(ISNUMBER(ZF3), ZF3-ZE3, "")</f>
        <v>0</v>
      </c>
      <c r="ZI3" s="24">
        <v>41</v>
      </c>
      <c r="ZJ3" s="6" t="s">
        <v>20</v>
      </c>
      <c r="ZK3" s="24">
        <v>6</v>
      </c>
      <c r="ZL3" s="6" t="s">
        <v>20</v>
      </c>
      <c r="ZM3" s="5">
        <f>IF(OR(ISNUMBER(ZI3), ISNUMBER(ZK3)), IF(ISNUMBER(ZI3), ZI3, 0) + IF(ISNUMBER(ZK3), ZK3, 0), "")</f>
        <v>47</v>
      </c>
      <c r="ZN3" s="3"/>
      <c r="ZO3" s="7">
        <f t="shared" ref="ZO3:ZO7" si="67">IF(ISNUMBER(ZM3), (ZC3 + (ZD3 * 24)) - ZM3, "")</f>
        <v>3</v>
      </c>
      <c r="ZP3" s="5">
        <v>3</v>
      </c>
      <c r="ZQ3" s="7">
        <f>IF(ISNUMBER(ZP3), ZP3-ZO3, "")</f>
        <v>0</v>
      </c>
      <c r="ZS3" s="24">
        <v>36</v>
      </c>
      <c r="ZT3" s="6" t="s">
        <v>20</v>
      </c>
      <c r="ZU3" s="24">
        <v>9</v>
      </c>
      <c r="ZV3" s="6" t="s">
        <v>20</v>
      </c>
      <c r="ZW3" s="5">
        <f>IF(OR(ISNUMBER(ZS3), ISNUMBER(ZU3)), IF(ISNUMBER(ZS3), ZS3, 0) + IF(ISNUMBER(ZU3), ZU3, 0), "")</f>
        <v>45</v>
      </c>
      <c r="ZX3" s="3"/>
      <c r="ZY3" s="7">
        <f t="shared" ref="ZY3:ZY7" si="68">IF(ISNUMBER(ZW3), (ZM3 + (ZN3 * 24)) - ZW3, "")</f>
        <v>2</v>
      </c>
      <c r="ZZ3" s="5">
        <v>2</v>
      </c>
      <c r="AAA3" s="7">
        <f>IF(ISNUMBER(ZZ3), ZZ3-ZY3, "")</f>
        <v>0</v>
      </c>
      <c r="AAC3" s="24">
        <v>32</v>
      </c>
      <c r="AAD3" s="6" t="s">
        <v>20</v>
      </c>
      <c r="AAE3" s="24">
        <v>8</v>
      </c>
      <c r="AAF3" s="6" t="s">
        <v>20</v>
      </c>
      <c r="AAG3" s="5">
        <f>IF(OR(ISNUMBER(AAC3), ISNUMBER(AAE3)), IF(ISNUMBER(AAC3), AAC3, 0) + IF(ISNUMBER(AAE3), AAE3, 0), "")</f>
        <v>40</v>
      </c>
      <c r="AAH3" s="3"/>
      <c r="AAI3" s="7">
        <f t="shared" ref="AAI3:AAI7" si="69">IF(ISNUMBER(AAG3), (ZW3 + (ZX3 * 24)) - AAG3, "")</f>
        <v>5</v>
      </c>
      <c r="AAJ3" s="5">
        <v>5</v>
      </c>
      <c r="AAK3" s="7">
        <f>IF(ISNUMBER(AAJ3), AAJ3-AAI3, "")</f>
        <v>0</v>
      </c>
      <c r="AAM3" s="2">
        <v>32</v>
      </c>
      <c r="AAN3" s="6" t="s">
        <v>20</v>
      </c>
      <c r="AAO3" s="2">
        <v>8</v>
      </c>
      <c r="AAP3" s="6" t="s">
        <v>20</v>
      </c>
      <c r="AAQ3" s="5">
        <f>IF(OR(ISNUMBER(AAM3), ISNUMBER(AAO3)), IF(ISNUMBER(AAM3), AAM3, 0) + IF(ISNUMBER(AAO3), AAO3, 0), "")</f>
        <v>40</v>
      </c>
      <c r="AAR3" s="3"/>
      <c r="AAS3" s="7">
        <f t="shared" ref="AAS3:AAS7" si="70">IF(ISNUMBER(AAQ3), (AAG3 + (AAH3 * 24)) - AAQ3, "")</f>
        <v>0</v>
      </c>
      <c r="AAT3" s="5"/>
      <c r="AAU3" s="7" t="str">
        <f>IF(ISNUMBER(AAT3), AAT3-AAS3, "")</f>
        <v/>
      </c>
      <c r="AAW3" s="2">
        <v>24</v>
      </c>
      <c r="AAX3" s="6" t="s">
        <v>20</v>
      </c>
      <c r="AAY3" s="2">
        <v>8</v>
      </c>
      <c r="AAZ3" s="6" t="s">
        <v>20</v>
      </c>
      <c r="ABA3" s="5">
        <f>IF(OR(ISNUMBER(AAW3), ISNUMBER(AAY3)), IF(ISNUMBER(AAW3), AAW3, 0) + IF(ISNUMBER(AAY3), AAY3, 0), "")</f>
        <v>32</v>
      </c>
      <c r="ABB3" s="3"/>
      <c r="ABC3" s="7">
        <f t="shared" ref="ABC3:ABC7" si="71">IF(ISNUMBER(ABA3), (AAQ3 + (AAR3 * 24)) - ABA3, "")</f>
        <v>8</v>
      </c>
      <c r="ABD3" s="5">
        <v>8</v>
      </c>
      <c r="ABE3" s="7">
        <f>IF(ISNUMBER(ABD3), ABD3-ABC3, "")</f>
        <v>0</v>
      </c>
      <c r="ABG3" s="24">
        <v>24</v>
      </c>
      <c r="ABH3" s="6" t="s">
        <v>20</v>
      </c>
      <c r="ABI3" s="24">
        <v>7</v>
      </c>
      <c r="ABJ3" s="6" t="s">
        <v>20</v>
      </c>
      <c r="ABK3" s="5">
        <f>IF(OR(ISNUMBER(ABG3), ISNUMBER(ABI3)), IF(ISNUMBER(ABG3), ABG3, 0) + IF(ISNUMBER(ABI3), ABI3, 0), "")</f>
        <v>31</v>
      </c>
      <c r="ABL3" s="3"/>
      <c r="ABM3" s="7">
        <f t="shared" ref="ABM3:ABM7" si="72">IF(ISNUMBER(ABK3), (ABA3 + (ABB3 * 24)) - ABK3, "")</f>
        <v>1</v>
      </c>
      <c r="ABN3" s="5">
        <v>1</v>
      </c>
      <c r="ABO3" s="7">
        <f>IF(ISNUMBER(ABN3), ABN3-ABM3, "")</f>
        <v>0</v>
      </c>
      <c r="ABQ3" s="2"/>
      <c r="ABR3" s="6" t="s">
        <v>20</v>
      </c>
      <c r="ABS3" s="2">
        <v>23</v>
      </c>
      <c r="ABT3" s="6" t="s">
        <v>20</v>
      </c>
      <c r="ABU3" s="5">
        <f>IF(OR(ISNUMBER(ABQ3), ISNUMBER(ABS3)), IF(ISNUMBER(ABQ3), ABQ3, 0) + IF(ISNUMBER(ABS3), ABS3, 0), "")</f>
        <v>23</v>
      </c>
      <c r="ABV3" s="3"/>
      <c r="ABW3" s="7">
        <f t="shared" ref="ABW3:ABW7" si="73">IF(ISNUMBER(ABU3), (ABK3 + (ABL3 * 24)) - ABU3, "")</f>
        <v>8</v>
      </c>
      <c r="ABX3" s="5">
        <v>8</v>
      </c>
      <c r="ABY3" s="7">
        <f>IF(ISNUMBER(ABX3), ABX3-ABW3, "")</f>
        <v>0</v>
      </c>
      <c r="ACA3" s="24">
        <v>0</v>
      </c>
      <c r="ACB3" s="6" t="s">
        <v>20</v>
      </c>
      <c r="ACC3" s="24">
        <v>22</v>
      </c>
      <c r="ACD3" s="6" t="s">
        <v>20</v>
      </c>
      <c r="ACE3" s="5">
        <f t="shared" ref="ACE3:ACE7" si="74">IF(OR(ISNUMBER(ACA3), ISNUMBER(ACC3)), IF(ISNUMBER(ACA3), ACA3, 0) + IF(ISNUMBER(ACC3), ACC3, 0), "")</f>
        <v>22</v>
      </c>
      <c r="ACF3" s="3"/>
      <c r="ACG3" s="7">
        <f t="shared" ref="ACG3:ACG7" si="75">IF(ISNUMBER(ACE3), (ABU3 + (ABV3 * 24)) - ACE3, "")</f>
        <v>1</v>
      </c>
      <c r="ACH3" s="5">
        <v>1</v>
      </c>
      <c r="ACI3" s="7">
        <f t="shared" ref="ACI3:ACI7" si="76">IF(ISNUMBER(ACH3), ACH3-ACG3, "")</f>
        <v>0</v>
      </c>
      <c r="ACK3" s="24"/>
      <c r="ACL3" s="6" t="s">
        <v>20</v>
      </c>
      <c r="ACM3" s="24">
        <v>19</v>
      </c>
      <c r="ACN3" s="6" t="s">
        <v>20</v>
      </c>
      <c r="ACO3" s="5">
        <f>IF(OR(ISNUMBER(ACK3), ISNUMBER(ACM3)), IF(ISNUMBER(ACK3), ACK3, 0) + IF(ISNUMBER(ACM3), ACM3, 0), "")</f>
        <v>19</v>
      </c>
      <c r="ACP3" s="3"/>
      <c r="ACQ3" s="7">
        <f t="shared" ref="ACQ3:ACQ7" si="77">IF(ISNUMBER(ACO3), (ACE3 + (ACF3 * 24)) - ACO3, "")</f>
        <v>3</v>
      </c>
      <c r="ACR3" s="5">
        <v>3</v>
      </c>
      <c r="ACS3" s="7">
        <f>IF(ISNUMBER(ACR3), ACR3-ACQ3, "")</f>
        <v>0</v>
      </c>
      <c r="ACU3" s="24">
        <v>0</v>
      </c>
      <c r="ACV3" s="6" t="s">
        <v>20</v>
      </c>
      <c r="ACW3" s="24">
        <v>16</v>
      </c>
      <c r="ACX3" s="6" t="s">
        <v>20</v>
      </c>
      <c r="ACY3" s="5">
        <f>IF(OR(ISNUMBER(ACU3), ISNUMBER(ACW3)), IF(ISNUMBER(ACU3), ACU3, 0) + IF(ISNUMBER(ACW3), ACW3, 0), "")</f>
        <v>16</v>
      </c>
      <c r="ACZ3" s="3"/>
      <c r="ADA3" s="7">
        <f t="shared" ref="ADA3:ADA7" si="78">IF(ISNUMBER(ACY3), (ACO3 + (ACP3 * 24)) - ACY3, "")</f>
        <v>3</v>
      </c>
      <c r="ADB3" s="5">
        <v>2</v>
      </c>
      <c r="ADC3" s="7">
        <f>IF(ISNUMBER(ADB3), ADB3-ADA3, "")</f>
        <v>-1</v>
      </c>
      <c r="ADE3" s="24">
        <v>0</v>
      </c>
      <c r="ADF3" s="6" t="s">
        <v>20</v>
      </c>
      <c r="ADG3" s="24">
        <v>13</v>
      </c>
      <c r="ADH3" s="6" t="s">
        <v>20</v>
      </c>
      <c r="ADI3" s="5">
        <f>IF(OR(ISNUMBER(ADE3), ISNUMBER(ADG3)), IF(ISNUMBER(ADE3), ADE3, 0) + IF(ISNUMBER(ADG3), ADG3, 0), "")</f>
        <v>13</v>
      </c>
      <c r="ADJ3" s="3"/>
      <c r="ADK3" s="7">
        <f t="shared" ref="ADK3:ADK7" si="79">IF(ISNUMBER(ADI3), (ACY3 + (ACZ3 * 24)) - ADI3, "")</f>
        <v>3</v>
      </c>
      <c r="ADL3" s="5">
        <v>3</v>
      </c>
      <c r="ADM3" s="7">
        <f>IF(ISNUMBER(ADL3), ADL3-ADK3, "")</f>
        <v>0</v>
      </c>
      <c r="ADO3" s="24">
        <v>0</v>
      </c>
      <c r="ADP3" s="6" t="s">
        <v>20</v>
      </c>
      <c r="ADQ3" s="24">
        <v>6</v>
      </c>
      <c r="ADR3" s="6" t="s">
        <v>20</v>
      </c>
      <c r="ADS3" s="5">
        <f>IF(OR(ISNUMBER(ADO3), ISNUMBER(ADQ3)), IF(ISNUMBER(ADO3), ADO3, 0) + IF(ISNUMBER(ADQ3), ADQ3, 0), "")</f>
        <v>6</v>
      </c>
      <c r="ADT3" s="3"/>
      <c r="ADU3" s="7">
        <f t="shared" ref="ADU3:ADU7" si="80">IF(ISNUMBER(ADS3), (ADI3 + (ADJ3 * 24)) - ADS3, "")</f>
        <v>7</v>
      </c>
      <c r="ADV3" s="5">
        <v>7</v>
      </c>
      <c r="ADW3" s="7">
        <f>IF(ISNUMBER(ADV3), ADV3-ADU3, "")</f>
        <v>0</v>
      </c>
      <c r="ADY3" s="24">
        <v>0</v>
      </c>
      <c r="ADZ3" s="6" t="s">
        <v>20</v>
      </c>
      <c r="AEA3" s="24">
        <v>6</v>
      </c>
      <c r="AEB3" s="6" t="s">
        <v>20</v>
      </c>
      <c r="AEC3" s="5">
        <f>IF(OR(ISNUMBER(ADY3), ISNUMBER(AEA3)), IF(ISNUMBER(ADY3), ADY3, 0) + IF(ISNUMBER(AEA3), AEA3, 0), "")</f>
        <v>6</v>
      </c>
      <c r="AED3" s="3">
        <v>1</v>
      </c>
      <c r="AEE3" s="7">
        <f t="shared" ref="AEE3:AEE7" si="81">IF(ISNUMBER(AEC3), (ADS3 + (ADT3 * 24)) - AEC3, "")</f>
        <v>0</v>
      </c>
      <c r="AEF3" s="5"/>
      <c r="AEG3" s="7" t="str">
        <f>IF(ISNUMBER(AEF3), AEF3-AEE3, "")</f>
        <v/>
      </c>
      <c r="AEI3" s="2">
        <v>24</v>
      </c>
      <c r="AEJ3" s="6" t="s">
        <v>20</v>
      </c>
      <c r="AEK3" s="2">
        <v>2</v>
      </c>
      <c r="AEL3" s="6" t="s">
        <v>20</v>
      </c>
      <c r="AEM3" s="5">
        <f>IF(OR(ISNUMBER(AEI3), ISNUMBER(AEK3)), IF(ISNUMBER(AEI3), AEI3, 0) + IF(ISNUMBER(AEK3), AEK3, 0), "")</f>
        <v>26</v>
      </c>
      <c r="AEN3" s="3"/>
      <c r="AEO3" s="7">
        <f t="shared" ref="AEO3:AEO7" si="82">IF(ISNUMBER(AEM3), (AEC3 + (AED3 * 24)) - AEM3, "")</f>
        <v>4</v>
      </c>
      <c r="AEP3" s="5">
        <v>4</v>
      </c>
      <c r="AEQ3" s="7">
        <f>IF(ISNUMBER(AEP3), AEP3-AEO3, "")</f>
        <v>0</v>
      </c>
      <c r="AES3" s="24">
        <v>16</v>
      </c>
      <c r="AET3" s="6" t="s">
        <v>20</v>
      </c>
      <c r="AEU3" s="24">
        <v>9</v>
      </c>
      <c r="AEV3" s="6" t="s">
        <v>20</v>
      </c>
      <c r="AEW3" s="5">
        <f>IF(OR(ISNUMBER(AES3), ISNUMBER(AEU3)), IF(ISNUMBER(AES3), AES3, 0) + IF(ISNUMBER(AEU3), AEU3, 0), "")</f>
        <v>25</v>
      </c>
      <c r="AEX3" s="3"/>
      <c r="AEY3" s="7">
        <f t="shared" ref="AEY3:AEY7" si="83">IF(ISNUMBER(AEW3), (AEM3 + (AEN3 * 24)) - AEW3, "")</f>
        <v>1</v>
      </c>
      <c r="AEZ3" s="5">
        <v>1</v>
      </c>
      <c r="AFA3" s="7">
        <f>IF(ISNUMBER(AEZ3), AEZ3-AEY3, "")</f>
        <v>0</v>
      </c>
      <c r="AFC3" s="2">
        <v>16</v>
      </c>
      <c r="AFD3" s="6" t="s">
        <v>20</v>
      </c>
      <c r="AFE3" s="2">
        <v>6</v>
      </c>
      <c r="AFF3" s="6" t="s">
        <v>20</v>
      </c>
      <c r="AFG3" s="5">
        <f>IF(OR(ISNUMBER(AFC3), ISNUMBER(AFE3)), IF(ISNUMBER(AFC3), AFC3, 0) + IF(ISNUMBER(AFE3), AFE3, 0), "")</f>
        <v>22</v>
      </c>
      <c r="AFH3" s="3"/>
      <c r="AFI3" s="7">
        <f t="shared" ref="AFI3:AFI7" si="84">IF(ISNUMBER(AFG3), (AEW3 + (AEX3 * 24)) - AFG3, "")</f>
        <v>3</v>
      </c>
      <c r="AFJ3" s="5">
        <v>3</v>
      </c>
      <c r="AFK3" s="7">
        <f>IF(ISNUMBER(AFJ3), AFJ3-AFI3, "")</f>
        <v>0</v>
      </c>
      <c r="AFM3" s="2">
        <v>0</v>
      </c>
      <c r="AFN3" s="6" t="s">
        <v>20</v>
      </c>
      <c r="AFO3" s="2">
        <v>19</v>
      </c>
      <c r="AFP3" s="6" t="s">
        <v>20</v>
      </c>
      <c r="AFQ3" s="5">
        <f>IF(OR(ISNUMBER(AFM3), ISNUMBER(AFO3)), IF(ISNUMBER(AFM3), AFM3, 0) + IF(ISNUMBER(AFO3), AFO3, 0), "")</f>
        <v>19</v>
      </c>
      <c r="AFR3" s="3">
        <v>1</v>
      </c>
      <c r="AFS3" s="7">
        <f t="shared" ref="AFS3:AFS7" si="85">IF(ISNUMBER(AFQ3), (AFG3 + (AFH3 * 24)) - AFQ3, "")</f>
        <v>3</v>
      </c>
      <c r="AFT3" s="5">
        <v>3</v>
      </c>
      <c r="AFU3" s="7">
        <f>IF(ISNUMBER(AFT3), AFT3-AFS3, "")</f>
        <v>0</v>
      </c>
      <c r="AFW3" s="24">
        <v>24</v>
      </c>
      <c r="AFX3" s="6" t="s">
        <v>20</v>
      </c>
      <c r="AFY3" s="24">
        <v>18</v>
      </c>
      <c r="AFZ3" s="6" t="s">
        <v>20</v>
      </c>
      <c r="AGA3" s="5">
        <f>IF(OR(ISNUMBER(AFW3), ISNUMBER(AFY3)), IF(ISNUMBER(AFW3), AFW3, 0) + IF(ISNUMBER(AFY3), AFY3, 0), "")</f>
        <v>42</v>
      </c>
      <c r="AGB3" s="3"/>
      <c r="AGC3" s="7">
        <f t="shared" ref="AGC3:AGC7" si="86">IF(ISNUMBER(AGA3), (AFQ3 + (AFR3 * 24)) - AGA3, "")</f>
        <v>1</v>
      </c>
      <c r="AGD3" s="5">
        <v>1</v>
      </c>
      <c r="AGE3" s="7">
        <f>IF(ISNUMBER(AGD3), AGD3-AGC3, "")</f>
        <v>0</v>
      </c>
      <c r="AGG3" s="24">
        <v>24</v>
      </c>
      <c r="AGH3" s="6" t="s">
        <v>20</v>
      </c>
      <c r="AGI3" s="24">
        <v>14</v>
      </c>
      <c r="AGJ3" s="6" t="s">
        <v>20</v>
      </c>
      <c r="AGK3" s="5">
        <f>IF(OR(ISNUMBER(AGG3), ISNUMBER(AGI3)), IF(ISNUMBER(AGG3), AGG3, 0) + IF(ISNUMBER(AGI3), AGI3, 0), "")</f>
        <v>38</v>
      </c>
      <c r="AGL3" s="3"/>
      <c r="AGM3" s="7">
        <f t="shared" ref="AGM3:AGM7" si="87">IF(ISNUMBER(AGK3), (AGA3 + (AGB3 * 24)) - AGK3, "")</f>
        <v>4</v>
      </c>
      <c r="AGN3" s="5">
        <v>4</v>
      </c>
      <c r="AGO3" s="7">
        <f>IF(ISNUMBER(AGN3), AGN3-AGM3, "")</f>
        <v>0</v>
      </c>
      <c r="AGQ3" s="24">
        <v>16</v>
      </c>
      <c r="AGR3" s="6" t="s">
        <v>20</v>
      </c>
      <c r="AGS3" s="24">
        <v>19</v>
      </c>
      <c r="AGT3" s="6" t="s">
        <v>20</v>
      </c>
      <c r="AGU3" s="5">
        <f>IF(OR(ISNUMBER(AGQ3), ISNUMBER(AGS3)), IF(ISNUMBER(AGQ3), AGQ3, 0) + IF(ISNUMBER(AGS3), AGS3, 0), "")</f>
        <v>35</v>
      </c>
      <c r="AGV3" s="3"/>
      <c r="AGW3" s="7">
        <f t="shared" ref="AGW3:AGW7" si="88">IF(ISNUMBER(AGU3), (AGK3 + (AGL3 * 24)) - AGU3, "")</f>
        <v>3</v>
      </c>
      <c r="AGX3" s="5">
        <v>3</v>
      </c>
      <c r="AGY3" s="7">
        <f>IF(ISNUMBER(AGX3), AGX3-AGW3, "")</f>
        <v>0</v>
      </c>
      <c r="AHA3" s="24">
        <v>16</v>
      </c>
      <c r="AHB3" s="6" t="s">
        <v>20</v>
      </c>
      <c r="AHC3" s="24">
        <v>15</v>
      </c>
      <c r="AHD3" s="6" t="s">
        <v>20</v>
      </c>
      <c r="AHE3" s="5">
        <f>IF(OR(ISNUMBER(AHA3), ISNUMBER(AHC3)), IF(ISNUMBER(AHA3), AHA3, 0) + IF(ISNUMBER(AHC3), AHC3, 0), "")</f>
        <v>31</v>
      </c>
      <c r="AHF3" s="3">
        <v>1</v>
      </c>
      <c r="AHG3" s="7">
        <f t="shared" ref="AHG3:AHG7" si="89">IF(ISNUMBER(AHE3), (AGU3 + (AGV3 * 24)) - AHE3, "")</f>
        <v>4</v>
      </c>
      <c r="AHH3" s="5">
        <v>4</v>
      </c>
      <c r="AHI3" s="7">
        <f>IF(ISNUMBER(AHH3), AHH3-AHG3, "")</f>
        <v>0</v>
      </c>
      <c r="AHK3" s="2">
        <v>24</v>
      </c>
      <c r="AHL3" s="6" t="s">
        <v>20</v>
      </c>
      <c r="AHM3" s="2">
        <v>28</v>
      </c>
      <c r="AHN3" s="6" t="s">
        <v>20</v>
      </c>
      <c r="AHO3" s="5">
        <f>IF(OR(ISNUMBER(AHK3), ISNUMBER(AHM3)), IF(ISNUMBER(AHK3), AHK3, 0) + IF(ISNUMBER(AHM3), AHM3, 0), "")</f>
        <v>52</v>
      </c>
      <c r="AHP3" s="3"/>
      <c r="AHQ3" s="7">
        <f t="shared" ref="AHQ3:AHQ7" si="90">IF(ISNUMBER(AHO3), (AHE3 + (AHF3 * 24)) - AHO3, "")</f>
        <v>3</v>
      </c>
      <c r="AHR3" s="5">
        <v>3</v>
      </c>
      <c r="AHS3" s="7">
        <f>IF(ISNUMBER(AHR3), AHR3-AHQ3, "")</f>
        <v>0</v>
      </c>
      <c r="AHU3" s="2">
        <v>24</v>
      </c>
      <c r="AHV3" s="6" t="s">
        <v>20</v>
      </c>
      <c r="AHW3" s="2">
        <v>17</v>
      </c>
      <c r="AHX3" s="6" t="s">
        <v>20</v>
      </c>
      <c r="AHY3" s="5">
        <f>IF(OR(ISNUMBER(AHU3), ISNUMBER(AHW3)), IF(ISNUMBER(AHU3), AHU3, 0) + IF(ISNUMBER(AHW3), AHW3, 0), "")</f>
        <v>41</v>
      </c>
      <c r="AHZ3" s="3"/>
      <c r="AIA3" s="7">
        <f t="shared" ref="AIA3:AIA7" si="91">IF(ISNUMBER(AHY3), (AHO3 + (AHP3 * 24)) - AHY3, "")</f>
        <v>11</v>
      </c>
      <c r="AIB3" s="5">
        <v>11</v>
      </c>
      <c r="AIC3" s="7">
        <f>IF(ISNUMBER(AIB3), AIB3-AIA3, "")</f>
        <v>0</v>
      </c>
      <c r="AIE3" s="24">
        <v>24</v>
      </c>
      <c r="AIF3" s="6" t="s">
        <v>20</v>
      </c>
      <c r="AIG3" s="24">
        <v>9</v>
      </c>
      <c r="AIH3" s="6" t="s">
        <v>20</v>
      </c>
      <c r="AII3" s="5">
        <f>IF(OR(ISNUMBER(AIE3), ISNUMBER(AIG3)), IF(ISNUMBER(AIE3), AIE3, 0) + IF(ISNUMBER(AIG3), AIG3, 0), "")</f>
        <v>33</v>
      </c>
      <c r="AIJ3" s="3"/>
      <c r="AIK3" s="7">
        <f t="shared" ref="AIK3:AIK7" si="92">IF(ISNUMBER(AII3), (AHY3 + (AHZ3 * 24)) - AII3, "")</f>
        <v>8</v>
      </c>
      <c r="AIL3" s="5">
        <v>8</v>
      </c>
      <c r="AIM3" s="7">
        <f>IF(ISNUMBER(AIL3), AIL3-AIK3, "")</f>
        <v>0</v>
      </c>
      <c r="AIO3" s="24">
        <v>24</v>
      </c>
      <c r="AIP3" s="6" t="s">
        <v>20</v>
      </c>
      <c r="AIQ3" s="24">
        <v>5</v>
      </c>
      <c r="AIR3" s="6" t="s">
        <v>20</v>
      </c>
      <c r="AIS3" s="5">
        <f>IF(OR(ISNUMBER(AIO3), ISNUMBER(AIQ3)), IF(ISNUMBER(AIO3), AIO3, 0) + IF(ISNUMBER(AIQ3), AIQ3, 0), "")</f>
        <v>29</v>
      </c>
      <c r="AIT3" s="3"/>
      <c r="AIU3" s="7">
        <f t="shared" ref="AIU3:AIU7" si="93">IF(ISNUMBER(AIS3), (AII3 + (AIJ3 * 24)) - AIS3, "")</f>
        <v>4</v>
      </c>
      <c r="AIV3" s="5">
        <v>4</v>
      </c>
      <c r="AIW3" s="7">
        <f>IF(ISNUMBER(AIV3), AIV3-AIU3, "")</f>
        <v>0</v>
      </c>
      <c r="AIY3" s="24"/>
      <c r="AIZ3" s="6" t="s">
        <v>20</v>
      </c>
      <c r="AJA3" s="24">
        <v>28</v>
      </c>
      <c r="AJB3" s="6" t="s">
        <v>20</v>
      </c>
      <c r="AJC3" s="5">
        <f>IF(OR(ISNUMBER(AIY3), ISNUMBER(AJA3)), IF(ISNUMBER(AIY3), AIY3, 0) + IF(ISNUMBER(AJA3), AJA3, 0), "")</f>
        <v>28</v>
      </c>
      <c r="AJD3" s="3"/>
      <c r="AJE3" s="7">
        <f t="shared" ref="AJE3:AJE7" si="94">IF(ISNUMBER(AJC3), (AIS3 + (AIT3 * 24)) - AJC3, "")</f>
        <v>1</v>
      </c>
      <c r="AJF3" s="5">
        <v>1</v>
      </c>
      <c r="AJG3" s="7">
        <f>IF(ISNUMBER(AJF3), AJF3-AJE3, "")</f>
        <v>0</v>
      </c>
      <c r="AJI3" s="2"/>
      <c r="AJJ3" s="6" t="s">
        <v>20</v>
      </c>
      <c r="AJK3" s="2">
        <v>25</v>
      </c>
      <c r="AJL3" s="6" t="s">
        <v>20</v>
      </c>
      <c r="AJM3" s="5">
        <f>IF(OR(ISNUMBER(AJI3), ISNUMBER(AJK3)), IF(ISNUMBER(AJI3), AJI3, 0) + IF(ISNUMBER(AJK3), AJK3, 0), "")</f>
        <v>25</v>
      </c>
      <c r="AJN3" s="3"/>
      <c r="AJO3" s="7">
        <f t="shared" ref="AJO3:AJO7" si="95">IF(ISNUMBER(AJM3), (AJC3 + (AJD3 * 24)) - AJM3, "")</f>
        <v>3</v>
      </c>
      <c r="AJP3" s="5">
        <v>3</v>
      </c>
      <c r="AJQ3" s="7">
        <f>IF(ISNUMBER(AJP3), AJP3-AJO3, "")</f>
        <v>0</v>
      </c>
      <c r="AJS3" s="24"/>
      <c r="AJT3" s="6" t="s">
        <v>20</v>
      </c>
      <c r="AJU3" s="24">
        <v>20</v>
      </c>
      <c r="AJV3" s="6" t="s">
        <v>20</v>
      </c>
      <c r="AJW3" s="5">
        <f>IF(OR(ISNUMBER(AJS3), ISNUMBER(AJU3)), IF(ISNUMBER(AJS3), AJS3, 0) + IF(ISNUMBER(AJU3), AJU3, 0), "")</f>
        <v>20</v>
      </c>
      <c r="AJX3" s="3"/>
      <c r="AJY3" s="7">
        <f t="shared" ref="AJY3:AJY7" si="96">IF(ISNUMBER(AJW3), (AJM3 + (AJN3 * 24)) - AJW3, "")</f>
        <v>5</v>
      </c>
      <c r="AJZ3" s="5">
        <v>5</v>
      </c>
      <c r="AKA3" s="7">
        <f>IF(ISNUMBER(AJZ3), AJZ3-AJY3, "")</f>
        <v>0</v>
      </c>
      <c r="AKC3" s="2"/>
      <c r="AKD3" s="6" t="s">
        <v>20</v>
      </c>
      <c r="AKE3" s="2">
        <v>18</v>
      </c>
      <c r="AKF3" s="6" t="s">
        <v>20</v>
      </c>
      <c r="AKG3" s="5">
        <f>IF(OR(ISNUMBER(AKC3), ISNUMBER(AKE3)), IF(ISNUMBER(AKC3), AKC3, 0) + IF(ISNUMBER(AKE3), AKE3, 0), "")</f>
        <v>18</v>
      </c>
      <c r="AKH3" s="3"/>
      <c r="AKI3" s="7">
        <f t="shared" ref="AKI3:AKI7" si="97">IF(ISNUMBER(AKG3), (AJW3 + (AJX3 * 24)) - AKG3, "")</f>
        <v>2</v>
      </c>
      <c r="AKJ3" s="5">
        <v>2</v>
      </c>
      <c r="AKK3" s="7">
        <f>IF(ISNUMBER(AKJ3), AKJ3-AKI3, "")</f>
        <v>0</v>
      </c>
      <c r="AKM3" s="24"/>
      <c r="AKN3" s="6" t="s">
        <v>20</v>
      </c>
      <c r="AKO3" s="24">
        <v>16</v>
      </c>
      <c r="AKP3" s="6" t="s">
        <v>20</v>
      </c>
      <c r="AKQ3" s="5">
        <f>IF(OR(ISNUMBER(AKM3), ISNUMBER(AKO3)), IF(ISNUMBER(AKM3), AKM3, 0) + IF(ISNUMBER(AKO3), AKO3, 0), "")</f>
        <v>16</v>
      </c>
      <c r="AKR3" s="3"/>
      <c r="AKS3" s="7">
        <f t="shared" ref="AKS3:AKS7" si="98">IF(ISNUMBER(AKQ3), (AKG3 + (AKH3 * 24)) - AKQ3, "")</f>
        <v>2</v>
      </c>
      <c r="AKT3" s="5">
        <v>2</v>
      </c>
      <c r="AKU3" s="7">
        <f>IF(ISNUMBER(AKT3), AKT3-AKS3, "")</f>
        <v>0</v>
      </c>
      <c r="AKW3" s="2"/>
      <c r="AKX3" s="6" t="s">
        <v>20</v>
      </c>
      <c r="AKY3" s="2">
        <v>15</v>
      </c>
      <c r="AKZ3" s="6" t="s">
        <v>20</v>
      </c>
      <c r="ALA3" s="5">
        <f>IF(OR(ISNUMBER(AKW3), ISNUMBER(AKY3)), IF(ISNUMBER(AKW3), AKW3, 0) + IF(ISNUMBER(AKY3), AKY3, 0), "")</f>
        <v>15</v>
      </c>
      <c r="ALB3" s="3"/>
      <c r="ALC3" s="7">
        <f t="shared" ref="ALC3:ALC7" si="99">IF(ISNUMBER(ALA3), (AKQ3 + (AKR3 * 24)) - ALA3, "")</f>
        <v>1</v>
      </c>
      <c r="ALD3" s="5">
        <v>1</v>
      </c>
      <c r="ALE3" s="7">
        <f>IF(ISNUMBER(ALD3), ALD3-ALC3, "")</f>
        <v>0</v>
      </c>
      <c r="ALG3" s="2"/>
      <c r="ALH3" s="6" t="s">
        <v>20</v>
      </c>
      <c r="ALI3" s="2">
        <v>12</v>
      </c>
      <c r="ALJ3" s="6" t="s">
        <v>20</v>
      </c>
      <c r="ALK3" s="5">
        <f>IF(OR(ISNUMBER(ALG3), ISNUMBER(ALI3)), IF(ISNUMBER(ALG3), ALG3, 0) + IF(ISNUMBER(ALI3), ALI3, 0), "")</f>
        <v>12</v>
      </c>
      <c r="ALL3" s="3"/>
      <c r="ALM3" s="7">
        <f t="shared" ref="ALM3:ALM7" si="100">IF(ISNUMBER(ALK3), (ALA3 + (ALB3 * 24)) - ALK3, "")</f>
        <v>3</v>
      </c>
      <c r="ALN3" s="5">
        <v>3</v>
      </c>
      <c r="ALO3" s="7">
        <f>IF(ISNUMBER(ALN3), ALN3-ALM3, "")</f>
        <v>0</v>
      </c>
      <c r="ALQ3" s="24"/>
      <c r="ALR3" s="6" t="s">
        <v>20</v>
      </c>
      <c r="ALS3" s="24">
        <v>9</v>
      </c>
      <c r="ALT3" s="6" t="s">
        <v>20</v>
      </c>
      <c r="ALU3" s="5">
        <f>IF(OR(ISNUMBER(ALQ3), ISNUMBER(ALS3)), IF(ISNUMBER(ALQ3), ALQ3, 0) + IF(ISNUMBER(ALS3), ALS3, 0), "")</f>
        <v>9</v>
      </c>
      <c r="ALV3" s="3"/>
      <c r="ALW3" s="7">
        <f t="shared" ref="ALW3:ALW7" si="101">IF(ISNUMBER(ALU3), (ALK3 + (ALL3 * 24)) - ALU3, "")</f>
        <v>3</v>
      </c>
      <c r="ALX3" s="5">
        <v>3</v>
      </c>
      <c r="ALY3" s="7">
        <f>IF(ISNUMBER(ALX3), ALX3-ALW3, "")</f>
        <v>0</v>
      </c>
      <c r="AMA3" s="24" t="s">
        <v>88</v>
      </c>
      <c r="AMB3" s="6" t="s">
        <v>20</v>
      </c>
      <c r="AMC3" s="24">
        <v>4</v>
      </c>
      <c r="AMD3" s="6" t="s">
        <v>20</v>
      </c>
      <c r="AME3" s="5">
        <f>IF(OR(ISNUMBER(AMA3), ISNUMBER(AMC3)), IF(ISNUMBER(AMA3), AMA3, 0) + IF(ISNUMBER(AMC3), AMC3, 0), "")</f>
        <v>4</v>
      </c>
      <c r="AMF3" s="3">
        <v>1</v>
      </c>
      <c r="AMG3" s="7">
        <f t="shared" ref="AMG3:AMG7" si="102">IF(ISNUMBER(AME3), (ALU3 + (ALV3 * 24)) - AME3, "")</f>
        <v>5</v>
      </c>
      <c r="AMH3" s="5">
        <v>5</v>
      </c>
      <c r="AMI3" s="7">
        <f>IF(ISNUMBER(AMH3), AMH3-AMG3, "")</f>
        <v>0</v>
      </c>
      <c r="AMK3" s="24"/>
      <c r="AML3" s="6" t="s">
        <v>20</v>
      </c>
      <c r="AMM3" s="24">
        <v>23</v>
      </c>
      <c r="AMN3" s="6" t="s">
        <v>20</v>
      </c>
      <c r="AMO3" s="5">
        <f>IF(OR(ISNUMBER(AMK3), ISNUMBER(AMM3)), IF(ISNUMBER(AMK3), AMK3, 0) + IF(ISNUMBER(AMM3), AMM3, 0), "")</f>
        <v>23</v>
      </c>
      <c r="AMP3" s="3"/>
      <c r="AMQ3" s="7">
        <f t="shared" ref="AMQ3:AMQ7" si="103">IF(ISNUMBER(AMO3), (AME3 + (AMF3 * 24)) - AMO3, "")</f>
        <v>5</v>
      </c>
      <c r="AMR3" s="5">
        <v>5</v>
      </c>
      <c r="AMS3" s="7">
        <f>IF(ISNUMBER(AMR3), AMR3-AMQ3, "")</f>
        <v>0</v>
      </c>
      <c r="AMU3" s="2"/>
      <c r="AMV3" s="6" t="s">
        <v>20</v>
      </c>
      <c r="AMW3" s="2">
        <v>23</v>
      </c>
      <c r="AMX3" s="6" t="s">
        <v>20</v>
      </c>
      <c r="AMY3" s="5">
        <f>IF(OR(ISNUMBER(AMU3), ISNUMBER(AMW3)), IF(ISNUMBER(AMU3), AMU3, 0) + IF(ISNUMBER(AMW3), AMW3, 0), "")</f>
        <v>23</v>
      </c>
      <c r="AMZ3" s="3"/>
      <c r="ANA3" s="7">
        <f t="shared" ref="ANA3:ANA7" si="104">IF(ISNUMBER(AMY3), (AMO3 + (AMP3 * 24)) - AMY3, "")</f>
        <v>0</v>
      </c>
      <c r="ANB3" s="5"/>
      <c r="ANC3" s="7" t="str">
        <f>IF(ISNUMBER(ANB3), ANB3-ANA3, "")</f>
        <v/>
      </c>
      <c r="ANE3" s="2"/>
      <c r="ANF3" s="6" t="s">
        <v>20</v>
      </c>
      <c r="ANG3" s="2">
        <v>23</v>
      </c>
      <c r="ANH3" s="6" t="s">
        <v>20</v>
      </c>
      <c r="ANI3" s="5">
        <f>IF(OR(ISNUMBER(ANE3), ISNUMBER(ANG3)), IF(ISNUMBER(ANE3), ANE3, 0) + IF(ISNUMBER(ANG3), ANG3, 0), "")</f>
        <v>23</v>
      </c>
      <c r="ANJ3" s="3"/>
      <c r="ANK3" s="7">
        <f t="shared" ref="ANK3:ANK7" si="105">IF(ISNUMBER(ANI3), (AMY3 + (AMZ3 * 24)) - ANI3, "")</f>
        <v>0</v>
      </c>
      <c r="ANL3" s="5"/>
      <c r="ANM3" s="7" t="str">
        <f>IF(ISNUMBER(ANL3), ANL3-ANK3, "")</f>
        <v/>
      </c>
      <c r="ANO3" s="24"/>
      <c r="ANP3" s="6" t="s">
        <v>20</v>
      </c>
      <c r="ANQ3" s="24">
        <v>19</v>
      </c>
      <c r="ANR3" s="6" t="s">
        <v>20</v>
      </c>
      <c r="ANS3" s="5">
        <f>IF(OR(ISNUMBER(ANO3), ISNUMBER(ANQ3)), IF(ISNUMBER(ANO3), ANO3, 0) + IF(ISNUMBER(ANQ3), ANQ3, 0), "")</f>
        <v>19</v>
      </c>
      <c r="ANT3" s="3"/>
      <c r="ANU3" s="7">
        <f t="shared" ref="ANU3:ANU7" si="106">IF(ISNUMBER(ANS3), (ANI3 + (ANJ3 * 24)) - ANS3, "")</f>
        <v>4</v>
      </c>
      <c r="ANV3" s="5">
        <v>4</v>
      </c>
      <c r="ANW3" s="7">
        <f>IF(ISNUMBER(ANV3), ANV3-ANU3, "")</f>
        <v>0</v>
      </c>
      <c r="ANY3" s="24"/>
      <c r="ANZ3" s="6" t="s">
        <v>20</v>
      </c>
      <c r="AOA3" s="24">
        <v>13</v>
      </c>
      <c r="AOB3" s="6" t="s">
        <v>20</v>
      </c>
      <c r="AOC3" s="5">
        <f>IF(OR(ISNUMBER(ANY3), ISNUMBER(AOA3)), IF(ISNUMBER(ANY3), ANY3, 0) + IF(ISNUMBER(AOA3), AOA3, 0), "")</f>
        <v>13</v>
      </c>
      <c r="AOD3" s="3">
        <v>1</v>
      </c>
      <c r="AOE3" s="7">
        <f t="shared" ref="AOE3:AOE7" si="107">IF(ISNUMBER(AOC3), (ANS3 + (ANT3 * 24)) - AOC3, "")</f>
        <v>6</v>
      </c>
      <c r="AOF3" s="5">
        <v>6</v>
      </c>
      <c r="AOG3" s="7">
        <f>IF(ISNUMBER(AOF3), AOF3-AOE3, "")</f>
        <v>0</v>
      </c>
      <c r="AOI3" s="24">
        <v>9</v>
      </c>
      <c r="AOJ3" s="6" t="s">
        <v>20</v>
      </c>
      <c r="AOK3" s="24">
        <v>22</v>
      </c>
      <c r="AOL3" s="6" t="s">
        <v>20</v>
      </c>
      <c r="AOM3" s="5">
        <f>IF(OR(ISNUMBER(AOI3), ISNUMBER(AOK3)), IF(ISNUMBER(AOI3), AOI3, 0) + IF(ISNUMBER(AOK3), AOK3, 0), "")</f>
        <v>31</v>
      </c>
      <c r="AON3" s="3"/>
      <c r="AOO3" s="7">
        <f t="shared" ref="AOO3:AOO7" si="108">IF(ISNUMBER(AOM3), (AOC3 + (AOD3 * 24)) - AOM3, "")</f>
        <v>6</v>
      </c>
      <c r="AOP3" s="5">
        <v>6</v>
      </c>
      <c r="AOQ3" s="7">
        <f>IF(ISNUMBER(AOP3), AOP3-AOO3, "")</f>
        <v>0</v>
      </c>
      <c r="AOS3" s="24">
        <v>9</v>
      </c>
      <c r="AOT3" s="6" t="s">
        <v>20</v>
      </c>
      <c r="AOU3" s="24">
        <v>22</v>
      </c>
      <c r="AOV3" s="6" t="s">
        <v>20</v>
      </c>
      <c r="AOW3" s="5">
        <f>IF(OR(ISNUMBER(AOS3), ISNUMBER(AOU3)), IF(ISNUMBER(AOS3), AOS3, 0) + IF(ISNUMBER(AOU3), AOU3, 0), "")</f>
        <v>31</v>
      </c>
      <c r="AOX3" s="3"/>
      <c r="AOY3" s="7">
        <f t="shared" ref="AOY3:AOY7" si="109">IF(ISNUMBER(AOW3), (AOM3 + (AON3 * 24)) - AOW3, "")</f>
        <v>0</v>
      </c>
      <c r="AOZ3" s="5"/>
      <c r="APA3" s="7" t="str">
        <f>IF(ISNUMBER(AOZ3), AOZ3-AOY3, "")</f>
        <v/>
      </c>
      <c r="APC3" s="24">
        <v>9</v>
      </c>
      <c r="APD3" s="6" t="s">
        <v>20</v>
      </c>
      <c r="APE3" s="24">
        <v>22</v>
      </c>
      <c r="APF3" s="6" t="s">
        <v>20</v>
      </c>
      <c r="APG3" s="5">
        <f>IF(OR(ISNUMBER(APC3), ISNUMBER(APE3)), IF(ISNUMBER(APC3), APC3, 0) + IF(ISNUMBER(APE3), APE3, 0), "")</f>
        <v>31</v>
      </c>
      <c r="APH3" s="3"/>
      <c r="API3" s="7">
        <f t="shared" ref="API3:API7" si="110">IF(ISNUMBER(APG3), (AOW3 + (AOX3 * 24)) - APG3, "")</f>
        <v>0</v>
      </c>
      <c r="APJ3" s="5"/>
      <c r="APK3" s="7" t="str">
        <f>IF(ISNUMBER(APJ3), APJ3-API3, "")</f>
        <v/>
      </c>
      <c r="APM3" s="24">
        <v>9</v>
      </c>
      <c r="APN3" s="6" t="s">
        <v>20</v>
      </c>
      <c r="APO3" s="24">
        <v>18</v>
      </c>
      <c r="APP3" s="6" t="s">
        <v>20</v>
      </c>
      <c r="APQ3" s="5">
        <f>IF(OR(ISNUMBER(APM3), ISNUMBER(APO3)), IF(ISNUMBER(APM3), APM3, 0) + IF(ISNUMBER(APO3), APO3, 0), "")</f>
        <v>27</v>
      </c>
      <c r="APR3" s="3"/>
      <c r="APS3" s="7">
        <f t="shared" ref="APS3:APS7" si="111">IF(ISNUMBER(APQ3), (APG3 + (APH3 * 24)) - APQ3, "")</f>
        <v>4</v>
      </c>
      <c r="APT3" s="5">
        <v>4</v>
      </c>
      <c r="APU3" s="7">
        <f>IF(ISNUMBER(APT3), APT3-APS3, "")</f>
        <v>0</v>
      </c>
      <c r="APW3" s="2"/>
      <c r="APX3" s="6" t="s">
        <v>20</v>
      </c>
      <c r="APY3" s="2"/>
      <c r="APZ3" s="6" t="s">
        <v>20</v>
      </c>
      <c r="AQA3" s="5" t="str">
        <f>IF(OR(ISNUMBER(APW3), ISNUMBER(APY3)), IF(ISNUMBER(APW3), APW3, 0) + IF(ISNUMBER(APY3), APY3, 0), "")</f>
        <v/>
      </c>
      <c r="AQB3" s="3"/>
      <c r="AQC3" s="7" t="str">
        <f t="shared" ref="AQC3:AQC7" si="112">IF(ISNUMBER(AQA3), (APQ3 + (APR3 * 24)) - AQA3, "")</f>
        <v/>
      </c>
      <c r="AQD3" s="5"/>
      <c r="AQE3" s="7" t="str">
        <f>IF(ISNUMBER(AQD3), AQD3-AQC3, "")</f>
        <v/>
      </c>
    </row>
    <row r="4" spans="1:1123" ht="12.75" customHeight="1" x14ac:dyDescent="0.2">
      <c r="A4" s="22" t="s">
        <v>21</v>
      </c>
      <c r="B4" s="13" t="s">
        <v>19</v>
      </c>
      <c r="C4" s="13">
        <v>12</v>
      </c>
      <c r="E4" s="24"/>
      <c r="F4" s="6" t="s">
        <v>20</v>
      </c>
      <c r="G4" s="24">
        <v>33</v>
      </c>
      <c r="H4" s="6" t="s">
        <v>20</v>
      </c>
      <c r="I4" s="5">
        <f t="shared" ref="I4:I6" si="113">IF(OR(ISNUMBER(E4), ISNUMBER(G4)), IF(ISNUMBER(E4), E4, 0) + IF(ISNUMBER(G4), G4, 0), "")</f>
        <v>33</v>
      </c>
      <c r="J4" s="3"/>
      <c r="K4" s="7"/>
      <c r="L4" s="5"/>
      <c r="M4" s="7" t="str">
        <f t="shared" ref="M4:M6" si="114">IF(ISNUMBER(L4), L4-K4, "")</f>
        <v/>
      </c>
      <c r="O4" s="24"/>
      <c r="P4" s="6" t="s">
        <v>20</v>
      </c>
      <c r="Q4" s="24">
        <v>22</v>
      </c>
      <c r="R4" s="6" t="s">
        <v>20</v>
      </c>
      <c r="S4" s="5">
        <f t="shared" ref="S4:S6" si="115">IF(OR(ISNUMBER(O4), ISNUMBER(Q4)), IF(ISNUMBER(O4), O4, 0) + IF(ISNUMBER(Q4), Q4, 0), "")</f>
        <v>22</v>
      </c>
      <c r="T4" s="3"/>
      <c r="U4" s="7">
        <f t="shared" si="0"/>
        <v>11</v>
      </c>
      <c r="V4" s="5">
        <v>0</v>
      </c>
      <c r="W4" s="7">
        <f t="shared" ref="W4:W6" si="116">IF(ISNUMBER(V4), V4-U4, "")</f>
        <v>-11</v>
      </c>
      <c r="Y4" s="24">
        <v>0</v>
      </c>
      <c r="Z4" s="6" t="s">
        <v>20</v>
      </c>
      <c r="AA4" s="24">
        <v>24</v>
      </c>
      <c r="AB4" s="6" t="s">
        <v>20</v>
      </c>
      <c r="AC4" s="5">
        <f t="shared" ref="AC4:AC6" si="117">IF(OR(ISNUMBER(Y4), ISNUMBER(AA4)), IF(ISNUMBER(Y4), Y4, 0) + IF(ISNUMBER(AA4), AA4, 0), "")</f>
        <v>24</v>
      </c>
      <c r="AD4" s="3"/>
      <c r="AE4" s="7">
        <f t="shared" si="1"/>
        <v>-2</v>
      </c>
      <c r="AF4" s="5">
        <v>1</v>
      </c>
      <c r="AG4" s="7">
        <f t="shared" ref="AG4:AG6" si="118">IF(ISNUMBER(AF4), AF4-AE4, "")</f>
        <v>3</v>
      </c>
      <c r="AI4" s="24">
        <v>0</v>
      </c>
      <c r="AJ4" s="6" t="s">
        <v>20</v>
      </c>
      <c r="AK4" s="24">
        <v>20</v>
      </c>
      <c r="AL4" s="6" t="s">
        <v>20</v>
      </c>
      <c r="AM4" s="5">
        <f t="shared" ref="AM4:AM6" si="119">IF(OR(ISNUMBER(AI4), ISNUMBER(AK4)), IF(ISNUMBER(AI4), AI4, 0) + IF(ISNUMBER(AK4), AK4, 0), "")</f>
        <v>20</v>
      </c>
      <c r="AN4" s="3"/>
      <c r="AO4" s="7">
        <f t="shared" si="2"/>
        <v>4</v>
      </c>
      <c r="AP4" s="5">
        <v>2</v>
      </c>
      <c r="AQ4" s="7">
        <f t="shared" ref="AQ4:AQ6" si="120">IF(ISNUMBER(AP4), AP4-AO4, "")</f>
        <v>-2</v>
      </c>
      <c r="AS4" s="24">
        <v>0</v>
      </c>
      <c r="AT4" s="6" t="s">
        <v>20</v>
      </c>
      <c r="AU4" s="24">
        <v>11</v>
      </c>
      <c r="AV4" s="6" t="s">
        <v>20</v>
      </c>
      <c r="AW4" s="5">
        <f t="shared" ref="AW4:AW6" si="121">IF(OR(ISNUMBER(AS4), ISNUMBER(AU4)), IF(ISNUMBER(AS4), AS4, 0) + IF(ISNUMBER(AU4), AU4, 0), "")</f>
        <v>11</v>
      </c>
      <c r="AX4" s="3"/>
      <c r="AY4" s="7">
        <f t="shared" si="3"/>
        <v>9</v>
      </c>
      <c r="AZ4" s="5">
        <v>8</v>
      </c>
      <c r="BA4" s="7">
        <f t="shared" ref="BA4:BA6" si="122">IF(ISNUMBER(AZ4), AZ4-AY4, "")</f>
        <v>-1</v>
      </c>
      <c r="BC4" s="2">
        <v>0</v>
      </c>
      <c r="BD4" s="6" t="s">
        <v>20</v>
      </c>
      <c r="BE4" s="2">
        <v>9</v>
      </c>
      <c r="BF4" s="6" t="s">
        <v>20</v>
      </c>
      <c r="BG4" s="5">
        <f t="shared" ref="BG4:BG6" si="123">IF(OR(ISNUMBER(BC4), ISNUMBER(BE4)), IF(ISNUMBER(BC4), BC4, 0) + IF(ISNUMBER(BE4), BE4, 0), "")</f>
        <v>9</v>
      </c>
      <c r="BH4" s="3"/>
      <c r="BI4" s="7">
        <f t="shared" si="4"/>
        <v>2</v>
      </c>
      <c r="BJ4" s="5">
        <v>1</v>
      </c>
      <c r="BK4" s="7">
        <f t="shared" ref="BK4:BK6" si="124">IF(ISNUMBER(BJ4), BJ4-BI4, "")</f>
        <v>-1</v>
      </c>
      <c r="BM4" s="2">
        <v>0</v>
      </c>
      <c r="BN4" s="6" t="s">
        <v>20</v>
      </c>
      <c r="BO4" s="2">
        <v>8</v>
      </c>
      <c r="BP4" s="6" t="s">
        <v>20</v>
      </c>
      <c r="BQ4" s="5">
        <f t="shared" ref="BQ4:BQ6" si="125">IF(OR(ISNUMBER(BM4), ISNUMBER(BO4)), IF(ISNUMBER(BM4), BM4, 0) + IF(ISNUMBER(BO4), BO4, 0), "")</f>
        <v>8</v>
      </c>
      <c r="BR4" s="3">
        <v>1</v>
      </c>
      <c r="BS4" s="7">
        <f t="shared" si="5"/>
        <v>1</v>
      </c>
      <c r="BT4" s="5"/>
      <c r="BU4" s="7" t="str">
        <f t="shared" ref="BU4:BU6" si="126">IF(ISNUMBER(BT4), BT4-BS4, "")</f>
        <v/>
      </c>
      <c r="BW4" s="24">
        <v>24</v>
      </c>
      <c r="BX4" s="6" t="s">
        <v>20</v>
      </c>
      <c r="BY4" s="24">
        <v>8</v>
      </c>
      <c r="BZ4" s="6" t="s">
        <v>20</v>
      </c>
      <c r="CA4" s="5">
        <f t="shared" ref="CA4:CA6" si="127">IF(OR(ISNUMBER(BW4), ISNUMBER(BY4)), IF(ISNUMBER(BW4), BW4, 0) + IF(ISNUMBER(BY4), BY4, 0), "")</f>
        <v>32</v>
      </c>
      <c r="CB4" s="3"/>
      <c r="CC4" s="7">
        <f t="shared" si="6"/>
        <v>0</v>
      </c>
      <c r="CD4" s="5"/>
      <c r="CE4" s="7" t="str">
        <f t="shared" ref="CE4:CE6" si="128">IF(ISNUMBER(CD4), CD4-CC4, "")</f>
        <v/>
      </c>
      <c r="CG4" s="24">
        <v>24</v>
      </c>
      <c r="CH4" s="6" t="s">
        <v>20</v>
      </c>
      <c r="CI4" s="24">
        <v>8</v>
      </c>
      <c r="CJ4" s="6" t="s">
        <v>20</v>
      </c>
      <c r="CK4" s="5">
        <f t="shared" ref="CK4:CK6" si="129">IF(OR(ISNUMBER(CG4), ISNUMBER(CI4)), IF(ISNUMBER(CG4), CG4, 0) + IF(ISNUMBER(CI4), CI4, 0), "")</f>
        <v>32</v>
      </c>
      <c r="CL4" s="3"/>
      <c r="CM4" s="7">
        <f t="shared" si="7"/>
        <v>0</v>
      </c>
      <c r="CN4" s="5"/>
      <c r="CO4" s="7" t="str">
        <f t="shared" ref="CO4:CO6" si="130">IF(ISNUMBER(CN4), CN4-CM4, "")</f>
        <v/>
      </c>
      <c r="CQ4" s="24">
        <v>24</v>
      </c>
      <c r="CR4" s="6" t="s">
        <v>20</v>
      </c>
      <c r="CS4" s="24">
        <v>8</v>
      </c>
      <c r="CT4" s="6" t="s">
        <v>20</v>
      </c>
      <c r="CU4" s="5">
        <f t="shared" ref="CU4:CU6" si="131">IF(OR(ISNUMBER(CQ4), ISNUMBER(CS4)), IF(ISNUMBER(CQ4), CQ4, 0) + IF(ISNUMBER(CS4), CS4, 0), "")</f>
        <v>32</v>
      </c>
      <c r="CV4" s="3"/>
      <c r="CW4" s="7">
        <f t="shared" si="8"/>
        <v>0</v>
      </c>
      <c r="CX4" s="5"/>
      <c r="CY4" s="7" t="str">
        <f t="shared" ref="CY4:CY6" si="132">IF(ISNUMBER(CX4), CX4-CW4, "")</f>
        <v/>
      </c>
      <c r="DA4" s="24">
        <v>24</v>
      </c>
      <c r="DB4" s="6" t="s">
        <v>20</v>
      </c>
      <c r="DC4" s="24">
        <v>6</v>
      </c>
      <c r="DD4" s="6" t="s">
        <v>20</v>
      </c>
      <c r="DE4" s="5">
        <f t="shared" ref="DE4:DE6" si="133">IF(OR(ISNUMBER(DA4), ISNUMBER(DC4)), IF(ISNUMBER(DA4), DA4, 0) + IF(ISNUMBER(DC4), DC4, 0), "")</f>
        <v>30</v>
      </c>
      <c r="DF4" s="3"/>
      <c r="DG4" s="7">
        <f t="shared" si="9"/>
        <v>2</v>
      </c>
      <c r="DH4" s="5">
        <v>1</v>
      </c>
      <c r="DI4" s="7">
        <f t="shared" ref="DI4:DI6" si="134">IF(ISNUMBER(DH4), DH4-DG4, "")</f>
        <v>-1</v>
      </c>
      <c r="DK4" s="24">
        <v>18</v>
      </c>
      <c r="DL4" s="6" t="s">
        <v>20</v>
      </c>
      <c r="DM4" s="24">
        <v>11</v>
      </c>
      <c r="DN4" s="6" t="s">
        <v>20</v>
      </c>
      <c r="DO4" s="5">
        <f t="shared" ref="DO4:DO6" si="135">IF(OR(ISNUMBER(DK4), ISNUMBER(DM4)), IF(ISNUMBER(DK4), DK4, 0) + IF(ISNUMBER(DM4), DM4, 0), "")</f>
        <v>29</v>
      </c>
      <c r="DP4" s="3"/>
      <c r="DQ4" s="7">
        <f t="shared" si="10"/>
        <v>1</v>
      </c>
      <c r="DR4" s="5">
        <v>1</v>
      </c>
      <c r="DS4" s="7">
        <f t="shared" ref="DS4:DS6" si="136">IF(ISNUMBER(DR4), DR4-DQ4, "")</f>
        <v>0</v>
      </c>
      <c r="DU4" s="24">
        <v>18</v>
      </c>
      <c r="DV4" s="6" t="s">
        <v>20</v>
      </c>
      <c r="DW4" s="24">
        <v>9</v>
      </c>
      <c r="DX4" s="6" t="s">
        <v>20</v>
      </c>
      <c r="DY4" s="5">
        <f t="shared" ref="DY4:DY6" si="137">IF(OR(ISNUMBER(DU4), ISNUMBER(DW4)), IF(ISNUMBER(DU4), DU4, 0) + IF(ISNUMBER(DW4), DW4, 0), "")</f>
        <v>27</v>
      </c>
      <c r="DZ4" s="3"/>
      <c r="EA4" s="7">
        <f t="shared" si="11"/>
        <v>2</v>
      </c>
      <c r="EB4" s="5">
        <v>2</v>
      </c>
      <c r="EC4" s="7">
        <f t="shared" ref="EC4:EC6" si="138">IF(ISNUMBER(EB4), EB4-EA4, "")</f>
        <v>0</v>
      </c>
      <c r="EE4" s="24">
        <v>18</v>
      </c>
      <c r="EF4" s="6" t="s">
        <v>20</v>
      </c>
      <c r="EG4" s="24">
        <v>9</v>
      </c>
      <c r="EH4" s="6" t="s">
        <v>20</v>
      </c>
      <c r="EI4" s="5">
        <f t="shared" ref="EI4:EI6" si="139">IF(OR(ISNUMBER(EE4), ISNUMBER(EG4)), IF(ISNUMBER(EE4), EE4, 0) + IF(ISNUMBER(EG4), EG4, 0), "")</f>
        <v>27</v>
      </c>
      <c r="EJ4" s="3"/>
      <c r="EK4" s="7">
        <f t="shared" si="12"/>
        <v>0</v>
      </c>
      <c r="EL4" s="5"/>
      <c r="EM4" s="7" t="str">
        <f t="shared" ref="EM4:EM6" si="140">IF(ISNUMBER(EL4), EL4-EK4, "")</f>
        <v/>
      </c>
      <c r="EO4" s="24">
        <v>18</v>
      </c>
      <c r="EP4" s="6" t="s">
        <v>20</v>
      </c>
      <c r="EQ4" s="24">
        <v>9</v>
      </c>
      <c r="ER4" s="6" t="s">
        <v>20</v>
      </c>
      <c r="ES4" s="5">
        <f t="shared" ref="ES4:ES6" si="141">IF(OR(ISNUMBER(EO4), ISNUMBER(EQ4)), IF(ISNUMBER(EO4), EO4, 0) + IF(ISNUMBER(EQ4), EQ4, 0), "")</f>
        <v>27</v>
      </c>
      <c r="ET4" s="3"/>
      <c r="EU4" s="7">
        <f t="shared" si="13"/>
        <v>0</v>
      </c>
      <c r="EV4" s="5"/>
      <c r="EW4" s="7" t="str">
        <f t="shared" ref="EW4:EW6" si="142">IF(ISNUMBER(EV4), EV4-EU4, "")</f>
        <v/>
      </c>
      <c r="EY4" s="24">
        <v>18</v>
      </c>
      <c r="EZ4" s="6" t="s">
        <v>20</v>
      </c>
      <c r="FA4" s="24">
        <v>6</v>
      </c>
      <c r="FB4" s="6" t="s">
        <v>20</v>
      </c>
      <c r="FC4" s="5">
        <f t="shared" ref="FC4:FC6" si="143">IF(OR(ISNUMBER(EY4), ISNUMBER(FA4)), IF(ISNUMBER(EY4), EY4, 0) + IF(ISNUMBER(FA4), FA4, 0), "")</f>
        <v>24</v>
      </c>
      <c r="FD4" s="3"/>
      <c r="FE4" s="7">
        <f t="shared" si="14"/>
        <v>3</v>
      </c>
      <c r="FF4" s="5">
        <v>2</v>
      </c>
      <c r="FG4" s="7">
        <f t="shared" ref="FG4:FG6" si="144">IF(ISNUMBER(FF4), FF4-FE4, "")</f>
        <v>-1</v>
      </c>
      <c r="FI4" s="24">
        <v>12</v>
      </c>
      <c r="FJ4" s="6" t="s">
        <v>20</v>
      </c>
      <c r="FK4" s="24">
        <v>7</v>
      </c>
      <c r="FL4" s="6" t="s">
        <v>20</v>
      </c>
      <c r="FM4" s="5">
        <f t="shared" ref="FM4:FM6" si="145">IF(OR(ISNUMBER(FI4), ISNUMBER(FK4)), IF(ISNUMBER(FI4), FI4, 0) + IF(ISNUMBER(FK4), FK4, 0), "")</f>
        <v>19</v>
      </c>
      <c r="FN4" s="3"/>
      <c r="FO4" s="7">
        <f t="shared" si="15"/>
        <v>5</v>
      </c>
      <c r="FP4" s="5"/>
      <c r="FQ4" s="7" t="str">
        <f t="shared" ref="FQ4:FQ6" si="146">IF(ISNUMBER(FP4), FP4-FO4, "")</f>
        <v/>
      </c>
      <c r="FS4" s="24">
        <v>18</v>
      </c>
      <c r="FT4" s="6" t="s">
        <v>20</v>
      </c>
      <c r="FU4" s="24">
        <v>7</v>
      </c>
      <c r="FV4" s="6" t="s">
        <v>20</v>
      </c>
      <c r="FW4" s="5">
        <f t="shared" ref="FW4:FW6" si="147">IF(OR(ISNUMBER(FS4), ISNUMBER(FU4)), IF(ISNUMBER(FS4), FS4, 0) + IF(ISNUMBER(FU4), FU4, 0), "")</f>
        <v>25</v>
      </c>
      <c r="FX4" s="3"/>
      <c r="FY4" s="7">
        <f t="shared" si="16"/>
        <v>-6</v>
      </c>
      <c r="FZ4" s="5"/>
      <c r="GA4" s="7" t="str">
        <f t="shared" ref="GA4:GA6" si="148">IF(ISNUMBER(FZ4), FZ4-FY4, "")</f>
        <v/>
      </c>
      <c r="GC4" s="24">
        <v>12</v>
      </c>
      <c r="GD4" s="6" t="s">
        <v>20</v>
      </c>
      <c r="GE4" s="24">
        <v>12</v>
      </c>
      <c r="GF4" s="6" t="s">
        <v>20</v>
      </c>
      <c r="GG4" s="5">
        <f t="shared" ref="GG4:GG6" si="149">IF(OR(ISNUMBER(GC4), ISNUMBER(GE4)), IF(ISNUMBER(GC4), GC4, 0) + IF(ISNUMBER(GE4), GE4, 0), "")</f>
        <v>24</v>
      </c>
      <c r="GH4" s="3"/>
      <c r="GI4" s="7">
        <f t="shared" si="17"/>
        <v>1</v>
      </c>
      <c r="GJ4" s="5">
        <v>1</v>
      </c>
      <c r="GK4" s="7">
        <f t="shared" ref="GK4:GK6" si="150">IF(ISNUMBER(GJ4), GJ4-GI4, "")</f>
        <v>0</v>
      </c>
      <c r="GM4" s="24">
        <v>12</v>
      </c>
      <c r="GN4" s="6" t="s">
        <v>20</v>
      </c>
      <c r="GO4" s="24">
        <v>12</v>
      </c>
      <c r="GP4" s="6" t="s">
        <v>20</v>
      </c>
      <c r="GQ4" s="5">
        <f t="shared" ref="GQ4:GQ6" si="151">IF(OR(ISNUMBER(GM4), ISNUMBER(GO4)), IF(ISNUMBER(GM4), GM4, 0) + IF(ISNUMBER(GO4), GO4, 0), "")</f>
        <v>24</v>
      </c>
      <c r="GR4" s="3"/>
      <c r="GS4" s="7">
        <f t="shared" si="18"/>
        <v>0</v>
      </c>
      <c r="GT4" s="5"/>
      <c r="GU4" s="7" t="str">
        <f t="shared" ref="GU4:GU6" si="152">IF(ISNUMBER(GT4), GT4-GS4, "")</f>
        <v/>
      </c>
      <c r="GW4" s="24">
        <v>12</v>
      </c>
      <c r="GX4" s="6" t="s">
        <v>20</v>
      </c>
      <c r="GY4" s="24">
        <v>11</v>
      </c>
      <c r="GZ4" s="6" t="s">
        <v>20</v>
      </c>
      <c r="HA4" s="5">
        <f t="shared" ref="HA4:HA6" si="153">IF(OR(ISNUMBER(GW4), ISNUMBER(GY4)), IF(ISNUMBER(GW4), GW4, 0) + IF(ISNUMBER(GY4), GY4, 0), "")</f>
        <v>23</v>
      </c>
      <c r="HB4" s="3"/>
      <c r="HC4" s="7">
        <f t="shared" si="19"/>
        <v>1</v>
      </c>
      <c r="HD4" s="5">
        <v>1</v>
      </c>
      <c r="HE4" s="7">
        <f t="shared" ref="HE4:HE6" si="154">IF(ISNUMBER(HD4), HD4-HC4, "")</f>
        <v>0</v>
      </c>
      <c r="HG4" s="24">
        <v>12</v>
      </c>
      <c r="HH4" s="6" t="s">
        <v>20</v>
      </c>
      <c r="HI4" s="24">
        <v>10</v>
      </c>
      <c r="HJ4" s="6" t="s">
        <v>20</v>
      </c>
      <c r="HK4" s="5">
        <f t="shared" ref="HK4:HK6" si="155">IF(OR(ISNUMBER(HG4), ISNUMBER(HI4)), IF(ISNUMBER(HG4), HG4, 0) + IF(ISNUMBER(HI4), HI4, 0), "")</f>
        <v>22</v>
      </c>
      <c r="HL4" s="3"/>
      <c r="HM4" s="7">
        <f t="shared" si="20"/>
        <v>1</v>
      </c>
      <c r="HN4" s="5">
        <v>1</v>
      </c>
      <c r="HO4" s="7">
        <f t="shared" ref="HO4:HO6" si="156">IF(ISNUMBER(HN4), HN4-HM4, "")</f>
        <v>0</v>
      </c>
      <c r="HQ4" s="24">
        <v>6</v>
      </c>
      <c r="HR4" s="6" t="s">
        <v>20</v>
      </c>
      <c r="HS4" s="24">
        <v>12</v>
      </c>
      <c r="HT4" s="6" t="s">
        <v>20</v>
      </c>
      <c r="HU4" s="5">
        <f t="shared" ref="HU4:HU6" si="157">IF(OR(ISNUMBER(HQ4), ISNUMBER(HS4)), IF(ISNUMBER(HQ4), HQ4, 0) + IF(ISNUMBER(HS4), HS4, 0), "")</f>
        <v>18</v>
      </c>
      <c r="HV4" s="3"/>
      <c r="HW4" s="7">
        <f t="shared" si="21"/>
        <v>4</v>
      </c>
      <c r="HX4" s="5">
        <v>1</v>
      </c>
      <c r="HY4" s="7">
        <f t="shared" ref="HY4:HY6" si="158">IF(ISNUMBER(HX4), HX4-HW4, "")</f>
        <v>-3</v>
      </c>
      <c r="IA4" s="24">
        <v>6</v>
      </c>
      <c r="IB4" s="6" t="s">
        <v>20</v>
      </c>
      <c r="IC4" s="24">
        <v>12</v>
      </c>
      <c r="ID4" s="6" t="s">
        <v>20</v>
      </c>
      <c r="IE4" s="5">
        <f t="shared" ref="IE4:IE6" si="159">IF(OR(ISNUMBER(IA4), ISNUMBER(IC4)), IF(ISNUMBER(IA4), IA4, 0) + IF(ISNUMBER(IC4), IC4, 0), "")</f>
        <v>18</v>
      </c>
      <c r="IF4" s="3"/>
      <c r="IG4" s="7">
        <f t="shared" si="22"/>
        <v>0</v>
      </c>
      <c r="IH4" s="5">
        <v>1</v>
      </c>
      <c r="II4" s="7">
        <f t="shared" ref="II4:II6" si="160">IF(ISNUMBER(IH4), IH4-IG4, "")</f>
        <v>1</v>
      </c>
      <c r="IK4" s="24">
        <v>6</v>
      </c>
      <c r="IL4" s="6" t="s">
        <v>20</v>
      </c>
      <c r="IM4" s="24">
        <v>8</v>
      </c>
      <c r="IN4" s="6" t="s">
        <v>20</v>
      </c>
      <c r="IO4" s="5">
        <f t="shared" ref="IO4:IO6" si="161">IF(OR(ISNUMBER(IK4), ISNUMBER(IM4)), IF(ISNUMBER(IK4), IK4, 0) + IF(ISNUMBER(IM4), IM4, 0), "")</f>
        <v>14</v>
      </c>
      <c r="IP4" s="3"/>
      <c r="IQ4" s="7">
        <f t="shared" si="23"/>
        <v>4</v>
      </c>
      <c r="IR4" s="5">
        <v>4</v>
      </c>
      <c r="IS4" s="7">
        <f t="shared" ref="IS4:IS6" si="162">IF(ISNUMBER(IR4), IR4-IQ4, "")</f>
        <v>0</v>
      </c>
      <c r="IU4" s="24">
        <v>6</v>
      </c>
      <c r="IV4" s="6" t="s">
        <v>20</v>
      </c>
      <c r="IW4" s="24">
        <v>6</v>
      </c>
      <c r="IX4" s="6" t="s">
        <v>20</v>
      </c>
      <c r="IY4" s="5">
        <f t="shared" ref="IY4:IY6" si="163">IF(OR(ISNUMBER(IU4), ISNUMBER(IW4)), IF(ISNUMBER(IU4), IU4, 0) + IF(ISNUMBER(IW4), IW4, 0), "")</f>
        <v>12</v>
      </c>
      <c r="IZ4" s="3"/>
      <c r="JA4" s="7">
        <f t="shared" si="24"/>
        <v>2</v>
      </c>
      <c r="JB4" s="5">
        <v>2</v>
      </c>
      <c r="JC4" s="7">
        <f t="shared" ref="JC4:JC6" si="164">IF(ISNUMBER(JB4), JB4-JA4, "")</f>
        <v>0</v>
      </c>
      <c r="JE4" s="24">
        <v>6</v>
      </c>
      <c r="JF4" s="6" t="s">
        <v>20</v>
      </c>
      <c r="JG4" s="24">
        <v>5</v>
      </c>
      <c r="JH4" s="6" t="s">
        <v>20</v>
      </c>
      <c r="JI4" s="5">
        <f t="shared" ref="JI4:JI6" si="165">IF(OR(ISNUMBER(JE4), ISNUMBER(JG4)), IF(ISNUMBER(JE4), JE4, 0) + IF(ISNUMBER(JG4), JG4, 0), "")</f>
        <v>11</v>
      </c>
      <c r="JJ4" s="3">
        <v>1</v>
      </c>
      <c r="JK4" s="7">
        <f t="shared" si="25"/>
        <v>1</v>
      </c>
      <c r="JL4" s="5">
        <v>1</v>
      </c>
      <c r="JM4" s="7">
        <f t="shared" ref="JM4:JM6" si="166">IF(ISNUMBER(JL4), JL4-JK4, "")</f>
        <v>0</v>
      </c>
      <c r="JO4" s="24">
        <v>24</v>
      </c>
      <c r="JP4" s="6" t="s">
        <v>20</v>
      </c>
      <c r="JQ4" s="24">
        <v>8</v>
      </c>
      <c r="JR4" s="6" t="s">
        <v>20</v>
      </c>
      <c r="JS4" s="5">
        <f t="shared" ref="JS4:JS6" si="167">IF(OR(ISNUMBER(JO4), ISNUMBER(JQ4)), IF(ISNUMBER(JO4), JO4, 0) + IF(ISNUMBER(JQ4), JQ4, 0), "")</f>
        <v>32</v>
      </c>
      <c r="JT4" s="3"/>
      <c r="JU4" s="7">
        <f t="shared" si="26"/>
        <v>3</v>
      </c>
      <c r="JV4" s="5">
        <v>2</v>
      </c>
      <c r="JW4" s="7">
        <f t="shared" ref="JW4:JW6" si="168">IF(ISNUMBER(JV4), JV4-JU4, "")</f>
        <v>-1</v>
      </c>
      <c r="JY4" s="24">
        <v>24</v>
      </c>
      <c r="JZ4" s="6" t="s">
        <v>20</v>
      </c>
      <c r="KA4" s="24">
        <v>7</v>
      </c>
      <c r="KB4" s="6" t="s">
        <v>20</v>
      </c>
      <c r="KC4" s="5">
        <f t="shared" ref="KC4:KC6" si="169">IF(OR(ISNUMBER(JY4), ISNUMBER(KA4)), IF(ISNUMBER(JY4), JY4, 0) + IF(ISNUMBER(KA4), KA4, 0), "")</f>
        <v>31</v>
      </c>
      <c r="KD4" s="3"/>
      <c r="KE4" s="7">
        <f t="shared" si="27"/>
        <v>1</v>
      </c>
      <c r="KF4" s="5"/>
      <c r="KG4" s="7" t="str">
        <f t="shared" ref="KG4:KG6" si="170">IF(ISNUMBER(KF4), KF4-KE4, "")</f>
        <v/>
      </c>
      <c r="KI4" s="24">
        <v>18</v>
      </c>
      <c r="KJ4" s="6" t="s">
        <v>20</v>
      </c>
      <c r="KK4" s="24">
        <v>11</v>
      </c>
      <c r="KL4" s="6" t="s">
        <v>20</v>
      </c>
      <c r="KM4" s="5">
        <f t="shared" ref="KM4:KM6" si="171">IF(OR(ISNUMBER(KI4), ISNUMBER(KK4)), IF(ISNUMBER(KI4), KI4, 0) + IF(ISNUMBER(KK4), KK4, 0), "")</f>
        <v>29</v>
      </c>
      <c r="KN4" s="3"/>
      <c r="KO4" s="7">
        <f t="shared" si="28"/>
        <v>2</v>
      </c>
      <c r="KP4" s="5">
        <v>2</v>
      </c>
      <c r="KQ4" s="7">
        <f t="shared" ref="KQ4:KQ6" si="172">IF(ISNUMBER(KP4), KP4-KO4, "")</f>
        <v>0</v>
      </c>
      <c r="KS4" s="24">
        <v>18</v>
      </c>
      <c r="KT4" s="6" t="s">
        <v>20</v>
      </c>
      <c r="KU4" s="24">
        <v>10</v>
      </c>
      <c r="KV4" s="6" t="s">
        <v>20</v>
      </c>
      <c r="KW4" s="5">
        <f t="shared" ref="KW4:KW6" si="173">IF(OR(ISNUMBER(KS4), ISNUMBER(KU4)), IF(ISNUMBER(KS4), KS4, 0) + IF(ISNUMBER(KU4), KU4, 0), "")</f>
        <v>28</v>
      </c>
      <c r="KX4" s="3"/>
      <c r="KY4" s="7">
        <f t="shared" si="29"/>
        <v>1</v>
      </c>
      <c r="KZ4" s="5">
        <v>1</v>
      </c>
      <c r="LA4" s="7">
        <f t="shared" ref="LA4:LA6" si="174">IF(ISNUMBER(KZ4), KZ4-KY4, "")</f>
        <v>0</v>
      </c>
      <c r="LC4" s="24">
        <v>18</v>
      </c>
      <c r="LD4" s="6" t="s">
        <v>20</v>
      </c>
      <c r="LE4" s="24">
        <v>4</v>
      </c>
      <c r="LF4" s="6" t="s">
        <v>20</v>
      </c>
      <c r="LG4" s="5">
        <f t="shared" ref="LG4:LG6" si="175">IF(OR(ISNUMBER(LC4), ISNUMBER(LE4)), IF(ISNUMBER(LC4), LC4, 0) + IF(ISNUMBER(LE4), LE4, 0), "")</f>
        <v>22</v>
      </c>
      <c r="LH4" s="3"/>
      <c r="LI4" s="7">
        <f t="shared" si="30"/>
        <v>6</v>
      </c>
      <c r="LJ4" s="5"/>
      <c r="LK4" s="7" t="str">
        <f t="shared" ref="LK4:LK6" si="176">IF(ISNUMBER(LJ4), LJ4-LI4, "")</f>
        <v/>
      </c>
      <c r="LM4" s="24">
        <v>18</v>
      </c>
      <c r="LN4" s="6" t="s">
        <v>20</v>
      </c>
      <c r="LO4" s="24">
        <v>7</v>
      </c>
      <c r="LP4" s="6" t="s">
        <v>20</v>
      </c>
      <c r="LQ4" s="5">
        <f t="shared" ref="LQ4:LQ6" si="177">IF(OR(ISNUMBER(LM4), ISNUMBER(LO4)), IF(ISNUMBER(LM4), LM4, 0) + IF(ISNUMBER(LO4), LO4, 0), "")</f>
        <v>25</v>
      </c>
      <c r="LR4" s="3"/>
      <c r="LS4" s="7">
        <f t="shared" si="31"/>
        <v>-3</v>
      </c>
      <c r="LT4" s="5">
        <v>3</v>
      </c>
      <c r="LU4" s="7">
        <f t="shared" ref="LU4:LU6" si="178">IF(ISNUMBER(LT4), LT4-LS4, "")</f>
        <v>6</v>
      </c>
      <c r="LW4" s="24">
        <v>18</v>
      </c>
      <c r="LX4" s="6" t="s">
        <v>20</v>
      </c>
      <c r="LY4" s="24">
        <v>7</v>
      </c>
      <c r="LZ4" s="6" t="s">
        <v>20</v>
      </c>
      <c r="MA4" s="5">
        <f t="shared" ref="MA4:MA6" si="179">IF(OR(ISNUMBER(LW4), ISNUMBER(LY4)), IF(ISNUMBER(LW4), LW4, 0) + IF(ISNUMBER(LY4), LY4, 0), "")</f>
        <v>25</v>
      </c>
      <c r="MB4" s="3"/>
      <c r="MC4" s="7">
        <f t="shared" si="32"/>
        <v>0</v>
      </c>
      <c r="MD4" s="5"/>
      <c r="ME4" s="7" t="str">
        <f t="shared" ref="ME4:ME6" si="180">IF(ISNUMBER(MD4), MD4-MC4, "")</f>
        <v/>
      </c>
      <c r="MG4" s="24">
        <v>18</v>
      </c>
      <c r="MH4" s="6" t="s">
        <v>20</v>
      </c>
      <c r="MI4" s="24">
        <v>5</v>
      </c>
      <c r="MJ4" s="6" t="s">
        <v>20</v>
      </c>
      <c r="MK4" s="5">
        <f t="shared" ref="MK4:MK6" si="181">IF(OR(ISNUMBER(MG4), ISNUMBER(MI4)), IF(ISNUMBER(MG4), MG4, 0) + IF(ISNUMBER(MI4), MI4, 0), "")</f>
        <v>23</v>
      </c>
      <c r="ML4" s="3"/>
      <c r="MM4" s="7">
        <f t="shared" si="33"/>
        <v>2</v>
      </c>
      <c r="MN4" s="5">
        <v>2</v>
      </c>
      <c r="MO4" s="7">
        <f t="shared" ref="MO4:MO6" si="182">IF(ISNUMBER(MN4), MN4-MM4, "")</f>
        <v>0</v>
      </c>
      <c r="MQ4" s="2">
        <v>18</v>
      </c>
      <c r="MR4" s="6" t="s">
        <v>20</v>
      </c>
      <c r="MS4" s="2">
        <v>4</v>
      </c>
      <c r="MT4" s="6" t="s">
        <v>20</v>
      </c>
      <c r="MU4" s="5">
        <f t="shared" ref="MU4:MU6" si="183">IF(OR(ISNUMBER(MQ4), ISNUMBER(MS4)), IF(ISNUMBER(MQ4), MQ4, 0) + IF(ISNUMBER(MS4), MS4, 0), "")</f>
        <v>22</v>
      </c>
      <c r="MV4" s="3"/>
      <c r="MW4" s="7">
        <f t="shared" si="34"/>
        <v>1</v>
      </c>
      <c r="MX4" s="5">
        <v>1</v>
      </c>
      <c r="MY4" s="7">
        <f t="shared" ref="MY4:MY6" si="184">IF(ISNUMBER(MX4), MX4-MW4, "")</f>
        <v>0</v>
      </c>
      <c r="NA4" s="24">
        <v>0</v>
      </c>
      <c r="NB4" s="6" t="s">
        <v>20</v>
      </c>
      <c r="NC4" s="24">
        <v>15</v>
      </c>
      <c r="ND4" s="6" t="s">
        <v>20</v>
      </c>
      <c r="NE4" s="5">
        <f t="shared" ref="NE4:NE6" si="185">IF(OR(ISNUMBER(NA4), ISNUMBER(NC4)), IF(ISNUMBER(NA4), NA4, 0) + IF(ISNUMBER(NC4), NC4, 0), "")</f>
        <v>15</v>
      </c>
      <c r="NF4" s="3">
        <v>1</v>
      </c>
      <c r="NG4" s="7">
        <f t="shared" si="35"/>
        <v>7</v>
      </c>
      <c r="NH4" s="5">
        <v>5</v>
      </c>
      <c r="NI4" s="7">
        <f t="shared" ref="NI4:NI6" si="186">IF(ISNUMBER(NH4), NH4-NG4, "")</f>
        <v>-2</v>
      </c>
      <c r="NK4" s="24">
        <v>24</v>
      </c>
      <c r="NL4" s="6" t="s">
        <v>20</v>
      </c>
      <c r="NM4" s="24">
        <v>13</v>
      </c>
      <c r="NN4" s="6" t="s">
        <v>20</v>
      </c>
      <c r="NO4" s="5">
        <f t="shared" ref="NO4:NO6" si="187">IF(OR(ISNUMBER(NK4), ISNUMBER(NM4)), IF(ISNUMBER(NK4), NK4, 0) + IF(ISNUMBER(NM4), NM4, 0), "")</f>
        <v>37</v>
      </c>
      <c r="NP4" s="3"/>
      <c r="NQ4" s="7">
        <f t="shared" si="36"/>
        <v>2</v>
      </c>
      <c r="NR4" s="5">
        <v>2</v>
      </c>
      <c r="NS4" s="7">
        <f t="shared" ref="NS4:NS6" si="188">IF(ISNUMBER(NR4), NR4-NQ4, "")</f>
        <v>0</v>
      </c>
      <c r="NU4" s="24">
        <v>32</v>
      </c>
      <c r="NV4" s="6" t="s">
        <v>20</v>
      </c>
      <c r="NW4" s="24">
        <v>9</v>
      </c>
      <c r="NX4" s="6" t="s">
        <v>20</v>
      </c>
      <c r="NY4" s="5">
        <f t="shared" ref="NY4:NY6" si="189">IF(OR(ISNUMBER(NU4), ISNUMBER(NW4)), IF(ISNUMBER(NU4), NU4, 0) + IF(ISNUMBER(NW4), NW4, 0), "")</f>
        <v>41</v>
      </c>
      <c r="NZ4" s="3"/>
      <c r="OA4" s="7">
        <f t="shared" si="37"/>
        <v>-4</v>
      </c>
      <c r="OB4" s="5">
        <v>4</v>
      </c>
      <c r="OC4" s="7">
        <f t="shared" ref="OC4:OC6" si="190">IF(ISNUMBER(OB4), OB4-OA4, "")</f>
        <v>8</v>
      </c>
      <c r="OE4" s="2">
        <v>24</v>
      </c>
      <c r="OF4" s="6" t="s">
        <v>20</v>
      </c>
      <c r="OG4" s="2">
        <v>7</v>
      </c>
      <c r="OH4" s="6" t="s">
        <v>20</v>
      </c>
      <c r="OI4" s="5">
        <f t="shared" ref="OI4:OI6" si="191">IF(OR(ISNUMBER(OE4), ISNUMBER(OG4)), IF(ISNUMBER(OE4), OE4, 0) + IF(ISNUMBER(OG4), OG4, 0), "")</f>
        <v>31</v>
      </c>
      <c r="OJ4" s="3"/>
      <c r="OK4" s="7">
        <f t="shared" si="38"/>
        <v>10</v>
      </c>
      <c r="OL4" s="5">
        <v>2</v>
      </c>
      <c r="OM4" s="7">
        <f t="shared" ref="OM4:OM6" si="192">IF(ISNUMBER(OL4), OL4-OK4, "")</f>
        <v>-8</v>
      </c>
      <c r="OO4" s="24">
        <v>8</v>
      </c>
      <c r="OP4" s="6" t="s">
        <v>20</v>
      </c>
      <c r="OQ4" s="24">
        <v>22</v>
      </c>
      <c r="OR4" s="6" t="s">
        <v>20</v>
      </c>
      <c r="OS4" s="5">
        <f t="shared" ref="OS4:OS6" si="193">IF(OR(ISNUMBER(OO4), ISNUMBER(OQ4)), IF(ISNUMBER(OO4), OO4, 0) + IF(ISNUMBER(OQ4), OQ4, 0), "")</f>
        <v>30</v>
      </c>
      <c r="OT4" s="3"/>
      <c r="OU4" s="7">
        <f t="shared" si="39"/>
        <v>1</v>
      </c>
      <c r="OV4" s="5"/>
      <c r="OW4" s="7" t="str">
        <f t="shared" ref="OW4:OW6" si="194">IF(ISNUMBER(OV4), OV4-OU4, "")</f>
        <v/>
      </c>
      <c r="OY4" s="24">
        <v>8</v>
      </c>
      <c r="OZ4" s="6" t="s">
        <v>20</v>
      </c>
      <c r="PA4" s="24">
        <v>22</v>
      </c>
      <c r="PB4" s="6" t="s">
        <v>20</v>
      </c>
      <c r="PC4" s="5">
        <f t="shared" ref="PC4:PC6" si="195">IF(OR(ISNUMBER(OY4), ISNUMBER(PA4)), IF(ISNUMBER(OY4), OY4, 0) + IF(ISNUMBER(PA4), PA4, 0), "")</f>
        <v>30</v>
      </c>
      <c r="PD4" s="3"/>
      <c r="PE4" s="7">
        <f t="shared" si="40"/>
        <v>0</v>
      </c>
      <c r="PF4" s="5">
        <v>1</v>
      </c>
      <c r="PG4" s="7">
        <f t="shared" ref="PG4:PG6" si="196">IF(ISNUMBER(PF4), PF4-PE4, "")</f>
        <v>1</v>
      </c>
      <c r="PI4" s="24">
        <v>8</v>
      </c>
      <c r="PJ4" s="6" t="s">
        <v>20</v>
      </c>
      <c r="PK4" s="24">
        <v>22</v>
      </c>
      <c r="PL4" s="6" t="s">
        <v>20</v>
      </c>
      <c r="PM4" s="5">
        <f t="shared" ref="PM4:PM6" si="197">IF(OR(ISNUMBER(PI4), ISNUMBER(PK4)), IF(ISNUMBER(PI4), PI4, 0) + IF(ISNUMBER(PK4), PK4, 0), "")</f>
        <v>30</v>
      </c>
      <c r="PN4" s="3"/>
      <c r="PO4" s="7">
        <f t="shared" si="41"/>
        <v>0</v>
      </c>
      <c r="PP4" s="5"/>
      <c r="PQ4" s="7" t="str">
        <f t="shared" ref="PQ4:PQ6" si="198">IF(ISNUMBER(PP4), PP4-PO4, "")</f>
        <v/>
      </c>
      <c r="PS4" s="2">
        <v>8</v>
      </c>
      <c r="PT4" s="6" t="s">
        <v>20</v>
      </c>
      <c r="PU4" s="2">
        <v>22</v>
      </c>
      <c r="PV4" s="6" t="s">
        <v>20</v>
      </c>
      <c r="PW4" s="5">
        <f t="shared" ref="PW4:PW7" si="199">IF(OR(ISNUMBER(PS4), ISNUMBER(PU4)), IF(ISNUMBER(PS4), PS4, 0) + IF(ISNUMBER(PU4), PU4, 0), "")</f>
        <v>30</v>
      </c>
      <c r="PX4" s="3"/>
      <c r="PY4" s="7">
        <f t="shared" si="42"/>
        <v>0</v>
      </c>
      <c r="PZ4" s="5"/>
      <c r="QA4" s="7" t="str">
        <f t="shared" ref="QA4:QA7" si="200">IF(ISNUMBER(PZ4), PZ4-PY4, "")</f>
        <v/>
      </c>
      <c r="QC4" s="24">
        <v>8</v>
      </c>
      <c r="QD4" s="6" t="s">
        <v>20</v>
      </c>
      <c r="QE4" s="24">
        <v>20</v>
      </c>
      <c r="QF4" s="6" t="s">
        <v>20</v>
      </c>
      <c r="QG4" s="5">
        <f t="shared" ref="QG4:QG7" si="201">IF(OR(ISNUMBER(QC4), ISNUMBER(QE4)), IF(ISNUMBER(QC4), QC4, 0) + IF(ISNUMBER(QE4), QE4, 0), "")</f>
        <v>28</v>
      </c>
      <c r="QH4" s="3"/>
      <c r="QI4" s="7">
        <f t="shared" si="43"/>
        <v>2</v>
      </c>
      <c r="QJ4" s="5">
        <v>2</v>
      </c>
      <c r="QK4" s="7">
        <f t="shared" ref="QK4:QK7" si="202">IF(ISNUMBER(QJ4), QJ4-QI4, "")</f>
        <v>0</v>
      </c>
      <c r="QM4" s="24">
        <v>0</v>
      </c>
      <c r="QN4" s="6" t="s">
        <v>20</v>
      </c>
      <c r="QO4" s="24">
        <v>28</v>
      </c>
      <c r="QP4" s="6" t="s">
        <v>20</v>
      </c>
      <c r="QQ4" s="5">
        <f t="shared" ref="QQ4:QQ7" si="203">IF(OR(ISNUMBER(QM4), ISNUMBER(QO4)), IF(ISNUMBER(QM4), QM4, 0) + IF(ISNUMBER(QO4), QO4, 0), "")</f>
        <v>28</v>
      </c>
      <c r="QR4" s="3"/>
      <c r="QS4" s="7">
        <f t="shared" si="44"/>
        <v>0</v>
      </c>
      <c r="QT4" s="5"/>
      <c r="QU4" s="7" t="str">
        <f t="shared" ref="QU4:QU7" si="204">IF(ISNUMBER(QT4), QT4-QS4, "")</f>
        <v/>
      </c>
      <c r="QW4" s="24">
        <v>0</v>
      </c>
      <c r="QX4" s="6" t="s">
        <v>20</v>
      </c>
      <c r="QY4" s="24">
        <v>28</v>
      </c>
      <c r="QZ4" s="6" t="s">
        <v>20</v>
      </c>
      <c r="RA4" s="5">
        <f t="shared" ref="RA4:RA7" si="205">IF(OR(ISNUMBER(QW4), ISNUMBER(QY4)), IF(ISNUMBER(QW4), QW4, 0) + IF(ISNUMBER(QY4), QY4, 0), "")</f>
        <v>28</v>
      </c>
      <c r="RB4" s="3"/>
      <c r="RC4" s="7">
        <f t="shared" si="45"/>
        <v>0</v>
      </c>
      <c r="RD4" s="5"/>
      <c r="RE4" s="7" t="str">
        <f t="shared" ref="RE4:RE7" si="206">IF(ISNUMBER(RD4), RD4-RC4, "")</f>
        <v/>
      </c>
      <c r="RG4" s="24">
        <v>0</v>
      </c>
      <c r="RH4" s="6" t="s">
        <v>20</v>
      </c>
      <c r="RI4" s="24">
        <v>28</v>
      </c>
      <c r="RJ4" s="6" t="s">
        <v>20</v>
      </c>
      <c r="RK4" s="5">
        <f t="shared" ref="RK4:RK7" si="207">IF(OR(ISNUMBER(RG4), ISNUMBER(RI4)), IF(ISNUMBER(RG4), RG4, 0) + IF(ISNUMBER(RI4), RI4, 0), "")</f>
        <v>28</v>
      </c>
      <c r="RL4" s="3"/>
      <c r="RM4" s="7">
        <f t="shared" si="46"/>
        <v>0</v>
      </c>
      <c r="RN4" s="5"/>
      <c r="RO4" s="7" t="str">
        <f t="shared" ref="RO4:RO7" si="208">IF(ISNUMBER(RN4), RN4-RM4, "")</f>
        <v/>
      </c>
      <c r="RQ4" s="24">
        <v>0</v>
      </c>
      <c r="RR4" s="6" t="s">
        <v>20</v>
      </c>
      <c r="RS4" s="24">
        <v>26</v>
      </c>
      <c r="RT4" s="6" t="s">
        <v>20</v>
      </c>
      <c r="RU4" s="5">
        <f t="shared" ref="RU4:RU7" si="209">IF(OR(ISNUMBER(RQ4), ISNUMBER(RS4)), IF(ISNUMBER(RQ4), RQ4, 0) + IF(ISNUMBER(RS4), RS4, 0), "")</f>
        <v>26</v>
      </c>
      <c r="RV4" s="3"/>
      <c r="RW4" s="7">
        <f t="shared" si="47"/>
        <v>2</v>
      </c>
      <c r="RX4" s="5">
        <v>2</v>
      </c>
      <c r="RY4" s="7">
        <f t="shared" ref="RY4:RY7" si="210">IF(ISNUMBER(RX4), RX4-RW4, "")</f>
        <v>0</v>
      </c>
      <c r="SA4" s="2">
        <v>0</v>
      </c>
      <c r="SB4" s="6" t="s">
        <v>20</v>
      </c>
      <c r="SC4" s="2">
        <v>26</v>
      </c>
      <c r="SD4" s="6" t="s">
        <v>20</v>
      </c>
      <c r="SE4" s="5">
        <f t="shared" ref="SE4:SE7" si="211">IF(OR(ISNUMBER(SA4), ISNUMBER(SC4)), IF(ISNUMBER(SA4), SA4, 0) + IF(ISNUMBER(SC4), SC4, 0), "")</f>
        <v>26</v>
      </c>
      <c r="SF4" s="3"/>
      <c r="SG4" s="7">
        <f t="shared" si="48"/>
        <v>0</v>
      </c>
      <c r="SH4" s="5"/>
      <c r="SI4" s="7" t="str">
        <f t="shared" ref="SI4:SI7" si="212">IF(ISNUMBER(SH4), SH4-SG4, "")</f>
        <v/>
      </c>
      <c r="SK4" s="24">
        <v>0</v>
      </c>
      <c r="SL4" s="6" t="s">
        <v>20</v>
      </c>
      <c r="SM4" s="24">
        <v>26</v>
      </c>
      <c r="SN4" s="6" t="s">
        <v>20</v>
      </c>
      <c r="SO4" s="5">
        <f t="shared" ref="SO4:SO7" si="213">IF(OR(ISNUMBER(SK4), ISNUMBER(SM4)), IF(ISNUMBER(SK4), SK4, 0) + IF(ISNUMBER(SM4), SM4, 0), "")</f>
        <v>26</v>
      </c>
      <c r="SP4" s="3"/>
      <c r="SQ4" s="7">
        <f t="shared" si="49"/>
        <v>0</v>
      </c>
      <c r="SR4" s="5">
        <v>1</v>
      </c>
      <c r="SS4" s="7">
        <f t="shared" ref="SS4:SS7" si="214">IF(ISNUMBER(SR4), SR4-SQ4, "")</f>
        <v>1</v>
      </c>
      <c r="SU4" s="24">
        <v>0</v>
      </c>
      <c r="SV4" s="6" t="s">
        <v>20</v>
      </c>
      <c r="SW4" s="24">
        <v>23</v>
      </c>
      <c r="SX4" s="6" t="s">
        <v>20</v>
      </c>
      <c r="SY4" s="5">
        <f t="shared" ref="SY4:SY7" si="215">IF(OR(ISNUMBER(SU4), ISNUMBER(SW4)), IF(ISNUMBER(SU4), SU4, 0) + IF(ISNUMBER(SW4), SW4, 0), "")</f>
        <v>23</v>
      </c>
      <c r="SZ4" s="3"/>
      <c r="TA4" s="7">
        <f t="shared" si="50"/>
        <v>3</v>
      </c>
      <c r="TB4" s="5">
        <v>2</v>
      </c>
      <c r="TC4" s="7">
        <f t="shared" ref="TC4:TC7" si="216">IF(ISNUMBER(TB4), TB4-TA4, "")</f>
        <v>-1</v>
      </c>
      <c r="TE4" s="24">
        <v>0</v>
      </c>
      <c r="TF4" s="6" t="s">
        <v>20</v>
      </c>
      <c r="TG4" s="24">
        <v>23</v>
      </c>
      <c r="TH4" s="6" t="s">
        <v>20</v>
      </c>
      <c r="TI4" s="5">
        <f t="shared" ref="TI4:TI7" si="217">IF(OR(ISNUMBER(TE4), ISNUMBER(TG4)), IF(ISNUMBER(TE4), TE4, 0) + IF(ISNUMBER(TG4), TG4, 0), "")</f>
        <v>23</v>
      </c>
      <c r="TJ4" s="3"/>
      <c r="TK4" s="7">
        <f t="shared" si="51"/>
        <v>0</v>
      </c>
      <c r="TL4" s="5"/>
      <c r="TM4" s="7" t="str">
        <f t="shared" ref="TM4:TM7" si="218">IF(ISNUMBER(TL4), TL4-TK4, "")</f>
        <v/>
      </c>
      <c r="TO4" s="24">
        <v>0</v>
      </c>
      <c r="TP4" s="6" t="s">
        <v>20</v>
      </c>
      <c r="TQ4" s="24">
        <v>22</v>
      </c>
      <c r="TR4" s="6" t="s">
        <v>20</v>
      </c>
      <c r="TS4" s="5">
        <f t="shared" ref="TS4:TS7" si="219">IF(OR(ISNUMBER(TO4), ISNUMBER(TQ4)), IF(ISNUMBER(TO4), TO4, 0) + IF(ISNUMBER(TQ4), TQ4, 0), "")</f>
        <v>22</v>
      </c>
      <c r="TT4" s="3"/>
      <c r="TU4" s="7">
        <f t="shared" si="52"/>
        <v>1</v>
      </c>
      <c r="TV4" s="5">
        <v>1</v>
      </c>
      <c r="TW4" s="7">
        <f t="shared" ref="TW4:TW7" si="220">IF(ISNUMBER(TV4), TV4-TU4, "")</f>
        <v>0</v>
      </c>
      <c r="TY4" s="24">
        <v>0</v>
      </c>
      <c r="TZ4" s="6" t="s">
        <v>20</v>
      </c>
      <c r="UA4" s="24">
        <v>21</v>
      </c>
      <c r="UB4" s="6" t="s">
        <v>20</v>
      </c>
      <c r="UC4" s="5">
        <f t="shared" ref="UC4:UC7" si="221">IF(OR(ISNUMBER(TY4), ISNUMBER(UA4)), IF(ISNUMBER(TY4), TY4, 0) + IF(ISNUMBER(UA4), UA4, 0), "")</f>
        <v>21</v>
      </c>
      <c r="UD4" s="3"/>
      <c r="UE4" s="7">
        <f t="shared" si="53"/>
        <v>1</v>
      </c>
      <c r="UF4" s="5">
        <v>1</v>
      </c>
      <c r="UG4" s="7">
        <f t="shared" ref="UG4:UG7" si="222">IF(ISNUMBER(UF4), UF4-UE4, "")</f>
        <v>0</v>
      </c>
      <c r="UI4" s="2">
        <v>0</v>
      </c>
      <c r="UJ4" s="6" t="s">
        <v>20</v>
      </c>
      <c r="UK4" s="2">
        <v>19</v>
      </c>
      <c r="UL4" s="6" t="s">
        <v>20</v>
      </c>
      <c r="UM4" s="5">
        <f t="shared" ref="UM4:UM7" si="223">IF(OR(ISNUMBER(UI4), ISNUMBER(UK4)), IF(ISNUMBER(UI4), UI4, 0) + IF(ISNUMBER(UK4), UK4, 0), "")</f>
        <v>19</v>
      </c>
      <c r="UN4" s="3"/>
      <c r="UO4" s="7">
        <f t="shared" si="54"/>
        <v>2</v>
      </c>
      <c r="UP4" s="5">
        <v>2</v>
      </c>
      <c r="UQ4" s="7">
        <f t="shared" ref="UQ4:UQ7" si="224">IF(ISNUMBER(UP4), UP4-UO4, "")</f>
        <v>0</v>
      </c>
      <c r="US4" s="24">
        <v>0</v>
      </c>
      <c r="UT4" s="6" t="s">
        <v>20</v>
      </c>
      <c r="UU4" s="24">
        <v>19</v>
      </c>
      <c r="UV4" s="6" t="s">
        <v>20</v>
      </c>
      <c r="UW4" s="5">
        <f t="shared" ref="UW4:UW7" si="225">IF(OR(ISNUMBER(US4), ISNUMBER(UU4)), IF(ISNUMBER(US4), US4, 0) + IF(ISNUMBER(UU4), UU4, 0), "")</f>
        <v>19</v>
      </c>
      <c r="UX4" s="3"/>
      <c r="UY4" s="7">
        <f t="shared" si="55"/>
        <v>0</v>
      </c>
      <c r="UZ4" s="5"/>
      <c r="VA4" s="7" t="str">
        <f t="shared" ref="VA4:VA7" si="226">IF(ISNUMBER(UZ4), UZ4-UY4, "")</f>
        <v/>
      </c>
      <c r="VC4" s="2">
        <v>0</v>
      </c>
      <c r="VD4" s="6" t="s">
        <v>20</v>
      </c>
      <c r="VE4" s="2">
        <v>19</v>
      </c>
      <c r="VF4" s="6" t="s">
        <v>20</v>
      </c>
      <c r="VG4" s="5">
        <f t="shared" ref="VG4:VG7" si="227">IF(OR(ISNUMBER(VC4), ISNUMBER(VE4)), IF(ISNUMBER(VC4), VC4, 0) + IF(ISNUMBER(VE4), VE4, 0), "")</f>
        <v>19</v>
      </c>
      <c r="VH4" s="3"/>
      <c r="VI4" s="7">
        <f t="shared" si="56"/>
        <v>0</v>
      </c>
      <c r="VJ4" s="5"/>
      <c r="VK4" s="7" t="str">
        <f t="shared" ref="VK4:VK7" si="228">IF(ISNUMBER(VJ4), VJ4-VI4, "")</f>
        <v/>
      </c>
      <c r="VM4" s="24">
        <v>0</v>
      </c>
      <c r="VN4" s="6" t="s">
        <v>20</v>
      </c>
      <c r="VO4" s="24">
        <v>17</v>
      </c>
      <c r="VP4" s="6" t="s">
        <v>20</v>
      </c>
      <c r="VQ4" s="5">
        <f t="shared" ref="VQ4:VQ7" si="229">IF(OR(ISNUMBER(VM4), ISNUMBER(VO4)), IF(ISNUMBER(VM4), VM4, 0) + IF(ISNUMBER(VO4), VO4, 0), "")</f>
        <v>17</v>
      </c>
      <c r="VR4" s="3"/>
      <c r="VS4" s="7">
        <f t="shared" si="57"/>
        <v>2</v>
      </c>
      <c r="VT4" s="5">
        <v>2</v>
      </c>
      <c r="VU4" s="7">
        <f t="shared" ref="VU4:VU7" si="230">IF(ISNUMBER(VT4), VT4-VS4, "")</f>
        <v>0</v>
      </c>
      <c r="VW4" s="2">
        <v>0</v>
      </c>
      <c r="VX4" s="6" t="s">
        <v>20</v>
      </c>
      <c r="VY4" s="2">
        <v>14</v>
      </c>
      <c r="VZ4" s="6" t="s">
        <v>20</v>
      </c>
      <c r="WA4" s="5">
        <f t="shared" ref="WA4:WA7" si="231">IF(OR(ISNUMBER(VW4), ISNUMBER(VY4)), IF(ISNUMBER(VW4), VW4, 0) + IF(ISNUMBER(VY4), VY4, 0), "")</f>
        <v>14</v>
      </c>
      <c r="WB4" s="3"/>
      <c r="WC4" s="7">
        <f t="shared" si="58"/>
        <v>3</v>
      </c>
      <c r="WD4" s="5">
        <v>2</v>
      </c>
      <c r="WE4" s="7">
        <f t="shared" ref="WE4:WE7" si="232">IF(ISNUMBER(WD4), WD4-WC4, "")</f>
        <v>-1</v>
      </c>
      <c r="WG4" s="2"/>
      <c r="WH4" s="6" t="s">
        <v>20</v>
      </c>
      <c r="WI4" s="2">
        <v>14</v>
      </c>
      <c r="WJ4" s="6" t="s">
        <v>20</v>
      </c>
      <c r="WK4" s="5">
        <f t="shared" ref="WK4:WK7" si="233">IF(OR(ISNUMBER(WG4), ISNUMBER(WI4)), IF(ISNUMBER(WG4), WG4, 0) + IF(ISNUMBER(WI4), WI4, 0), "")</f>
        <v>14</v>
      </c>
      <c r="WL4" s="3"/>
      <c r="WM4" s="7">
        <f t="shared" si="59"/>
        <v>0</v>
      </c>
      <c r="WN4" s="5"/>
      <c r="WO4" s="7" t="str">
        <f t="shared" ref="WO4:WO7" si="234">IF(ISNUMBER(WN4), WN4-WM4, "")</f>
        <v/>
      </c>
      <c r="WQ4" s="2">
        <v>0</v>
      </c>
      <c r="WR4" s="6" t="s">
        <v>20</v>
      </c>
      <c r="WS4" s="2">
        <v>13</v>
      </c>
      <c r="WT4" s="6" t="s">
        <v>20</v>
      </c>
      <c r="WU4" s="5">
        <f t="shared" ref="WU4:WU7" si="235">IF(OR(ISNUMBER(WQ4), ISNUMBER(WS4)), IF(ISNUMBER(WQ4), WQ4, 0) + IF(ISNUMBER(WS4), WS4, 0), "")</f>
        <v>13</v>
      </c>
      <c r="WV4" s="3"/>
      <c r="WW4" s="7">
        <f t="shared" si="60"/>
        <v>1</v>
      </c>
      <c r="WX4" s="5">
        <v>1</v>
      </c>
      <c r="WY4" s="7">
        <f t="shared" ref="WY4:WY7" si="236">IF(ISNUMBER(WX4), WX4-WW4, "")</f>
        <v>0</v>
      </c>
      <c r="XA4" s="24">
        <v>0</v>
      </c>
      <c r="XB4" s="6" t="s">
        <v>20</v>
      </c>
      <c r="XC4" s="24">
        <v>13</v>
      </c>
      <c r="XD4" s="6" t="s">
        <v>20</v>
      </c>
      <c r="XE4" s="5">
        <f t="shared" ref="XE4:XE7" si="237">IF(OR(ISNUMBER(XA4), ISNUMBER(XC4)), IF(ISNUMBER(XA4), XA4, 0) + IF(ISNUMBER(XC4), XC4, 0), "")</f>
        <v>13</v>
      </c>
      <c r="XF4" s="3"/>
      <c r="XG4" s="7">
        <f t="shared" si="61"/>
        <v>0</v>
      </c>
      <c r="XH4" s="5"/>
      <c r="XI4" s="7" t="str">
        <f t="shared" ref="XI4:XI7" si="238">IF(ISNUMBER(XH4), XH4-XG4, "")</f>
        <v/>
      </c>
      <c r="XK4" s="24"/>
      <c r="XL4" s="6" t="s">
        <v>20</v>
      </c>
      <c r="XM4" s="24">
        <v>13</v>
      </c>
      <c r="XN4" s="6" t="s">
        <v>20</v>
      </c>
      <c r="XO4" s="5">
        <f t="shared" ref="XO4:XO7" si="239">IF(OR(ISNUMBER(XK4), ISNUMBER(XM4)), IF(ISNUMBER(XK4), XK4, 0) + IF(ISNUMBER(XM4), XM4, 0), "")</f>
        <v>13</v>
      </c>
      <c r="XP4" s="3"/>
      <c r="XQ4" s="7">
        <f t="shared" si="62"/>
        <v>0</v>
      </c>
      <c r="XR4" s="5"/>
      <c r="XS4" s="7" t="str">
        <f t="shared" ref="XS4:XS7" si="240">IF(ISNUMBER(XR4), XR4-XQ4, "")</f>
        <v/>
      </c>
      <c r="XU4" s="24"/>
      <c r="XV4" s="6" t="s">
        <v>20</v>
      </c>
      <c r="XW4" s="24">
        <v>11</v>
      </c>
      <c r="XX4" s="6" t="s">
        <v>20</v>
      </c>
      <c r="XY4" s="5">
        <f t="shared" ref="XY4:XY7" si="241">IF(OR(ISNUMBER(XU4), ISNUMBER(XW4)), IF(ISNUMBER(XU4), XU4, 0) + IF(ISNUMBER(XW4), XW4, 0), "")</f>
        <v>11</v>
      </c>
      <c r="XZ4" s="3"/>
      <c r="YA4" s="7">
        <f t="shared" si="63"/>
        <v>2</v>
      </c>
      <c r="YB4" s="5">
        <v>2</v>
      </c>
      <c r="YC4" s="7">
        <f t="shared" ref="YC4:YC7" si="242">IF(ISNUMBER(YB4), YB4-YA4, "")</f>
        <v>0</v>
      </c>
      <c r="YE4" s="24"/>
      <c r="YF4" s="6" t="s">
        <v>20</v>
      </c>
      <c r="YG4" s="24">
        <v>11</v>
      </c>
      <c r="YH4" s="6" t="s">
        <v>20</v>
      </c>
      <c r="YI4" s="5">
        <f t="shared" ref="YI4:YI7" si="243">IF(OR(ISNUMBER(YE4), ISNUMBER(YG4)), IF(ISNUMBER(YE4), YE4, 0) + IF(ISNUMBER(YG4), YG4, 0), "")</f>
        <v>11</v>
      </c>
      <c r="YJ4" s="3"/>
      <c r="YK4" s="7">
        <f t="shared" si="64"/>
        <v>0</v>
      </c>
      <c r="YL4" s="5"/>
      <c r="YM4" s="7" t="str">
        <f t="shared" ref="YM4:YM7" si="244">IF(ISNUMBER(YL4), YL4-YK4, "")</f>
        <v/>
      </c>
      <c r="YO4" s="24"/>
      <c r="YP4" s="6" t="s">
        <v>20</v>
      </c>
      <c r="YQ4" s="24">
        <v>9</v>
      </c>
      <c r="YR4" s="6" t="s">
        <v>20</v>
      </c>
      <c r="YS4" s="5">
        <f t="shared" ref="YS4:YS7" si="245">IF(OR(ISNUMBER(YO4), ISNUMBER(YQ4)), IF(ISNUMBER(YO4), YO4, 0) + IF(ISNUMBER(YQ4), YQ4, 0), "")</f>
        <v>9</v>
      </c>
      <c r="YT4" s="3"/>
      <c r="YU4" s="7">
        <f t="shared" si="65"/>
        <v>2</v>
      </c>
      <c r="YV4" s="5">
        <v>0</v>
      </c>
      <c r="YW4" s="7">
        <f t="shared" ref="YW4:YW7" si="246">IF(ISNUMBER(YV4), YV4-YU4, "")</f>
        <v>-2</v>
      </c>
      <c r="YY4" s="24"/>
      <c r="YZ4" s="6" t="s">
        <v>20</v>
      </c>
      <c r="ZA4" s="24">
        <v>8</v>
      </c>
      <c r="ZB4" s="6" t="s">
        <v>20</v>
      </c>
      <c r="ZC4" s="5">
        <f t="shared" ref="ZC4:ZC7" si="247">IF(OR(ISNUMBER(YY4), ISNUMBER(ZA4)), IF(ISNUMBER(YY4), YY4, 0) + IF(ISNUMBER(ZA4), ZA4, 0), "")</f>
        <v>8</v>
      </c>
      <c r="ZD4" s="3">
        <v>1</v>
      </c>
      <c r="ZE4" s="7">
        <f t="shared" si="66"/>
        <v>1</v>
      </c>
      <c r="ZF4" s="5">
        <v>1</v>
      </c>
      <c r="ZG4" s="7">
        <f t="shared" ref="ZG4:ZG7" si="248">IF(ISNUMBER(ZF4), ZF4-ZE4, "")</f>
        <v>0</v>
      </c>
      <c r="ZI4" s="24">
        <v>24</v>
      </c>
      <c r="ZJ4" s="6" t="s">
        <v>20</v>
      </c>
      <c r="ZK4" s="24">
        <v>8</v>
      </c>
      <c r="ZL4" s="6" t="s">
        <v>20</v>
      </c>
      <c r="ZM4" s="5">
        <f t="shared" ref="ZM4:ZM7" si="249">IF(OR(ISNUMBER(ZI4), ISNUMBER(ZK4)), IF(ISNUMBER(ZI4), ZI4, 0) + IF(ISNUMBER(ZK4), ZK4, 0), "")</f>
        <v>32</v>
      </c>
      <c r="ZN4" s="3"/>
      <c r="ZO4" s="7">
        <f t="shared" si="67"/>
        <v>0</v>
      </c>
      <c r="ZP4" s="5"/>
      <c r="ZQ4" s="7" t="str">
        <f t="shared" ref="ZQ4:ZQ7" si="250">IF(ISNUMBER(ZP4), ZP4-ZO4, "")</f>
        <v/>
      </c>
      <c r="ZS4" s="24">
        <v>24</v>
      </c>
      <c r="ZT4" s="6" t="s">
        <v>20</v>
      </c>
      <c r="ZU4" s="24">
        <v>5</v>
      </c>
      <c r="ZV4" s="6" t="s">
        <v>20</v>
      </c>
      <c r="ZW4" s="5">
        <f t="shared" ref="ZW4:ZW7" si="251">IF(OR(ISNUMBER(ZS4), ISNUMBER(ZU4)), IF(ISNUMBER(ZS4), ZS4, 0) + IF(ISNUMBER(ZU4), ZU4, 0), "")</f>
        <v>29</v>
      </c>
      <c r="ZX4" s="3"/>
      <c r="ZY4" s="7">
        <f t="shared" si="68"/>
        <v>3</v>
      </c>
      <c r="ZZ4" s="5">
        <v>3</v>
      </c>
      <c r="AAA4" s="7">
        <f t="shared" ref="AAA4:AAA7" si="252">IF(ISNUMBER(ZZ4), ZZ4-ZY4, "")</f>
        <v>0</v>
      </c>
      <c r="AAC4" s="24">
        <v>20</v>
      </c>
      <c r="AAD4" s="6" t="s">
        <v>20</v>
      </c>
      <c r="AAE4" s="24">
        <v>8</v>
      </c>
      <c r="AAF4" s="6" t="s">
        <v>20</v>
      </c>
      <c r="AAG4" s="5">
        <f t="shared" ref="AAG4:AAG7" si="253">IF(OR(ISNUMBER(AAC4), ISNUMBER(AAE4)), IF(ISNUMBER(AAC4), AAC4, 0) + IF(ISNUMBER(AAE4), AAE4, 0), "")</f>
        <v>28</v>
      </c>
      <c r="AAH4" s="3"/>
      <c r="AAI4" s="7">
        <f t="shared" si="69"/>
        <v>1</v>
      </c>
      <c r="AAJ4" s="5">
        <v>1</v>
      </c>
      <c r="AAK4" s="7">
        <f t="shared" ref="AAK4:AAK7" si="254">IF(ISNUMBER(AAJ4), AAJ4-AAI4, "")</f>
        <v>0</v>
      </c>
      <c r="AAM4" s="2">
        <v>19</v>
      </c>
      <c r="AAN4" s="6" t="s">
        <v>20</v>
      </c>
      <c r="AAO4" s="2">
        <v>8</v>
      </c>
      <c r="AAP4" s="6" t="s">
        <v>20</v>
      </c>
      <c r="AAQ4" s="5">
        <f t="shared" ref="AAQ4:AAQ7" si="255">IF(OR(ISNUMBER(AAM4), ISNUMBER(AAO4)), IF(ISNUMBER(AAM4), AAM4, 0) + IF(ISNUMBER(AAO4), AAO4, 0), "")</f>
        <v>27</v>
      </c>
      <c r="AAR4" s="3"/>
      <c r="AAS4" s="7">
        <f t="shared" si="70"/>
        <v>1</v>
      </c>
      <c r="AAT4" s="5"/>
      <c r="AAU4" s="7" t="str">
        <f t="shared" ref="AAU4:AAU7" si="256">IF(ISNUMBER(AAT4), AAT4-AAS4, "")</f>
        <v/>
      </c>
      <c r="AAW4" s="2">
        <v>19</v>
      </c>
      <c r="AAX4" s="6" t="s">
        <v>20</v>
      </c>
      <c r="AAY4" s="2">
        <v>8</v>
      </c>
      <c r="AAZ4" s="6" t="s">
        <v>20</v>
      </c>
      <c r="ABA4" s="5">
        <f t="shared" ref="ABA4:ABA7" si="257">IF(OR(ISNUMBER(AAW4), ISNUMBER(AAY4)), IF(ISNUMBER(AAW4), AAW4, 0) + IF(ISNUMBER(AAY4), AAY4, 0), "")</f>
        <v>27</v>
      </c>
      <c r="ABB4" s="3"/>
      <c r="ABC4" s="7">
        <f t="shared" si="71"/>
        <v>0</v>
      </c>
      <c r="ABD4" s="5"/>
      <c r="ABE4" s="7" t="str">
        <f t="shared" ref="ABE4:ABE7" si="258">IF(ISNUMBER(ABD4), ABD4-ABC4, "")</f>
        <v/>
      </c>
      <c r="ABG4" s="24">
        <v>19</v>
      </c>
      <c r="ABH4" s="6" t="s">
        <v>20</v>
      </c>
      <c r="ABI4" s="24">
        <v>6</v>
      </c>
      <c r="ABJ4" s="6" t="s">
        <v>20</v>
      </c>
      <c r="ABK4" s="5">
        <f t="shared" ref="ABK4:ABK7" si="259">IF(OR(ISNUMBER(ABG4), ISNUMBER(ABI4)), IF(ISNUMBER(ABG4), ABG4, 0) + IF(ISNUMBER(ABI4), ABI4, 0), "")</f>
        <v>25</v>
      </c>
      <c r="ABL4" s="3"/>
      <c r="ABM4" s="7">
        <f t="shared" si="72"/>
        <v>2</v>
      </c>
      <c r="ABN4" s="5">
        <v>2</v>
      </c>
      <c r="ABO4" s="7">
        <f t="shared" ref="ABO4:ABO7" si="260">IF(ISNUMBER(ABN4), ABN4-ABM4, "")</f>
        <v>0</v>
      </c>
      <c r="ABQ4" s="2">
        <v>19</v>
      </c>
      <c r="ABR4" s="6" t="s">
        <v>20</v>
      </c>
      <c r="ABS4" s="2">
        <v>6</v>
      </c>
      <c r="ABT4" s="6" t="s">
        <v>20</v>
      </c>
      <c r="ABU4" s="5">
        <f t="shared" ref="ABU4:ABU7" si="261">IF(OR(ISNUMBER(ABQ4), ISNUMBER(ABS4)), IF(ISNUMBER(ABQ4), ABQ4, 0) + IF(ISNUMBER(ABS4), ABS4, 0), "")</f>
        <v>25</v>
      </c>
      <c r="ABV4" s="3"/>
      <c r="ABW4" s="7">
        <f t="shared" si="73"/>
        <v>0</v>
      </c>
      <c r="ABX4" s="5"/>
      <c r="ABY4" s="7" t="str">
        <f t="shared" ref="ABY4:ABY7" si="262">IF(ISNUMBER(ABX4), ABX4-ABW4, "")</f>
        <v/>
      </c>
      <c r="ACA4" s="24">
        <v>20</v>
      </c>
      <c r="ACB4" s="6" t="s">
        <v>20</v>
      </c>
      <c r="ACC4" s="24">
        <v>5</v>
      </c>
      <c r="ACD4" s="6" t="s">
        <v>20</v>
      </c>
      <c r="ACE4" s="5">
        <f t="shared" si="74"/>
        <v>25</v>
      </c>
      <c r="ACF4" s="3"/>
      <c r="ACG4" s="7">
        <f t="shared" si="75"/>
        <v>0</v>
      </c>
      <c r="ACH4" s="5"/>
      <c r="ACI4" s="7" t="str">
        <f t="shared" si="76"/>
        <v/>
      </c>
      <c r="ACK4" s="24">
        <v>20</v>
      </c>
      <c r="ACL4" s="6" t="s">
        <v>20</v>
      </c>
      <c r="ACM4" s="24">
        <v>5</v>
      </c>
      <c r="ACN4" s="6" t="s">
        <v>20</v>
      </c>
      <c r="ACO4" s="5">
        <f t="shared" ref="ACO4:ACO7" si="263">IF(OR(ISNUMBER(ACK4), ISNUMBER(ACM4)), IF(ISNUMBER(ACK4), ACK4, 0) + IF(ISNUMBER(ACM4), ACM4, 0), "")</f>
        <v>25</v>
      </c>
      <c r="ACP4" s="3"/>
      <c r="ACQ4" s="7">
        <f t="shared" si="77"/>
        <v>0</v>
      </c>
      <c r="ACR4" s="5"/>
      <c r="ACS4" s="7" t="str">
        <f t="shared" ref="ACS4:ACS7" si="264">IF(ISNUMBER(ACR4), ACR4-ACQ4, "")</f>
        <v/>
      </c>
      <c r="ACU4" s="24">
        <v>20</v>
      </c>
      <c r="ACV4" s="6" t="s">
        <v>20</v>
      </c>
      <c r="ACW4" s="24">
        <v>4</v>
      </c>
      <c r="ACX4" s="6" t="s">
        <v>20</v>
      </c>
      <c r="ACY4" s="5">
        <f t="shared" ref="ACY4:ACY7" si="265">IF(OR(ISNUMBER(ACU4), ISNUMBER(ACW4)), IF(ISNUMBER(ACU4), ACU4, 0) + IF(ISNUMBER(ACW4), ACW4, 0), "")</f>
        <v>24</v>
      </c>
      <c r="ACZ4" s="3"/>
      <c r="ADA4" s="7">
        <f t="shared" si="78"/>
        <v>1</v>
      </c>
      <c r="ADB4" s="5">
        <v>1</v>
      </c>
      <c r="ADC4" s="7">
        <f t="shared" ref="ADC4:ADC7" si="266">IF(ISNUMBER(ADB4), ADB4-ADA4, "")</f>
        <v>0</v>
      </c>
      <c r="ADE4" s="24">
        <v>20</v>
      </c>
      <c r="ADF4" s="6" t="s">
        <v>20</v>
      </c>
      <c r="ADG4" s="24">
        <v>3</v>
      </c>
      <c r="ADH4" s="6" t="s">
        <v>20</v>
      </c>
      <c r="ADI4" s="5">
        <f t="shared" ref="ADI4:ADI7" si="267">IF(OR(ISNUMBER(ADE4), ISNUMBER(ADG4)), IF(ISNUMBER(ADE4), ADE4, 0) + IF(ISNUMBER(ADG4), ADG4, 0), "")</f>
        <v>23</v>
      </c>
      <c r="ADJ4" s="3"/>
      <c r="ADK4" s="7">
        <f t="shared" si="79"/>
        <v>1</v>
      </c>
      <c r="ADL4" s="5">
        <v>1</v>
      </c>
      <c r="ADM4" s="7">
        <f t="shared" ref="ADM4:ADM7" si="268">IF(ISNUMBER(ADL4), ADL4-ADK4, "")</f>
        <v>0</v>
      </c>
      <c r="ADO4" s="24">
        <v>20</v>
      </c>
      <c r="ADP4" s="6" t="s">
        <v>20</v>
      </c>
      <c r="ADQ4" s="24">
        <v>2</v>
      </c>
      <c r="ADR4" s="6" t="s">
        <v>20</v>
      </c>
      <c r="ADS4" s="5">
        <f t="shared" ref="ADS4:ADS7" si="269">IF(OR(ISNUMBER(ADO4), ISNUMBER(ADQ4)), IF(ISNUMBER(ADO4), ADO4, 0) + IF(ISNUMBER(ADQ4), ADQ4, 0), "")</f>
        <v>22</v>
      </c>
      <c r="ADT4" s="3"/>
      <c r="ADU4" s="7">
        <f t="shared" si="80"/>
        <v>1</v>
      </c>
      <c r="ADV4" s="5">
        <v>1</v>
      </c>
      <c r="ADW4" s="7">
        <f t="shared" ref="ADW4:ADW7" si="270">IF(ISNUMBER(ADV4), ADV4-ADU4, "")</f>
        <v>0</v>
      </c>
      <c r="ADY4" s="24">
        <v>20</v>
      </c>
      <c r="ADZ4" s="6" t="s">
        <v>20</v>
      </c>
      <c r="AEA4" s="24">
        <v>2</v>
      </c>
      <c r="AEB4" s="6" t="s">
        <v>20</v>
      </c>
      <c r="AEC4" s="5">
        <f t="shared" ref="AEC4:AEC7" si="271">IF(OR(ISNUMBER(ADY4), ISNUMBER(AEA4)), IF(ISNUMBER(ADY4), ADY4, 0) + IF(ISNUMBER(AEA4), AEA4, 0), "")</f>
        <v>22</v>
      </c>
      <c r="AED4" s="3"/>
      <c r="AEE4" s="7">
        <f t="shared" si="81"/>
        <v>0</v>
      </c>
      <c r="AEF4" s="5"/>
      <c r="AEG4" s="7" t="str">
        <f t="shared" ref="AEG4:AEG7" si="272">IF(ISNUMBER(AEF4), AEF4-AEE4, "")</f>
        <v/>
      </c>
      <c r="AEI4" s="2">
        <v>12</v>
      </c>
      <c r="AEJ4" s="6" t="s">
        <v>20</v>
      </c>
      <c r="AEK4" s="2">
        <v>7</v>
      </c>
      <c r="AEL4" s="6" t="s">
        <v>20</v>
      </c>
      <c r="AEM4" s="5">
        <f t="shared" ref="AEM4:AEM7" si="273">IF(OR(ISNUMBER(AEI4), ISNUMBER(AEK4)), IF(ISNUMBER(AEI4), AEI4, 0) + IF(ISNUMBER(AEK4), AEK4, 0), "")</f>
        <v>19</v>
      </c>
      <c r="AEN4" s="3"/>
      <c r="AEO4" s="7">
        <f t="shared" si="82"/>
        <v>3</v>
      </c>
      <c r="AEP4" s="5">
        <v>2</v>
      </c>
      <c r="AEQ4" s="7">
        <f t="shared" ref="AEQ4:AEQ7" si="274">IF(ISNUMBER(AEP4), AEP4-AEO4, "")</f>
        <v>-1</v>
      </c>
      <c r="AES4" s="24">
        <v>12</v>
      </c>
      <c r="AET4" s="6" t="s">
        <v>20</v>
      </c>
      <c r="AEU4" s="24">
        <v>7</v>
      </c>
      <c r="AEV4" s="6" t="s">
        <v>20</v>
      </c>
      <c r="AEW4" s="5">
        <f t="shared" ref="AEW4:AEW7" si="275">IF(OR(ISNUMBER(AES4), ISNUMBER(AEU4)), IF(ISNUMBER(AES4), AES4, 0) + IF(ISNUMBER(AEU4), AEU4, 0), "")</f>
        <v>19</v>
      </c>
      <c r="AEX4" s="3"/>
      <c r="AEY4" s="7">
        <f t="shared" si="83"/>
        <v>0</v>
      </c>
      <c r="AEZ4" s="5"/>
      <c r="AFA4" s="7" t="str">
        <f t="shared" ref="AFA4:AFA7" si="276">IF(ISNUMBER(AEZ4), AEZ4-AEY4, "")</f>
        <v/>
      </c>
      <c r="AFC4" s="2">
        <v>12</v>
      </c>
      <c r="AFD4" s="6" t="s">
        <v>20</v>
      </c>
      <c r="AFE4" s="2">
        <v>7</v>
      </c>
      <c r="AFF4" s="6" t="s">
        <v>20</v>
      </c>
      <c r="AFG4" s="5">
        <f t="shared" ref="AFG4:AFG7" si="277">IF(OR(ISNUMBER(AFC4), ISNUMBER(AFE4)), IF(ISNUMBER(AFC4), AFC4, 0) + IF(ISNUMBER(AFE4), AFE4, 0), "")</f>
        <v>19</v>
      </c>
      <c r="AFH4" s="3"/>
      <c r="AFI4" s="7">
        <f t="shared" si="84"/>
        <v>0</v>
      </c>
      <c r="AFJ4" s="5"/>
      <c r="AFK4" s="7" t="str">
        <f t="shared" ref="AFK4:AFK7" si="278">IF(ISNUMBER(AFJ4), AFJ4-AFI4, "")</f>
        <v/>
      </c>
      <c r="AFM4" s="2">
        <v>12</v>
      </c>
      <c r="AFN4" s="6" t="s">
        <v>20</v>
      </c>
      <c r="AFO4" s="2">
        <v>7</v>
      </c>
      <c r="AFP4" s="6" t="s">
        <v>20</v>
      </c>
      <c r="AFQ4" s="5">
        <f t="shared" ref="AFQ4:AFQ7" si="279">IF(OR(ISNUMBER(AFM4), ISNUMBER(AFO4)), IF(ISNUMBER(AFM4), AFM4, 0) + IF(ISNUMBER(AFO4), AFO4, 0), "")</f>
        <v>19</v>
      </c>
      <c r="AFR4" s="3"/>
      <c r="AFS4" s="7">
        <f t="shared" si="85"/>
        <v>0</v>
      </c>
      <c r="AFT4" s="5">
        <v>1</v>
      </c>
      <c r="AFU4" s="7">
        <f t="shared" ref="AFU4:AFU7" si="280">IF(ISNUMBER(AFT4), AFT4-AFS4, "")</f>
        <v>1</v>
      </c>
      <c r="AFW4" s="24">
        <v>12</v>
      </c>
      <c r="AFX4" s="6" t="s">
        <v>20</v>
      </c>
      <c r="AFY4" s="24">
        <v>7</v>
      </c>
      <c r="AFZ4" s="6" t="s">
        <v>20</v>
      </c>
      <c r="AGA4" s="5">
        <f t="shared" ref="AGA4:AGA7" si="281">IF(OR(ISNUMBER(AFW4), ISNUMBER(AFY4)), IF(ISNUMBER(AFW4), AFW4, 0) + IF(ISNUMBER(AFY4), AFY4, 0), "")</f>
        <v>19</v>
      </c>
      <c r="AGB4" s="3"/>
      <c r="AGC4" s="7">
        <f t="shared" si="86"/>
        <v>0</v>
      </c>
      <c r="AGD4" s="5"/>
      <c r="AGE4" s="7" t="str">
        <f t="shared" ref="AGE4:AGE7" si="282">IF(ISNUMBER(AGD4), AGD4-AGC4, "")</f>
        <v/>
      </c>
      <c r="AGG4" s="24">
        <v>12</v>
      </c>
      <c r="AGH4" s="6" t="s">
        <v>20</v>
      </c>
      <c r="AGI4" s="24">
        <v>6</v>
      </c>
      <c r="AGJ4" s="6" t="s">
        <v>20</v>
      </c>
      <c r="AGK4" s="5">
        <f t="shared" ref="AGK4:AGK7" si="283">IF(OR(ISNUMBER(AGG4), ISNUMBER(AGI4)), IF(ISNUMBER(AGG4), AGG4, 0) + IF(ISNUMBER(AGI4), AGI4, 0), "")</f>
        <v>18</v>
      </c>
      <c r="AGL4" s="3"/>
      <c r="AGM4" s="7">
        <f t="shared" si="87"/>
        <v>1</v>
      </c>
      <c r="AGN4" s="5">
        <v>1</v>
      </c>
      <c r="AGO4" s="7">
        <f t="shared" ref="AGO4:AGO7" si="284">IF(ISNUMBER(AGN4), AGN4-AGM4, "")</f>
        <v>0</v>
      </c>
      <c r="AGQ4" s="24">
        <v>0</v>
      </c>
      <c r="AGR4" s="6" t="s">
        <v>20</v>
      </c>
      <c r="AGS4" s="24">
        <v>18</v>
      </c>
      <c r="AGT4" s="6" t="s">
        <v>20</v>
      </c>
      <c r="AGU4" s="5">
        <f t="shared" ref="AGU4:AGU7" si="285">IF(OR(ISNUMBER(AGQ4), ISNUMBER(AGS4)), IF(ISNUMBER(AGQ4), AGQ4, 0) + IF(ISNUMBER(AGS4), AGS4, 0), "")</f>
        <v>18</v>
      </c>
      <c r="AGV4" s="3"/>
      <c r="AGW4" s="7">
        <f t="shared" si="88"/>
        <v>0</v>
      </c>
      <c r="AGX4" s="5"/>
      <c r="AGY4" s="7" t="str">
        <f t="shared" ref="AGY4:AGY7" si="286">IF(ISNUMBER(AGX4), AGX4-AGW4, "")</f>
        <v/>
      </c>
      <c r="AHA4" s="24">
        <v>0</v>
      </c>
      <c r="AHB4" s="6" t="s">
        <v>20</v>
      </c>
      <c r="AHC4" s="24">
        <v>18</v>
      </c>
      <c r="AHD4" s="6" t="s">
        <v>20</v>
      </c>
      <c r="AHE4" s="5">
        <f t="shared" ref="AHE4:AHE7" si="287">IF(OR(ISNUMBER(AHA4), ISNUMBER(AHC4)), IF(ISNUMBER(AHA4), AHA4, 0) + IF(ISNUMBER(AHC4), AHC4, 0), "")</f>
        <v>18</v>
      </c>
      <c r="AHF4" s="3"/>
      <c r="AHG4" s="7">
        <f t="shared" si="89"/>
        <v>0</v>
      </c>
      <c r="AHH4" s="5"/>
      <c r="AHI4" s="7" t="str">
        <f t="shared" ref="AHI4:AHI7" si="288">IF(ISNUMBER(AHH4), AHH4-AHG4, "")</f>
        <v/>
      </c>
      <c r="AHK4" s="2">
        <v>0</v>
      </c>
      <c r="AHL4" s="6" t="s">
        <v>20</v>
      </c>
      <c r="AHM4" s="2">
        <v>18</v>
      </c>
      <c r="AHN4" s="6" t="s">
        <v>20</v>
      </c>
      <c r="AHO4" s="5">
        <f t="shared" ref="AHO4:AHO7" si="289">IF(OR(ISNUMBER(AHK4), ISNUMBER(AHM4)), IF(ISNUMBER(AHK4), AHK4, 0) + IF(ISNUMBER(AHM4), AHM4, 0), "")</f>
        <v>18</v>
      </c>
      <c r="AHP4" s="3"/>
      <c r="AHQ4" s="7">
        <f t="shared" si="90"/>
        <v>0</v>
      </c>
      <c r="AHR4" s="5"/>
      <c r="AHS4" s="7" t="str">
        <f t="shared" ref="AHS4:AHS7" si="290">IF(ISNUMBER(AHR4), AHR4-AHQ4, "")</f>
        <v/>
      </c>
      <c r="AHU4" s="2"/>
      <c r="AHV4" s="6" t="s">
        <v>20</v>
      </c>
      <c r="AHW4" s="2">
        <v>18</v>
      </c>
      <c r="AHX4" s="6" t="s">
        <v>20</v>
      </c>
      <c r="AHY4" s="5">
        <f t="shared" ref="AHY4:AHY7" si="291">IF(OR(ISNUMBER(AHU4), ISNUMBER(AHW4)), IF(ISNUMBER(AHU4), AHU4, 0) + IF(ISNUMBER(AHW4), AHW4, 0), "")</f>
        <v>18</v>
      </c>
      <c r="AHZ4" s="3"/>
      <c r="AIA4" s="7">
        <f t="shared" si="91"/>
        <v>0</v>
      </c>
      <c r="AIB4" s="5"/>
      <c r="AIC4" s="7" t="str">
        <f t="shared" ref="AIC4:AIC7" si="292">IF(ISNUMBER(AIB4), AIB4-AIA4, "")</f>
        <v/>
      </c>
      <c r="AIE4" s="24"/>
      <c r="AIF4" s="6" t="s">
        <v>20</v>
      </c>
      <c r="AIG4" s="24">
        <v>18</v>
      </c>
      <c r="AIH4" s="6" t="s">
        <v>20</v>
      </c>
      <c r="AII4" s="5">
        <f t="shared" ref="AII4:AII7" si="293">IF(OR(ISNUMBER(AIE4), ISNUMBER(AIG4)), IF(ISNUMBER(AIE4), AIE4, 0) + IF(ISNUMBER(AIG4), AIG4, 0), "")</f>
        <v>18</v>
      </c>
      <c r="AIJ4" s="3"/>
      <c r="AIK4" s="7">
        <f t="shared" si="92"/>
        <v>0</v>
      </c>
      <c r="AIL4" s="5"/>
      <c r="AIM4" s="7" t="str">
        <f t="shared" ref="AIM4:AIM7" si="294">IF(ISNUMBER(AIL4), AIL4-AIK4, "")</f>
        <v/>
      </c>
      <c r="AIO4" s="24"/>
      <c r="AIP4" s="6" t="s">
        <v>20</v>
      </c>
      <c r="AIQ4" s="24">
        <v>16</v>
      </c>
      <c r="AIR4" s="6" t="s">
        <v>20</v>
      </c>
      <c r="AIS4" s="5">
        <f t="shared" ref="AIS4:AIS7" si="295">IF(OR(ISNUMBER(AIO4), ISNUMBER(AIQ4)), IF(ISNUMBER(AIO4), AIO4, 0) + IF(ISNUMBER(AIQ4), AIQ4, 0), "")</f>
        <v>16</v>
      </c>
      <c r="AIT4" s="3"/>
      <c r="AIU4" s="7">
        <f t="shared" si="93"/>
        <v>2</v>
      </c>
      <c r="AIV4" s="5">
        <v>2</v>
      </c>
      <c r="AIW4" s="7">
        <f t="shared" ref="AIW4:AIW7" si="296">IF(ISNUMBER(AIV4), AIV4-AIU4, "")</f>
        <v>0</v>
      </c>
      <c r="AIY4" s="24"/>
      <c r="AIZ4" s="6" t="s">
        <v>20</v>
      </c>
      <c r="AJA4" s="24">
        <v>12</v>
      </c>
      <c r="AJB4" s="6" t="s">
        <v>20</v>
      </c>
      <c r="AJC4" s="5">
        <f t="shared" ref="AJC4:AJC7" si="297">IF(OR(ISNUMBER(AIY4), ISNUMBER(AJA4)), IF(ISNUMBER(AIY4), AIY4, 0) + IF(ISNUMBER(AJA4), AJA4, 0), "")</f>
        <v>12</v>
      </c>
      <c r="AJD4" s="3"/>
      <c r="AJE4" s="7">
        <f t="shared" si="94"/>
        <v>4</v>
      </c>
      <c r="AJF4" s="5">
        <v>4</v>
      </c>
      <c r="AJG4" s="7">
        <f t="shared" ref="AJG4:AJG7" si="298">IF(ISNUMBER(AJF4), AJF4-AJE4, "")</f>
        <v>0</v>
      </c>
      <c r="AJI4" s="2"/>
      <c r="AJJ4" s="6" t="s">
        <v>20</v>
      </c>
      <c r="AJK4" s="2">
        <v>11</v>
      </c>
      <c r="AJL4" s="6" t="s">
        <v>20</v>
      </c>
      <c r="AJM4" s="5">
        <f t="shared" ref="AJM4:AJM7" si="299">IF(OR(ISNUMBER(AJI4), ISNUMBER(AJK4)), IF(ISNUMBER(AJI4), AJI4, 0) + IF(ISNUMBER(AJK4), AJK4, 0), "")</f>
        <v>11</v>
      </c>
      <c r="AJN4" s="3"/>
      <c r="AJO4" s="7">
        <f t="shared" si="95"/>
        <v>1</v>
      </c>
      <c r="AJP4" s="5">
        <v>1</v>
      </c>
      <c r="AJQ4" s="7">
        <f t="shared" ref="AJQ4:AJQ7" si="300">IF(ISNUMBER(AJP4), AJP4-AJO4, "")</f>
        <v>0</v>
      </c>
      <c r="AJS4" s="24"/>
      <c r="AJT4" s="6" t="s">
        <v>20</v>
      </c>
      <c r="AJU4" s="24">
        <v>10</v>
      </c>
      <c r="AJV4" s="6" t="s">
        <v>20</v>
      </c>
      <c r="AJW4" s="5">
        <f t="shared" ref="AJW4:AJW7" si="301">IF(OR(ISNUMBER(AJS4), ISNUMBER(AJU4)), IF(ISNUMBER(AJS4), AJS4, 0) + IF(ISNUMBER(AJU4), AJU4, 0), "")</f>
        <v>10</v>
      </c>
      <c r="AJX4" s="3"/>
      <c r="AJY4" s="7">
        <f t="shared" si="96"/>
        <v>1</v>
      </c>
      <c r="AJZ4" s="5">
        <v>2</v>
      </c>
      <c r="AKA4" s="7">
        <f t="shared" ref="AKA4:AKA7" si="302">IF(ISNUMBER(AJZ4), AJZ4-AJY4, "")</f>
        <v>1</v>
      </c>
      <c r="AKC4" s="2"/>
      <c r="AKD4" s="6" t="s">
        <v>20</v>
      </c>
      <c r="AKE4" s="2">
        <v>8</v>
      </c>
      <c r="AKF4" s="6" t="s">
        <v>20</v>
      </c>
      <c r="AKG4" s="5">
        <f t="shared" ref="AKG4:AKG7" si="303">IF(OR(ISNUMBER(AKC4), ISNUMBER(AKE4)), IF(ISNUMBER(AKC4), AKC4, 0) + IF(ISNUMBER(AKE4), AKE4, 0), "")</f>
        <v>8</v>
      </c>
      <c r="AKH4" s="3"/>
      <c r="AKI4" s="7">
        <f t="shared" si="97"/>
        <v>2</v>
      </c>
      <c r="AKJ4" s="5">
        <v>2</v>
      </c>
      <c r="AKK4" s="7">
        <f t="shared" ref="AKK4:AKK7" si="304">IF(ISNUMBER(AKJ4), AKJ4-AKI4, "")</f>
        <v>0</v>
      </c>
      <c r="AKM4" s="24"/>
      <c r="AKN4" s="6" t="s">
        <v>20</v>
      </c>
      <c r="AKO4" s="24">
        <v>8</v>
      </c>
      <c r="AKP4" s="6" t="s">
        <v>20</v>
      </c>
      <c r="AKQ4" s="5">
        <f t="shared" ref="AKQ4:AKQ7" si="305">IF(OR(ISNUMBER(AKM4), ISNUMBER(AKO4)), IF(ISNUMBER(AKM4), AKM4, 0) + IF(ISNUMBER(AKO4), AKO4, 0), "")</f>
        <v>8</v>
      </c>
      <c r="AKR4" s="3"/>
      <c r="AKS4" s="7">
        <f t="shared" si="98"/>
        <v>0</v>
      </c>
      <c r="AKT4" s="5"/>
      <c r="AKU4" s="7" t="str">
        <f t="shared" ref="AKU4:AKU7" si="306">IF(ISNUMBER(AKT4), AKT4-AKS4, "")</f>
        <v/>
      </c>
      <c r="AKW4" s="2"/>
      <c r="AKX4" s="6" t="s">
        <v>20</v>
      </c>
      <c r="AKY4" s="2">
        <v>8</v>
      </c>
      <c r="AKZ4" s="6" t="s">
        <v>20</v>
      </c>
      <c r="ALA4" s="5">
        <f t="shared" ref="ALA4:ALA7" si="307">IF(OR(ISNUMBER(AKW4), ISNUMBER(AKY4)), IF(ISNUMBER(AKW4), AKW4, 0) + IF(ISNUMBER(AKY4), AKY4, 0), "")</f>
        <v>8</v>
      </c>
      <c r="ALB4" s="3"/>
      <c r="ALC4" s="7">
        <f t="shared" si="99"/>
        <v>0</v>
      </c>
      <c r="ALD4" s="5"/>
      <c r="ALE4" s="7" t="str">
        <f t="shared" ref="ALE4:ALE7" si="308">IF(ISNUMBER(ALD4), ALD4-ALC4, "")</f>
        <v/>
      </c>
      <c r="ALG4" s="2"/>
      <c r="ALH4" s="6" t="s">
        <v>20</v>
      </c>
      <c r="ALI4" s="2">
        <v>8</v>
      </c>
      <c r="ALJ4" s="6" t="s">
        <v>20</v>
      </c>
      <c r="ALK4" s="5">
        <f t="shared" ref="ALK4:ALK7" si="309">IF(OR(ISNUMBER(ALG4), ISNUMBER(ALI4)), IF(ISNUMBER(ALG4), ALG4, 0) + IF(ISNUMBER(ALI4), ALI4, 0), "")</f>
        <v>8</v>
      </c>
      <c r="ALL4" s="3"/>
      <c r="ALM4" s="7">
        <f t="shared" si="100"/>
        <v>0</v>
      </c>
      <c r="ALN4" s="5"/>
      <c r="ALO4" s="7" t="str">
        <f t="shared" ref="ALO4:ALO7" si="310">IF(ISNUMBER(ALN4), ALN4-ALM4, "")</f>
        <v/>
      </c>
      <c r="ALQ4" s="24"/>
      <c r="ALR4" s="6" t="s">
        <v>20</v>
      </c>
      <c r="ALS4" s="24">
        <v>7</v>
      </c>
      <c r="ALT4" s="6" t="s">
        <v>20</v>
      </c>
      <c r="ALU4" s="5">
        <f t="shared" ref="ALU4:ALU7" si="311">IF(OR(ISNUMBER(ALQ4), ISNUMBER(ALS4)), IF(ISNUMBER(ALQ4), ALQ4, 0) + IF(ISNUMBER(ALS4), ALS4, 0), "")</f>
        <v>7</v>
      </c>
      <c r="ALV4" s="3"/>
      <c r="ALW4" s="7">
        <f t="shared" si="101"/>
        <v>1</v>
      </c>
      <c r="ALX4" s="5">
        <v>1</v>
      </c>
      <c r="ALY4" s="7">
        <f t="shared" ref="ALY4:ALY7" si="312">IF(ISNUMBER(ALX4), ALX4-ALW4, "")</f>
        <v>0</v>
      </c>
      <c r="AMA4" s="24" t="s">
        <v>88</v>
      </c>
      <c r="AMB4" s="6" t="s">
        <v>20</v>
      </c>
      <c r="AMC4" s="24">
        <v>6</v>
      </c>
      <c r="AMD4" s="6" t="s">
        <v>20</v>
      </c>
      <c r="AME4" s="5">
        <f t="shared" ref="AME4:AME7" si="313">IF(OR(ISNUMBER(AMA4), ISNUMBER(AMC4)), IF(ISNUMBER(AMA4), AMA4, 0) + IF(ISNUMBER(AMC4), AMC4, 0), "")</f>
        <v>6</v>
      </c>
      <c r="AMF4" s="3"/>
      <c r="AMG4" s="7">
        <f t="shared" si="102"/>
        <v>1</v>
      </c>
      <c r="AMH4" s="5"/>
      <c r="AMI4" s="7" t="str">
        <f t="shared" ref="AMI4:AMI7" si="314">IF(ISNUMBER(AMH4), AMH4-AMG4, "")</f>
        <v/>
      </c>
      <c r="AMK4" s="24"/>
      <c r="AML4" s="6" t="s">
        <v>20</v>
      </c>
      <c r="AMM4" s="24">
        <v>4</v>
      </c>
      <c r="AMN4" s="6" t="s">
        <v>20</v>
      </c>
      <c r="AMO4" s="5">
        <f t="shared" ref="AMO4:AMO7" si="315">IF(OR(ISNUMBER(AMK4), ISNUMBER(AMM4)), IF(ISNUMBER(AMK4), AMK4, 0) + IF(ISNUMBER(AMM4), AMM4, 0), "")</f>
        <v>4</v>
      </c>
      <c r="AMP4" s="3">
        <v>1</v>
      </c>
      <c r="AMQ4" s="7">
        <f t="shared" si="103"/>
        <v>2</v>
      </c>
      <c r="AMR4" s="5">
        <v>2</v>
      </c>
      <c r="AMS4" s="7">
        <f t="shared" ref="AMS4:AMS7" si="316">IF(ISNUMBER(AMR4), AMR4-AMQ4, "")</f>
        <v>0</v>
      </c>
      <c r="AMU4" s="2">
        <v>24</v>
      </c>
      <c r="AMV4" s="6" t="s">
        <v>20</v>
      </c>
      <c r="AMW4" s="2">
        <v>4</v>
      </c>
      <c r="AMX4" s="6" t="s">
        <v>20</v>
      </c>
      <c r="AMY4" s="5">
        <f t="shared" ref="AMY4:AMY7" si="317">IF(OR(ISNUMBER(AMU4), ISNUMBER(AMW4)), IF(ISNUMBER(AMU4), AMU4, 0) + IF(ISNUMBER(AMW4), AMW4, 0), "")</f>
        <v>28</v>
      </c>
      <c r="AMZ4" s="3"/>
      <c r="ANA4" s="7">
        <f t="shared" si="104"/>
        <v>0</v>
      </c>
      <c r="ANB4" s="5"/>
      <c r="ANC4" s="7" t="str">
        <f t="shared" ref="ANC4:ANC7" si="318">IF(ISNUMBER(ANB4), ANB4-ANA4, "")</f>
        <v/>
      </c>
      <c r="ANE4" s="2">
        <v>24</v>
      </c>
      <c r="ANF4" s="6" t="s">
        <v>20</v>
      </c>
      <c r="ANG4" s="2">
        <v>4</v>
      </c>
      <c r="ANH4" s="6" t="s">
        <v>20</v>
      </c>
      <c r="ANI4" s="5">
        <f t="shared" ref="ANI4:ANI7" si="319">IF(OR(ISNUMBER(ANE4), ISNUMBER(ANG4)), IF(ISNUMBER(ANE4), ANE4, 0) + IF(ISNUMBER(ANG4), ANG4, 0), "")</f>
        <v>28</v>
      </c>
      <c r="ANJ4" s="3"/>
      <c r="ANK4" s="7">
        <f t="shared" si="105"/>
        <v>0</v>
      </c>
      <c r="ANL4" s="5"/>
      <c r="ANM4" s="7" t="str">
        <f t="shared" ref="ANM4:ANM7" si="320">IF(ISNUMBER(ANL4), ANL4-ANK4, "")</f>
        <v/>
      </c>
      <c r="ANO4" s="24">
        <v>24</v>
      </c>
      <c r="ANP4" s="6" t="s">
        <v>20</v>
      </c>
      <c r="ANQ4" s="24">
        <v>5</v>
      </c>
      <c r="ANR4" s="6" t="s">
        <v>20</v>
      </c>
      <c r="ANS4" s="5">
        <f t="shared" ref="ANS4:ANS7" si="321">IF(OR(ISNUMBER(ANO4), ISNUMBER(ANQ4)), IF(ISNUMBER(ANO4), ANO4, 0) + IF(ISNUMBER(ANQ4), ANQ4, 0), "")</f>
        <v>29</v>
      </c>
      <c r="ANT4" s="3"/>
      <c r="ANU4" s="7">
        <f t="shared" si="106"/>
        <v>-1</v>
      </c>
      <c r="ANV4" s="5">
        <v>0</v>
      </c>
      <c r="ANW4" s="7">
        <f t="shared" ref="ANW4:ANW7" si="322">IF(ISNUMBER(ANV4), ANV4-ANU4, "")</f>
        <v>1</v>
      </c>
      <c r="ANY4" s="24">
        <v>24</v>
      </c>
      <c r="ANZ4" s="6" t="s">
        <v>20</v>
      </c>
      <c r="AOA4" s="24">
        <v>5</v>
      </c>
      <c r="AOB4" s="6" t="s">
        <v>20</v>
      </c>
      <c r="AOC4" s="5">
        <f t="shared" ref="AOC4:AOC7" si="323">IF(OR(ISNUMBER(ANY4), ISNUMBER(AOA4)), IF(ISNUMBER(ANY4), ANY4, 0) + IF(ISNUMBER(AOA4), AOA4, 0), "")</f>
        <v>29</v>
      </c>
      <c r="AOD4" s="3"/>
      <c r="AOE4" s="7">
        <f t="shared" si="107"/>
        <v>0</v>
      </c>
      <c r="AOF4" s="5"/>
      <c r="AOG4" s="7" t="str">
        <f t="shared" ref="AOG4:AOG7" si="324">IF(ISNUMBER(AOF4), AOF4-AOE4, "")</f>
        <v/>
      </c>
      <c r="AOI4" s="24">
        <v>24</v>
      </c>
      <c r="AOJ4" s="6" t="s">
        <v>20</v>
      </c>
      <c r="AOK4" s="24">
        <v>5</v>
      </c>
      <c r="AOL4" s="6" t="s">
        <v>20</v>
      </c>
      <c r="AOM4" s="5">
        <f t="shared" ref="AOM4:AOM7" si="325">IF(OR(ISNUMBER(AOI4), ISNUMBER(AOK4)), IF(ISNUMBER(AOI4), AOI4, 0) + IF(ISNUMBER(AOK4), AOK4, 0), "")</f>
        <v>29</v>
      </c>
      <c r="AON4" s="3"/>
      <c r="AOO4" s="7">
        <f t="shared" si="108"/>
        <v>0</v>
      </c>
      <c r="AOP4" s="5"/>
      <c r="AOQ4" s="7" t="str">
        <f t="shared" ref="AOQ4:AOQ7" si="326">IF(ISNUMBER(AOP4), AOP4-AOO4, "")</f>
        <v/>
      </c>
      <c r="AOS4" s="24">
        <v>24</v>
      </c>
      <c r="AOT4" s="6" t="s">
        <v>20</v>
      </c>
      <c r="AOU4" s="24">
        <v>5</v>
      </c>
      <c r="AOV4" s="6" t="s">
        <v>20</v>
      </c>
      <c r="AOW4" s="5">
        <f t="shared" ref="AOW4:AOW6" si="327">IF(OR(ISNUMBER(AOS4), ISNUMBER(AOU4)), IF(ISNUMBER(AOS4), AOS4, 0) + IF(ISNUMBER(AOU4), AOU4, 0), "")</f>
        <v>29</v>
      </c>
      <c r="AOX4" s="3"/>
      <c r="AOY4" s="7">
        <f t="shared" si="109"/>
        <v>0</v>
      </c>
      <c r="AOZ4" s="5"/>
      <c r="APA4" s="7" t="str">
        <f t="shared" ref="APA4:APA7" si="328">IF(ISNUMBER(AOZ4), AOZ4-AOY4, "")</f>
        <v/>
      </c>
      <c r="APC4" s="24">
        <v>12</v>
      </c>
      <c r="APD4" s="6" t="s">
        <v>20</v>
      </c>
      <c r="APE4" s="24">
        <v>10</v>
      </c>
      <c r="APF4" s="6" t="s">
        <v>20</v>
      </c>
      <c r="APG4" s="5">
        <f t="shared" ref="APG4:APG7" si="329">IF(OR(ISNUMBER(APC4), ISNUMBER(APE4)), IF(ISNUMBER(APC4), APC4, 0) + IF(ISNUMBER(APE4), APE4, 0), "")</f>
        <v>22</v>
      </c>
      <c r="APH4" s="3"/>
      <c r="API4" s="7">
        <f t="shared" si="110"/>
        <v>7</v>
      </c>
      <c r="APJ4" s="5">
        <v>6</v>
      </c>
      <c r="APK4" s="7">
        <f t="shared" ref="APK4:APK7" si="330">IF(ISNUMBER(APJ4), APJ4-API4, "")</f>
        <v>-1</v>
      </c>
      <c r="APM4" s="24">
        <v>12</v>
      </c>
      <c r="APN4" s="6" t="s">
        <v>20</v>
      </c>
      <c r="APO4" s="24">
        <v>10</v>
      </c>
      <c r="APP4" s="6" t="s">
        <v>20</v>
      </c>
      <c r="APQ4" s="5">
        <f t="shared" ref="APQ4:APQ7" si="331">IF(OR(ISNUMBER(APM4), ISNUMBER(APO4)), IF(ISNUMBER(APM4), APM4, 0) + IF(ISNUMBER(APO4), APO4, 0), "")</f>
        <v>22</v>
      </c>
      <c r="APR4" s="3"/>
      <c r="APS4" s="7">
        <f t="shared" si="111"/>
        <v>0</v>
      </c>
      <c r="APT4" s="5"/>
      <c r="APU4" s="7" t="str">
        <f t="shared" ref="APU4:APU7" si="332">IF(ISNUMBER(APT4), APT4-APS4, "")</f>
        <v/>
      </c>
      <c r="APW4" s="2"/>
      <c r="APX4" s="6" t="s">
        <v>20</v>
      </c>
      <c r="APY4" s="2"/>
      <c r="APZ4" s="6" t="s">
        <v>20</v>
      </c>
      <c r="AQA4" s="5" t="str">
        <f t="shared" ref="AQA4:AQA7" si="333">IF(OR(ISNUMBER(APW4), ISNUMBER(APY4)), IF(ISNUMBER(APW4), APW4, 0) + IF(ISNUMBER(APY4), APY4, 0), "")</f>
        <v/>
      </c>
      <c r="AQB4" s="3"/>
      <c r="AQC4" s="7" t="str">
        <f t="shared" si="112"/>
        <v/>
      </c>
      <c r="AQD4" s="5"/>
      <c r="AQE4" s="7" t="str">
        <f t="shared" ref="AQE4:AQE7" si="334">IF(ISNUMBER(AQD4), AQD4-AQC4, "")</f>
        <v/>
      </c>
    </row>
    <row r="5" spans="1:1123" ht="12.75" customHeight="1" x14ac:dyDescent="0.2">
      <c r="A5" s="22" t="s">
        <v>22</v>
      </c>
      <c r="B5" s="13" t="s">
        <v>19</v>
      </c>
      <c r="C5" s="13">
        <v>24</v>
      </c>
      <c r="E5" s="24"/>
      <c r="F5" s="6" t="s">
        <v>20</v>
      </c>
      <c r="G5" s="24">
        <v>11</v>
      </c>
      <c r="H5" s="6" t="s">
        <v>20</v>
      </c>
      <c r="I5" s="5">
        <f t="shared" si="113"/>
        <v>11</v>
      </c>
      <c r="J5" s="3"/>
      <c r="K5" s="7"/>
      <c r="L5" s="5"/>
      <c r="M5" s="7" t="str">
        <f t="shared" si="114"/>
        <v/>
      </c>
      <c r="O5" s="24"/>
      <c r="P5" s="6" t="s">
        <v>20</v>
      </c>
      <c r="Q5" s="24">
        <v>9</v>
      </c>
      <c r="R5" s="6" t="s">
        <v>20</v>
      </c>
      <c r="S5" s="5">
        <f t="shared" si="115"/>
        <v>9</v>
      </c>
      <c r="T5" s="3"/>
      <c r="U5" s="7">
        <f t="shared" si="0"/>
        <v>2</v>
      </c>
      <c r="V5" s="5">
        <v>2</v>
      </c>
      <c r="W5" s="7">
        <f t="shared" si="116"/>
        <v>0</v>
      </c>
      <c r="Y5" s="24">
        <v>6</v>
      </c>
      <c r="Z5" s="6" t="s">
        <v>20</v>
      </c>
      <c r="AA5" s="24">
        <v>2</v>
      </c>
      <c r="AB5" s="6" t="s">
        <v>20</v>
      </c>
      <c r="AC5" s="5">
        <f t="shared" si="117"/>
        <v>8</v>
      </c>
      <c r="AD5" s="3"/>
      <c r="AE5" s="7">
        <f t="shared" si="1"/>
        <v>1</v>
      </c>
      <c r="AF5" s="5">
        <v>1</v>
      </c>
      <c r="AG5" s="7">
        <f t="shared" si="118"/>
        <v>0</v>
      </c>
      <c r="AI5" s="24">
        <v>6</v>
      </c>
      <c r="AJ5" s="6" t="s">
        <v>20</v>
      </c>
      <c r="AK5" s="24">
        <v>2</v>
      </c>
      <c r="AL5" s="6" t="s">
        <v>20</v>
      </c>
      <c r="AM5" s="5">
        <f t="shared" si="119"/>
        <v>8</v>
      </c>
      <c r="AN5" s="3">
        <v>1</v>
      </c>
      <c r="AO5" s="7">
        <f t="shared" si="2"/>
        <v>0</v>
      </c>
      <c r="AP5" s="5"/>
      <c r="AQ5" s="7" t="str">
        <f t="shared" si="120"/>
        <v/>
      </c>
      <c r="AS5" s="24">
        <v>18</v>
      </c>
      <c r="AT5" s="6" t="s">
        <v>20</v>
      </c>
      <c r="AU5" s="24">
        <v>8</v>
      </c>
      <c r="AV5" s="6" t="s">
        <v>20</v>
      </c>
      <c r="AW5" s="5">
        <f t="shared" si="121"/>
        <v>26</v>
      </c>
      <c r="AX5" s="3"/>
      <c r="AY5" s="7">
        <f t="shared" si="3"/>
        <v>6</v>
      </c>
      <c r="AZ5" s="5">
        <v>6</v>
      </c>
      <c r="BA5" s="7">
        <f t="shared" si="122"/>
        <v>0</v>
      </c>
      <c r="BC5" s="2">
        <v>18</v>
      </c>
      <c r="BD5" s="6" t="s">
        <v>20</v>
      </c>
      <c r="BE5" s="2">
        <v>8</v>
      </c>
      <c r="BF5" s="6" t="s">
        <v>20</v>
      </c>
      <c r="BG5" s="5">
        <f t="shared" si="123"/>
        <v>26</v>
      </c>
      <c r="BH5" s="3"/>
      <c r="BI5" s="7">
        <f t="shared" si="4"/>
        <v>0</v>
      </c>
      <c r="BJ5" s="5"/>
      <c r="BK5" s="7" t="str">
        <f t="shared" si="124"/>
        <v/>
      </c>
      <c r="BM5" s="2">
        <v>9</v>
      </c>
      <c r="BN5" s="6" t="s">
        <v>20</v>
      </c>
      <c r="BO5" s="2">
        <v>6</v>
      </c>
      <c r="BP5" s="6" t="s">
        <v>20</v>
      </c>
      <c r="BQ5" s="5">
        <f t="shared" si="125"/>
        <v>15</v>
      </c>
      <c r="BR5" s="3">
        <v>1</v>
      </c>
      <c r="BS5" s="7">
        <f t="shared" si="5"/>
        <v>11</v>
      </c>
      <c r="BT5" s="5">
        <v>2</v>
      </c>
      <c r="BU5" s="7">
        <f t="shared" si="126"/>
        <v>-9</v>
      </c>
      <c r="BW5" s="24">
        <v>24</v>
      </c>
      <c r="BX5" s="6" t="s">
        <v>20</v>
      </c>
      <c r="BY5" s="24">
        <v>24</v>
      </c>
      <c r="BZ5" s="6" t="s">
        <v>20</v>
      </c>
      <c r="CA5" s="5">
        <f t="shared" si="127"/>
        <v>48</v>
      </c>
      <c r="CB5" s="3"/>
      <c r="CC5" s="7">
        <f t="shared" si="6"/>
        <v>-9</v>
      </c>
      <c r="CD5" s="5"/>
      <c r="CE5" s="7" t="str">
        <f t="shared" si="128"/>
        <v/>
      </c>
      <c r="CG5" s="24">
        <v>24</v>
      </c>
      <c r="CH5" s="6" t="s">
        <v>20</v>
      </c>
      <c r="CI5" s="24">
        <v>11</v>
      </c>
      <c r="CJ5" s="6" t="s">
        <v>20</v>
      </c>
      <c r="CK5" s="5">
        <f t="shared" si="129"/>
        <v>35</v>
      </c>
      <c r="CL5" s="3"/>
      <c r="CM5" s="7">
        <f t="shared" si="7"/>
        <v>13</v>
      </c>
      <c r="CN5" s="5">
        <v>1</v>
      </c>
      <c r="CO5" s="7">
        <f t="shared" si="130"/>
        <v>-12</v>
      </c>
      <c r="CQ5" s="24">
        <v>36</v>
      </c>
      <c r="CR5" s="6" t="s">
        <v>20</v>
      </c>
      <c r="CS5" s="24">
        <v>10</v>
      </c>
      <c r="CT5" s="6" t="s">
        <v>20</v>
      </c>
      <c r="CU5" s="5">
        <f t="shared" si="131"/>
        <v>46</v>
      </c>
      <c r="CV5" s="3"/>
      <c r="CW5" s="7">
        <f t="shared" si="8"/>
        <v>-11</v>
      </c>
      <c r="CX5" s="5">
        <v>1</v>
      </c>
      <c r="CY5" s="7">
        <f t="shared" si="132"/>
        <v>12</v>
      </c>
      <c r="DA5" s="24">
        <v>36</v>
      </c>
      <c r="DB5" s="6" t="s">
        <v>20</v>
      </c>
      <c r="DC5" s="24">
        <v>9</v>
      </c>
      <c r="DD5" s="6" t="s">
        <v>20</v>
      </c>
      <c r="DE5" s="5">
        <f t="shared" si="133"/>
        <v>45</v>
      </c>
      <c r="DF5" s="3"/>
      <c r="DG5" s="7">
        <f t="shared" si="9"/>
        <v>1</v>
      </c>
      <c r="DH5" s="5">
        <v>1</v>
      </c>
      <c r="DI5" s="7">
        <f t="shared" si="134"/>
        <v>0</v>
      </c>
      <c r="DK5" s="24">
        <v>36</v>
      </c>
      <c r="DL5" s="6" t="s">
        <v>20</v>
      </c>
      <c r="DM5" s="24">
        <v>9</v>
      </c>
      <c r="DN5" s="6" t="s">
        <v>20</v>
      </c>
      <c r="DO5" s="5">
        <f t="shared" si="135"/>
        <v>45</v>
      </c>
      <c r="DP5" s="3"/>
      <c r="DQ5" s="7">
        <f t="shared" si="10"/>
        <v>0</v>
      </c>
      <c r="DR5" s="5"/>
      <c r="DS5" s="7" t="str">
        <f t="shared" si="136"/>
        <v/>
      </c>
      <c r="DU5" s="24">
        <v>30</v>
      </c>
      <c r="DV5" s="6" t="s">
        <v>20</v>
      </c>
      <c r="DW5" s="24">
        <v>9</v>
      </c>
      <c r="DX5" s="6" t="s">
        <v>20</v>
      </c>
      <c r="DY5" s="5">
        <f t="shared" si="137"/>
        <v>39</v>
      </c>
      <c r="DZ5" s="3"/>
      <c r="EA5" s="7">
        <f t="shared" si="11"/>
        <v>6</v>
      </c>
      <c r="EB5" s="5">
        <v>6</v>
      </c>
      <c r="EC5" s="7">
        <f t="shared" si="138"/>
        <v>0</v>
      </c>
      <c r="EE5" s="24">
        <v>30</v>
      </c>
      <c r="EF5" s="6" t="s">
        <v>20</v>
      </c>
      <c r="EG5" s="24">
        <v>6</v>
      </c>
      <c r="EH5" s="6" t="s">
        <v>20</v>
      </c>
      <c r="EI5" s="5">
        <f t="shared" si="139"/>
        <v>36</v>
      </c>
      <c r="EJ5" s="3"/>
      <c r="EK5" s="7">
        <f t="shared" si="12"/>
        <v>3</v>
      </c>
      <c r="EL5" s="5">
        <v>2</v>
      </c>
      <c r="EM5" s="7">
        <f t="shared" si="140"/>
        <v>-1</v>
      </c>
      <c r="EO5" s="24">
        <v>30</v>
      </c>
      <c r="EP5" s="6" t="s">
        <v>20</v>
      </c>
      <c r="EQ5" s="24">
        <v>6</v>
      </c>
      <c r="ER5" s="6" t="s">
        <v>20</v>
      </c>
      <c r="ES5" s="5">
        <f t="shared" si="141"/>
        <v>36</v>
      </c>
      <c r="ET5" s="3"/>
      <c r="EU5" s="7">
        <f t="shared" si="13"/>
        <v>0</v>
      </c>
      <c r="EV5" s="5"/>
      <c r="EW5" s="7" t="str">
        <f t="shared" si="142"/>
        <v/>
      </c>
      <c r="EY5" s="24">
        <v>24</v>
      </c>
      <c r="EZ5" s="6" t="s">
        <v>20</v>
      </c>
      <c r="FA5" s="24">
        <v>10</v>
      </c>
      <c r="FB5" s="6" t="s">
        <v>20</v>
      </c>
      <c r="FC5" s="5">
        <f t="shared" si="143"/>
        <v>34</v>
      </c>
      <c r="FD5" s="3"/>
      <c r="FE5" s="7">
        <f t="shared" si="14"/>
        <v>2</v>
      </c>
      <c r="FF5" s="5">
        <v>2</v>
      </c>
      <c r="FG5" s="7">
        <f t="shared" si="144"/>
        <v>0</v>
      </c>
      <c r="FI5" s="24">
        <v>24</v>
      </c>
      <c r="FJ5" s="6" t="s">
        <v>20</v>
      </c>
      <c r="FK5" s="24">
        <v>6</v>
      </c>
      <c r="FL5" s="6" t="s">
        <v>20</v>
      </c>
      <c r="FM5" s="5">
        <f t="shared" si="145"/>
        <v>30</v>
      </c>
      <c r="FN5" s="3"/>
      <c r="FO5" s="7">
        <f t="shared" si="15"/>
        <v>4</v>
      </c>
      <c r="FP5" s="5">
        <v>3</v>
      </c>
      <c r="FQ5" s="7">
        <f t="shared" si="146"/>
        <v>-1</v>
      </c>
      <c r="FS5" s="24">
        <v>18</v>
      </c>
      <c r="FT5" s="6" t="s">
        <v>20</v>
      </c>
      <c r="FU5" s="24">
        <v>8</v>
      </c>
      <c r="FV5" s="6" t="s">
        <v>20</v>
      </c>
      <c r="FW5" s="5">
        <f t="shared" si="147"/>
        <v>26</v>
      </c>
      <c r="FX5" s="3"/>
      <c r="FY5" s="7">
        <f t="shared" si="16"/>
        <v>4</v>
      </c>
      <c r="FZ5" s="5">
        <v>4</v>
      </c>
      <c r="GA5" s="7">
        <f t="shared" si="148"/>
        <v>0</v>
      </c>
      <c r="GC5" s="24">
        <v>18</v>
      </c>
      <c r="GD5" s="6" t="s">
        <v>20</v>
      </c>
      <c r="GE5" s="24">
        <v>7</v>
      </c>
      <c r="GF5" s="6" t="s">
        <v>20</v>
      </c>
      <c r="GG5" s="5">
        <f t="shared" si="149"/>
        <v>25</v>
      </c>
      <c r="GH5" s="3"/>
      <c r="GI5" s="7">
        <f t="shared" si="17"/>
        <v>1</v>
      </c>
      <c r="GJ5" s="5">
        <v>1</v>
      </c>
      <c r="GK5" s="7">
        <f t="shared" si="150"/>
        <v>0</v>
      </c>
      <c r="GM5" s="24">
        <v>12</v>
      </c>
      <c r="GN5" s="6" t="s">
        <v>20</v>
      </c>
      <c r="GO5" s="24">
        <v>10</v>
      </c>
      <c r="GP5" s="6" t="s">
        <v>20</v>
      </c>
      <c r="GQ5" s="5">
        <f t="shared" si="151"/>
        <v>22</v>
      </c>
      <c r="GR5" s="3"/>
      <c r="GS5" s="7">
        <f t="shared" si="18"/>
        <v>3</v>
      </c>
      <c r="GT5" s="5">
        <v>3</v>
      </c>
      <c r="GU5" s="7">
        <f t="shared" si="152"/>
        <v>0</v>
      </c>
      <c r="GW5" s="24">
        <v>12</v>
      </c>
      <c r="GX5" s="6" t="s">
        <v>20</v>
      </c>
      <c r="GY5" s="24">
        <v>10</v>
      </c>
      <c r="GZ5" s="6" t="s">
        <v>20</v>
      </c>
      <c r="HA5" s="5">
        <f t="shared" si="153"/>
        <v>22</v>
      </c>
      <c r="HB5" s="3"/>
      <c r="HC5" s="7">
        <f t="shared" si="19"/>
        <v>0</v>
      </c>
      <c r="HD5" s="5"/>
      <c r="HE5" s="7" t="str">
        <f t="shared" si="154"/>
        <v/>
      </c>
      <c r="HG5" s="24">
        <v>12</v>
      </c>
      <c r="HH5" s="6" t="s">
        <v>20</v>
      </c>
      <c r="HI5" s="24">
        <v>10</v>
      </c>
      <c r="HJ5" s="6" t="s">
        <v>20</v>
      </c>
      <c r="HK5" s="5">
        <f t="shared" si="155"/>
        <v>22</v>
      </c>
      <c r="HL5" s="3"/>
      <c r="HM5" s="7">
        <f t="shared" si="20"/>
        <v>0</v>
      </c>
      <c r="HN5" s="5"/>
      <c r="HO5" s="7" t="str">
        <f t="shared" si="156"/>
        <v/>
      </c>
      <c r="HQ5" s="24">
        <v>12</v>
      </c>
      <c r="HR5" s="6" t="s">
        <v>20</v>
      </c>
      <c r="HS5" s="24">
        <v>7</v>
      </c>
      <c r="HT5" s="6" t="s">
        <v>20</v>
      </c>
      <c r="HU5" s="5">
        <f t="shared" si="157"/>
        <v>19</v>
      </c>
      <c r="HV5" s="3"/>
      <c r="HW5" s="7">
        <f t="shared" si="21"/>
        <v>3</v>
      </c>
      <c r="HX5" s="5">
        <v>3</v>
      </c>
      <c r="HY5" s="7">
        <f t="shared" si="158"/>
        <v>0</v>
      </c>
      <c r="IA5" s="24">
        <v>12</v>
      </c>
      <c r="IB5" s="6" t="s">
        <v>20</v>
      </c>
      <c r="IC5" s="24">
        <v>6</v>
      </c>
      <c r="ID5" s="6" t="s">
        <v>20</v>
      </c>
      <c r="IE5" s="5">
        <f t="shared" si="159"/>
        <v>18</v>
      </c>
      <c r="IF5" s="3"/>
      <c r="IG5" s="7">
        <f t="shared" si="22"/>
        <v>1</v>
      </c>
      <c r="IH5" s="5">
        <v>1</v>
      </c>
      <c r="II5" s="7">
        <f t="shared" si="160"/>
        <v>0</v>
      </c>
      <c r="IK5" s="24">
        <v>12</v>
      </c>
      <c r="IL5" s="6" t="s">
        <v>20</v>
      </c>
      <c r="IM5" s="24">
        <v>6</v>
      </c>
      <c r="IN5" s="6" t="s">
        <v>20</v>
      </c>
      <c r="IO5" s="5">
        <f t="shared" si="161"/>
        <v>18</v>
      </c>
      <c r="IP5" s="3"/>
      <c r="IQ5" s="7">
        <f t="shared" si="23"/>
        <v>0</v>
      </c>
      <c r="IR5" s="5"/>
      <c r="IS5" s="7" t="str">
        <f t="shared" si="162"/>
        <v/>
      </c>
      <c r="IU5" s="24">
        <v>12</v>
      </c>
      <c r="IV5" s="6" t="s">
        <v>20</v>
      </c>
      <c r="IW5" s="24">
        <v>5</v>
      </c>
      <c r="IX5" s="6" t="s">
        <v>20</v>
      </c>
      <c r="IY5" s="5">
        <f t="shared" si="163"/>
        <v>17</v>
      </c>
      <c r="IZ5" s="3"/>
      <c r="JA5" s="7">
        <f t="shared" si="24"/>
        <v>1</v>
      </c>
      <c r="JB5" s="5">
        <v>1</v>
      </c>
      <c r="JC5" s="7">
        <f t="shared" si="164"/>
        <v>0</v>
      </c>
      <c r="JE5" s="24">
        <v>12</v>
      </c>
      <c r="JF5" s="6" t="s">
        <v>20</v>
      </c>
      <c r="JG5" s="24">
        <v>4</v>
      </c>
      <c r="JH5" s="6" t="s">
        <v>20</v>
      </c>
      <c r="JI5" s="5">
        <f t="shared" si="165"/>
        <v>16</v>
      </c>
      <c r="JJ5" s="3"/>
      <c r="JK5" s="7">
        <f t="shared" si="25"/>
        <v>1</v>
      </c>
      <c r="JL5" s="5">
        <v>1</v>
      </c>
      <c r="JM5" s="7">
        <f t="shared" si="166"/>
        <v>0</v>
      </c>
      <c r="JO5" s="24">
        <v>6</v>
      </c>
      <c r="JP5" s="6" t="s">
        <v>20</v>
      </c>
      <c r="JQ5" s="24">
        <v>7</v>
      </c>
      <c r="JR5" s="6" t="s">
        <v>20</v>
      </c>
      <c r="JS5" s="5">
        <f t="shared" si="167"/>
        <v>13</v>
      </c>
      <c r="JT5" s="3"/>
      <c r="JU5" s="7">
        <f t="shared" si="26"/>
        <v>3</v>
      </c>
      <c r="JV5" s="5">
        <v>3</v>
      </c>
      <c r="JW5" s="7">
        <f t="shared" si="168"/>
        <v>0</v>
      </c>
      <c r="JY5" s="24">
        <v>6</v>
      </c>
      <c r="JZ5" s="6" t="s">
        <v>20</v>
      </c>
      <c r="KA5" s="24">
        <v>4</v>
      </c>
      <c r="KB5" s="6" t="s">
        <v>20</v>
      </c>
      <c r="KC5" s="5">
        <f t="shared" si="169"/>
        <v>10</v>
      </c>
      <c r="KD5" s="3"/>
      <c r="KE5" s="7">
        <f t="shared" si="27"/>
        <v>3</v>
      </c>
      <c r="KF5" s="5">
        <v>3</v>
      </c>
      <c r="KG5" s="7">
        <f t="shared" si="170"/>
        <v>0</v>
      </c>
      <c r="KI5" s="24">
        <v>0</v>
      </c>
      <c r="KJ5" s="6" t="s">
        <v>20</v>
      </c>
      <c r="KK5" s="24">
        <v>5</v>
      </c>
      <c r="KL5" s="6" t="s">
        <v>20</v>
      </c>
      <c r="KM5" s="5">
        <f t="shared" si="171"/>
        <v>5</v>
      </c>
      <c r="KN5" s="3"/>
      <c r="KO5" s="7">
        <f t="shared" si="28"/>
        <v>5</v>
      </c>
      <c r="KP5" s="5">
        <v>5</v>
      </c>
      <c r="KQ5" s="7">
        <f t="shared" si="172"/>
        <v>0</v>
      </c>
      <c r="KS5" s="24">
        <v>0</v>
      </c>
      <c r="KT5" s="6" t="s">
        <v>20</v>
      </c>
      <c r="KU5" s="24">
        <v>0</v>
      </c>
      <c r="KV5" s="6" t="s">
        <v>20</v>
      </c>
      <c r="KW5" s="5">
        <f t="shared" si="173"/>
        <v>0</v>
      </c>
      <c r="KX5" s="3">
        <v>1</v>
      </c>
      <c r="KY5" s="7">
        <f t="shared" si="29"/>
        <v>5</v>
      </c>
      <c r="KZ5" s="5">
        <v>5</v>
      </c>
      <c r="LA5" s="7">
        <f t="shared" si="174"/>
        <v>0</v>
      </c>
      <c r="LC5" s="24">
        <v>12</v>
      </c>
      <c r="LD5" s="6" t="s">
        <v>20</v>
      </c>
      <c r="LE5" s="24">
        <v>9</v>
      </c>
      <c r="LF5" s="6" t="s">
        <v>20</v>
      </c>
      <c r="LG5" s="5">
        <f t="shared" si="175"/>
        <v>21</v>
      </c>
      <c r="LH5" s="3"/>
      <c r="LI5" s="7">
        <f t="shared" si="30"/>
        <v>3</v>
      </c>
      <c r="LJ5" s="5">
        <v>3</v>
      </c>
      <c r="LK5" s="7">
        <f t="shared" si="176"/>
        <v>0</v>
      </c>
      <c r="LM5" s="24">
        <v>6</v>
      </c>
      <c r="LN5" s="6" t="s">
        <v>20</v>
      </c>
      <c r="LO5" s="24">
        <v>11</v>
      </c>
      <c r="LP5" s="6" t="s">
        <v>20</v>
      </c>
      <c r="LQ5" s="5">
        <f t="shared" si="177"/>
        <v>17</v>
      </c>
      <c r="LR5" s="3"/>
      <c r="LS5" s="7">
        <f t="shared" si="31"/>
        <v>4</v>
      </c>
      <c r="LT5" s="5">
        <v>4</v>
      </c>
      <c r="LU5" s="7">
        <f t="shared" si="178"/>
        <v>0</v>
      </c>
      <c r="LW5" s="24">
        <v>0</v>
      </c>
      <c r="LX5" s="6" t="s">
        <v>20</v>
      </c>
      <c r="LY5" s="24">
        <v>17</v>
      </c>
      <c r="LZ5" s="6" t="s">
        <v>20</v>
      </c>
      <c r="MA5" s="5">
        <f t="shared" si="179"/>
        <v>17</v>
      </c>
      <c r="MB5" s="3"/>
      <c r="MC5" s="7">
        <f t="shared" si="32"/>
        <v>0</v>
      </c>
      <c r="MD5" s="5"/>
      <c r="ME5" s="7" t="str">
        <f t="shared" si="180"/>
        <v/>
      </c>
      <c r="MG5" s="24">
        <v>0</v>
      </c>
      <c r="MH5" s="6" t="s">
        <v>20</v>
      </c>
      <c r="MI5" s="24">
        <v>17</v>
      </c>
      <c r="MJ5" s="6" t="s">
        <v>20</v>
      </c>
      <c r="MK5" s="5">
        <f t="shared" si="181"/>
        <v>17</v>
      </c>
      <c r="ML5" s="3"/>
      <c r="MM5" s="7">
        <f t="shared" si="33"/>
        <v>0</v>
      </c>
      <c r="MN5" s="5"/>
      <c r="MO5" s="7" t="str">
        <f t="shared" si="182"/>
        <v/>
      </c>
      <c r="MQ5" s="2">
        <v>0</v>
      </c>
      <c r="MR5" s="6" t="s">
        <v>20</v>
      </c>
      <c r="MS5" s="2">
        <v>13</v>
      </c>
      <c r="MT5" s="6" t="s">
        <v>20</v>
      </c>
      <c r="MU5" s="5">
        <f t="shared" si="183"/>
        <v>13</v>
      </c>
      <c r="MV5" s="3"/>
      <c r="MW5" s="7">
        <f t="shared" si="34"/>
        <v>4</v>
      </c>
      <c r="MX5" s="5">
        <v>4</v>
      </c>
      <c r="MY5" s="7">
        <f t="shared" si="184"/>
        <v>0</v>
      </c>
      <c r="NA5" s="24">
        <v>0</v>
      </c>
      <c r="NB5" s="6" t="s">
        <v>20</v>
      </c>
      <c r="NC5" s="24">
        <v>10</v>
      </c>
      <c r="ND5" s="6" t="s">
        <v>20</v>
      </c>
      <c r="NE5" s="5">
        <f t="shared" si="185"/>
        <v>10</v>
      </c>
      <c r="NF5" s="3">
        <v>1</v>
      </c>
      <c r="NG5" s="7">
        <f t="shared" si="35"/>
        <v>3</v>
      </c>
      <c r="NH5" s="5">
        <v>3</v>
      </c>
      <c r="NI5" s="7">
        <f t="shared" si="186"/>
        <v>0</v>
      </c>
      <c r="NK5" s="24">
        <v>24</v>
      </c>
      <c r="NL5" s="6" t="s">
        <v>20</v>
      </c>
      <c r="NM5" s="24">
        <v>8</v>
      </c>
      <c r="NN5" s="6" t="s">
        <v>20</v>
      </c>
      <c r="NO5" s="5">
        <f t="shared" si="187"/>
        <v>32</v>
      </c>
      <c r="NP5" s="3"/>
      <c r="NQ5" s="7">
        <f t="shared" si="36"/>
        <v>2</v>
      </c>
      <c r="NR5" s="5">
        <v>2</v>
      </c>
      <c r="NS5" s="7">
        <f t="shared" si="188"/>
        <v>0</v>
      </c>
      <c r="NU5" s="24">
        <v>24</v>
      </c>
      <c r="NV5" s="6" t="s">
        <v>20</v>
      </c>
      <c r="NW5" s="24">
        <v>5</v>
      </c>
      <c r="NX5" s="6" t="s">
        <v>20</v>
      </c>
      <c r="NY5" s="5">
        <f t="shared" si="189"/>
        <v>29</v>
      </c>
      <c r="NZ5" s="3"/>
      <c r="OA5" s="7">
        <f t="shared" si="37"/>
        <v>3</v>
      </c>
      <c r="OB5" s="5">
        <v>3</v>
      </c>
      <c r="OC5" s="7">
        <f t="shared" si="190"/>
        <v>0</v>
      </c>
      <c r="OE5" s="2">
        <v>24</v>
      </c>
      <c r="OF5" s="6" t="s">
        <v>20</v>
      </c>
      <c r="OG5" s="2">
        <v>5</v>
      </c>
      <c r="OH5" s="6" t="s">
        <v>20</v>
      </c>
      <c r="OI5" s="5">
        <f t="shared" si="191"/>
        <v>29</v>
      </c>
      <c r="OJ5" s="3"/>
      <c r="OK5" s="7">
        <f t="shared" si="38"/>
        <v>0</v>
      </c>
      <c r="OL5" s="5"/>
      <c r="OM5" s="7" t="str">
        <f t="shared" si="192"/>
        <v/>
      </c>
      <c r="OO5" s="24">
        <v>24</v>
      </c>
      <c r="OP5" s="6" t="s">
        <v>20</v>
      </c>
      <c r="OQ5" s="24">
        <v>5</v>
      </c>
      <c r="OR5" s="6" t="s">
        <v>20</v>
      </c>
      <c r="OS5" s="5">
        <f t="shared" si="193"/>
        <v>29</v>
      </c>
      <c r="OT5" s="3"/>
      <c r="OU5" s="7">
        <f t="shared" si="39"/>
        <v>0</v>
      </c>
      <c r="OV5" s="5"/>
      <c r="OW5" s="7" t="str">
        <f t="shared" si="194"/>
        <v/>
      </c>
      <c r="OY5" s="24">
        <v>24</v>
      </c>
      <c r="OZ5" s="6" t="s">
        <v>20</v>
      </c>
      <c r="PA5" s="24">
        <v>3</v>
      </c>
      <c r="PB5" s="6" t="s">
        <v>20</v>
      </c>
      <c r="PC5" s="5">
        <f t="shared" si="195"/>
        <v>27</v>
      </c>
      <c r="PD5" s="3"/>
      <c r="PE5" s="7">
        <f t="shared" si="40"/>
        <v>2</v>
      </c>
      <c r="PF5" s="5">
        <v>2</v>
      </c>
      <c r="PG5" s="7">
        <f t="shared" si="196"/>
        <v>0</v>
      </c>
      <c r="PI5" s="24">
        <v>24</v>
      </c>
      <c r="PJ5" s="6" t="s">
        <v>20</v>
      </c>
      <c r="PK5" s="24">
        <v>3</v>
      </c>
      <c r="PL5" s="6" t="s">
        <v>20</v>
      </c>
      <c r="PM5" s="5">
        <f t="shared" si="197"/>
        <v>27</v>
      </c>
      <c r="PN5" s="3"/>
      <c r="PO5" s="7">
        <f t="shared" si="41"/>
        <v>0</v>
      </c>
      <c r="PP5" s="5"/>
      <c r="PQ5" s="7" t="str">
        <f t="shared" si="198"/>
        <v/>
      </c>
      <c r="PS5" s="2">
        <v>24</v>
      </c>
      <c r="PT5" s="6" t="s">
        <v>20</v>
      </c>
      <c r="PU5" s="2">
        <v>2</v>
      </c>
      <c r="PV5" s="6" t="s">
        <v>20</v>
      </c>
      <c r="PW5" s="5">
        <f t="shared" si="199"/>
        <v>26</v>
      </c>
      <c r="PX5" s="3"/>
      <c r="PY5" s="7">
        <f t="shared" si="42"/>
        <v>1</v>
      </c>
      <c r="PZ5" s="5">
        <v>1</v>
      </c>
      <c r="QA5" s="7">
        <f t="shared" si="200"/>
        <v>0</v>
      </c>
      <c r="QC5" s="24">
        <v>12</v>
      </c>
      <c r="QD5" s="6" t="s">
        <v>20</v>
      </c>
      <c r="QE5" s="24">
        <v>10</v>
      </c>
      <c r="QF5" s="6" t="s">
        <v>20</v>
      </c>
      <c r="QG5" s="5">
        <f t="shared" si="201"/>
        <v>22</v>
      </c>
      <c r="QH5" s="3"/>
      <c r="QI5" s="7">
        <f t="shared" si="43"/>
        <v>4</v>
      </c>
      <c r="QJ5" s="5">
        <v>4</v>
      </c>
      <c r="QK5" s="7">
        <f t="shared" si="202"/>
        <v>0</v>
      </c>
      <c r="QM5" s="24">
        <v>12</v>
      </c>
      <c r="QN5" s="6" t="s">
        <v>20</v>
      </c>
      <c r="QO5" s="24">
        <v>8</v>
      </c>
      <c r="QP5" s="6" t="s">
        <v>20</v>
      </c>
      <c r="QQ5" s="5">
        <f t="shared" si="203"/>
        <v>20</v>
      </c>
      <c r="QR5" s="3"/>
      <c r="QS5" s="7">
        <f t="shared" si="44"/>
        <v>2</v>
      </c>
      <c r="QT5" s="5">
        <v>2</v>
      </c>
      <c r="QU5" s="7">
        <f t="shared" si="204"/>
        <v>0</v>
      </c>
      <c r="QW5" s="24">
        <v>12</v>
      </c>
      <c r="QX5" s="6" t="s">
        <v>20</v>
      </c>
      <c r="QY5" s="24">
        <v>8</v>
      </c>
      <c r="QZ5" s="6" t="s">
        <v>20</v>
      </c>
      <c r="RA5" s="5">
        <f t="shared" si="205"/>
        <v>20</v>
      </c>
      <c r="RB5" s="3"/>
      <c r="RC5" s="7">
        <f t="shared" si="45"/>
        <v>0</v>
      </c>
      <c r="RD5" s="5"/>
      <c r="RE5" s="7" t="str">
        <f t="shared" si="206"/>
        <v/>
      </c>
      <c r="RG5" s="24">
        <v>12</v>
      </c>
      <c r="RH5" s="6" t="s">
        <v>20</v>
      </c>
      <c r="RI5" s="24">
        <v>8</v>
      </c>
      <c r="RJ5" s="6" t="s">
        <v>20</v>
      </c>
      <c r="RK5" s="5">
        <f t="shared" si="207"/>
        <v>20</v>
      </c>
      <c r="RL5" s="3"/>
      <c r="RM5" s="7">
        <f t="shared" si="46"/>
        <v>0</v>
      </c>
      <c r="RN5" s="5"/>
      <c r="RO5" s="7" t="str">
        <f t="shared" si="208"/>
        <v/>
      </c>
      <c r="RQ5" s="24">
        <v>6</v>
      </c>
      <c r="RR5" s="6" t="s">
        <v>20</v>
      </c>
      <c r="RS5" s="24">
        <v>14</v>
      </c>
      <c r="RT5" s="6" t="s">
        <v>20</v>
      </c>
      <c r="RU5" s="5">
        <f t="shared" si="209"/>
        <v>20</v>
      </c>
      <c r="RV5" s="3"/>
      <c r="RW5" s="7">
        <f t="shared" si="47"/>
        <v>0</v>
      </c>
      <c r="RX5" s="5"/>
      <c r="RY5" s="7" t="str">
        <f t="shared" si="210"/>
        <v/>
      </c>
      <c r="SA5" s="2">
        <v>6</v>
      </c>
      <c r="SB5" s="6" t="s">
        <v>20</v>
      </c>
      <c r="SC5" s="2">
        <v>14</v>
      </c>
      <c r="SD5" s="6" t="s">
        <v>20</v>
      </c>
      <c r="SE5" s="5">
        <f t="shared" si="211"/>
        <v>20</v>
      </c>
      <c r="SF5" s="3"/>
      <c r="SG5" s="7">
        <f t="shared" si="48"/>
        <v>0</v>
      </c>
      <c r="SH5" s="5"/>
      <c r="SI5" s="7" t="str">
        <f t="shared" si="212"/>
        <v/>
      </c>
      <c r="SK5" s="24">
        <v>6</v>
      </c>
      <c r="SL5" s="6" t="s">
        <v>20</v>
      </c>
      <c r="SM5" s="24">
        <v>11</v>
      </c>
      <c r="SN5" s="6" t="s">
        <v>20</v>
      </c>
      <c r="SO5" s="5">
        <f t="shared" si="213"/>
        <v>17</v>
      </c>
      <c r="SP5" s="3"/>
      <c r="SQ5" s="7">
        <f t="shared" si="49"/>
        <v>3</v>
      </c>
      <c r="SR5" s="5">
        <v>3</v>
      </c>
      <c r="SS5" s="7">
        <f t="shared" si="214"/>
        <v>0</v>
      </c>
      <c r="SU5" s="24">
        <v>6</v>
      </c>
      <c r="SV5" s="6" t="s">
        <v>20</v>
      </c>
      <c r="SW5" s="24">
        <v>11</v>
      </c>
      <c r="SX5" s="6" t="s">
        <v>20</v>
      </c>
      <c r="SY5" s="5">
        <f t="shared" si="215"/>
        <v>17</v>
      </c>
      <c r="SZ5" s="3"/>
      <c r="TA5" s="7">
        <f t="shared" si="50"/>
        <v>0</v>
      </c>
      <c r="TB5" s="5"/>
      <c r="TC5" s="7" t="str">
        <f t="shared" si="216"/>
        <v/>
      </c>
      <c r="TE5" s="24">
        <v>6</v>
      </c>
      <c r="TF5" s="6" t="s">
        <v>20</v>
      </c>
      <c r="TG5" s="24">
        <v>11</v>
      </c>
      <c r="TH5" s="6" t="s">
        <v>20</v>
      </c>
      <c r="TI5" s="5">
        <f t="shared" si="217"/>
        <v>17</v>
      </c>
      <c r="TJ5" s="3"/>
      <c r="TK5" s="7">
        <f t="shared" si="51"/>
        <v>0</v>
      </c>
      <c r="TL5" s="5"/>
      <c r="TM5" s="7" t="str">
        <f t="shared" si="218"/>
        <v/>
      </c>
      <c r="TO5" s="24">
        <v>6</v>
      </c>
      <c r="TP5" s="6" t="s">
        <v>20</v>
      </c>
      <c r="TQ5" s="24">
        <v>9</v>
      </c>
      <c r="TR5" s="6" t="s">
        <v>20</v>
      </c>
      <c r="TS5" s="5">
        <f t="shared" si="219"/>
        <v>15</v>
      </c>
      <c r="TT5" s="3"/>
      <c r="TU5" s="7">
        <f t="shared" si="52"/>
        <v>2</v>
      </c>
      <c r="TV5" s="5">
        <v>2</v>
      </c>
      <c r="TW5" s="7">
        <f t="shared" si="220"/>
        <v>0</v>
      </c>
      <c r="TY5" s="24">
        <v>0</v>
      </c>
      <c r="TZ5" s="6" t="s">
        <v>20</v>
      </c>
      <c r="UA5" s="24">
        <v>15</v>
      </c>
      <c r="UB5" s="6" t="s">
        <v>20</v>
      </c>
      <c r="UC5" s="5">
        <f t="shared" si="221"/>
        <v>15</v>
      </c>
      <c r="UD5" s="3"/>
      <c r="UE5" s="7">
        <f t="shared" si="53"/>
        <v>0</v>
      </c>
      <c r="UF5" s="5"/>
      <c r="UG5" s="7" t="str">
        <f t="shared" si="222"/>
        <v/>
      </c>
      <c r="UI5" s="2">
        <v>0</v>
      </c>
      <c r="UJ5" s="6" t="s">
        <v>20</v>
      </c>
      <c r="UK5" s="2">
        <v>15</v>
      </c>
      <c r="UL5" s="6" t="s">
        <v>20</v>
      </c>
      <c r="UM5" s="5">
        <f t="shared" si="223"/>
        <v>15</v>
      </c>
      <c r="UN5" s="3"/>
      <c r="UO5" s="7">
        <f t="shared" si="54"/>
        <v>0</v>
      </c>
      <c r="UP5" s="5"/>
      <c r="UQ5" s="7" t="str">
        <f t="shared" si="224"/>
        <v/>
      </c>
      <c r="US5" s="24">
        <v>0</v>
      </c>
      <c r="UT5" s="6" t="s">
        <v>20</v>
      </c>
      <c r="UU5" s="24">
        <v>13</v>
      </c>
      <c r="UV5" s="6" t="s">
        <v>20</v>
      </c>
      <c r="UW5" s="5">
        <f t="shared" si="225"/>
        <v>13</v>
      </c>
      <c r="UX5" s="3">
        <v>1</v>
      </c>
      <c r="UY5" s="7">
        <f t="shared" si="55"/>
        <v>2</v>
      </c>
      <c r="UZ5" s="5">
        <v>2</v>
      </c>
      <c r="VA5" s="7">
        <f t="shared" si="226"/>
        <v>0</v>
      </c>
      <c r="VC5" s="2">
        <v>24</v>
      </c>
      <c r="VD5" s="6" t="s">
        <v>20</v>
      </c>
      <c r="VE5" s="2">
        <v>13</v>
      </c>
      <c r="VF5" s="6" t="s">
        <v>20</v>
      </c>
      <c r="VG5" s="5">
        <f t="shared" si="227"/>
        <v>37</v>
      </c>
      <c r="VH5" s="3"/>
      <c r="VI5" s="7">
        <f t="shared" si="56"/>
        <v>0</v>
      </c>
      <c r="VJ5" s="5"/>
      <c r="VK5" s="7" t="str">
        <f t="shared" si="228"/>
        <v/>
      </c>
      <c r="VM5" s="24">
        <v>24</v>
      </c>
      <c r="VN5" s="6" t="s">
        <v>20</v>
      </c>
      <c r="VO5" s="24">
        <v>12</v>
      </c>
      <c r="VP5" s="6" t="s">
        <v>20</v>
      </c>
      <c r="VQ5" s="5">
        <f t="shared" si="229"/>
        <v>36</v>
      </c>
      <c r="VR5" s="3"/>
      <c r="VS5" s="7">
        <f t="shared" si="57"/>
        <v>1</v>
      </c>
      <c r="VT5" s="5">
        <v>1</v>
      </c>
      <c r="VU5" s="7">
        <f t="shared" si="230"/>
        <v>0</v>
      </c>
      <c r="VW5" s="2">
        <v>24</v>
      </c>
      <c r="VX5" s="6" t="s">
        <v>20</v>
      </c>
      <c r="VY5" s="2">
        <v>12</v>
      </c>
      <c r="VZ5" s="6" t="s">
        <v>20</v>
      </c>
      <c r="WA5" s="5">
        <f t="shared" si="231"/>
        <v>36</v>
      </c>
      <c r="WB5" s="3"/>
      <c r="WC5" s="7">
        <f t="shared" si="58"/>
        <v>0</v>
      </c>
      <c r="WD5" s="5"/>
      <c r="WE5" s="7" t="str">
        <f t="shared" si="232"/>
        <v/>
      </c>
      <c r="WG5" s="2">
        <v>24</v>
      </c>
      <c r="WH5" s="6" t="s">
        <v>20</v>
      </c>
      <c r="WI5" s="2">
        <v>12</v>
      </c>
      <c r="WJ5" s="6" t="s">
        <v>20</v>
      </c>
      <c r="WK5" s="5">
        <f t="shared" si="233"/>
        <v>36</v>
      </c>
      <c r="WL5" s="3"/>
      <c r="WM5" s="7">
        <f t="shared" si="59"/>
        <v>0</v>
      </c>
      <c r="WN5" s="5"/>
      <c r="WO5" s="7" t="str">
        <f t="shared" si="234"/>
        <v/>
      </c>
      <c r="WQ5" s="2">
        <v>24</v>
      </c>
      <c r="WR5" s="6" t="s">
        <v>20</v>
      </c>
      <c r="WS5" s="2">
        <v>9</v>
      </c>
      <c r="WT5" s="6" t="s">
        <v>20</v>
      </c>
      <c r="WU5" s="5">
        <f t="shared" si="235"/>
        <v>33</v>
      </c>
      <c r="WV5" s="3"/>
      <c r="WW5" s="7">
        <f t="shared" si="60"/>
        <v>3</v>
      </c>
      <c r="WX5" s="5">
        <v>1</v>
      </c>
      <c r="WY5" s="7">
        <f t="shared" si="236"/>
        <v>-2</v>
      </c>
      <c r="XA5" s="24">
        <v>24</v>
      </c>
      <c r="XB5" s="6" t="s">
        <v>20</v>
      </c>
      <c r="XC5" s="24">
        <v>9</v>
      </c>
      <c r="XD5" s="6" t="s">
        <v>20</v>
      </c>
      <c r="XE5" s="5">
        <f t="shared" si="237"/>
        <v>33</v>
      </c>
      <c r="XF5" s="3"/>
      <c r="XG5" s="7">
        <f t="shared" si="61"/>
        <v>0</v>
      </c>
      <c r="XH5" s="5">
        <v>1</v>
      </c>
      <c r="XI5" s="7">
        <f t="shared" si="238"/>
        <v>1</v>
      </c>
      <c r="XK5" s="24">
        <v>24</v>
      </c>
      <c r="XL5" s="6" t="s">
        <v>20</v>
      </c>
      <c r="XM5" s="24">
        <v>9</v>
      </c>
      <c r="XN5" s="6" t="s">
        <v>20</v>
      </c>
      <c r="XO5" s="5">
        <f t="shared" si="239"/>
        <v>33</v>
      </c>
      <c r="XP5" s="3"/>
      <c r="XQ5" s="7">
        <f t="shared" si="62"/>
        <v>0</v>
      </c>
      <c r="XR5" s="5"/>
      <c r="XS5" s="7" t="str">
        <f t="shared" si="240"/>
        <v/>
      </c>
      <c r="XU5" s="24">
        <v>24</v>
      </c>
      <c r="XV5" s="6" t="s">
        <v>20</v>
      </c>
      <c r="XW5" s="24">
        <v>8</v>
      </c>
      <c r="XX5" s="6" t="s">
        <v>20</v>
      </c>
      <c r="XY5" s="5">
        <f t="shared" si="241"/>
        <v>32</v>
      </c>
      <c r="XZ5" s="3"/>
      <c r="YA5" s="7">
        <f t="shared" si="63"/>
        <v>1</v>
      </c>
      <c r="YB5" s="5">
        <v>1</v>
      </c>
      <c r="YC5" s="7">
        <f t="shared" si="242"/>
        <v>0</v>
      </c>
      <c r="YE5" s="24">
        <v>24</v>
      </c>
      <c r="YF5" s="6" t="s">
        <v>20</v>
      </c>
      <c r="YG5" s="24">
        <v>8</v>
      </c>
      <c r="YH5" s="6" t="s">
        <v>20</v>
      </c>
      <c r="YI5" s="5">
        <f t="shared" si="243"/>
        <v>32</v>
      </c>
      <c r="YJ5" s="3"/>
      <c r="YK5" s="7">
        <f t="shared" si="64"/>
        <v>0</v>
      </c>
      <c r="YL5" s="5"/>
      <c r="YM5" s="7" t="str">
        <f t="shared" si="244"/>
        <v/>
      </c>
      <c r="YO5" s="24">
        <v>24</v>
      </c>
      <c r="YP5" s="6" t="s">
        <v>20</v>
      </c>
      <c r="YQ5" s="24">
        <v>7</v>
      </c>
      <c r="YR5" s="6" t="s">
        <v>20</v>
      </c>
      <c r="YS5" s="5">
        <f t="shared" si="245"/>
        <v>31</v>
      </c>
      <c r="YT5" s="3"/>
      <c r="YU5" s="7">
        <f t="shared" si="65"/>
        <v>1</v>
      </c>
      <c r="YV5" s="5">
        <v>1</v>
      </c>
      <c r="YW5" s="7">
        <f t="shared" si="246"/>
        <v>0</v>
      </c>
      <c r="YY5" s="24">
        <v>24</v>
      </c>
      <c r="YZ5" s="6" t="s">
        <v>20</v>
      </c>
      <c r="ZA5" s="24">
        <v>6</v>
      </c>
      <c r="ZB5" s="6" t="s">
        <v>20</v>
      </c>
      <c r="ZC5" s="5">
        <f t="shared" si="247"/>
        <v>30</v>
      </c>
      <c r="ZD5" s="3"/>
      <c r="ZE5" s="7">
        <f t="shared" si="66"/>
        <v>1</v>
      </c>
      <c r="ZF5" s="5">
        <v>1</v>
      </c>
      <c r="ZG5" s="7">
        <f t="shared" si="248"/>
        <v>0</v>
      </c>
      <c r="ZI5" s="24">
        <v>24</v>
      </c>
      <c r="ZJ5" s="6" t="s">
        <v>20</v>
      </c>
      <c r="ZK5" s="24">
        <v>7</v>
      </c>
      <c r="ZL5" s="6" t="s">
        <v>20</v>
      </c>
      <c r="ZM5" s="5">
        <f t="shared" si="249"/>
        <v>31</v>
      </c>
      <c r="ZN5" s="3"/>
      <c r="ZO5" s="7">
        <f t="shared" si="67"/>
        <v>-1</v>
      </c>
      <c r="ZP5" s="5">
        <v>2</v>
      </c>
      <c r="ZQ5" s="7">
        <f t="shared" si="250"/>
        <v>3</v>
      </c>
      <c r="ZS5" s="24">
        <v>24</v>
      </c>
      <c r="ZT5" s="6" t="s">
        <v>20</v>
      </c>
      <c r="ZU5" s="24">
        <v>7</v>
      </c>
      <c r="ZV5" s="6" t="s">
        <v>20</v>
      </c>
      <c r="ZW5" s="5">
        <f t="shared" si="251"/>
        <v>31</v>
      </c>
      <c r="ZX5" s="3"/>
      <c r="ZY5" s="7">
        <f t="shared" si="68"/>
        <v>0</v>
      </c>
      <c r="ZZ5" s="5"/>
      <c r="AAA5" s="7" t="str">
        <f t="shared" si="252"/>
        <v/>
      </c>
      <c r="AAC5" s="24">
        <v>18</v>
      </c>
      <c r="AAD5" s="6" t="s">
        <v>20</v>
      </c>
      <c r="AAE5" s="24">
        <v>5</v>
      </c>
      <c r="AAF5" s="6" t="s">
        <v>20</v>
      </c>
      <c r="AAG5" s="5">
        <f t="shared" si="253"/>
        <v>23</v>
      </c>
      <c r="AAH5" s="3"/>
      <c r="AAI5" s="7">
        <f t="shared" si="69"/>
        <v>8</v>
      </c>
      <c r="AAJ5" s="5">
        <v>5</v>
      </c>
      <c r="AAK5" s="7">
        <f t="shared" si="254"/>
        <v>-3</v>
      </c>
      <c r="AAM5" s="2">
        <v>18</v>
      </c>
      <c r="AAN5" s="6" t="s">
        <v>20</v>
      </c>
      <c r="AAO5" s="2">
        <v>4</v>
      </c>
      <c r="AAP5" s="6" t="s">
        <v>20</v>
      </c>
      <c r="AAQ5" s="5">
        <f t="shared" si="255"/>
        <v>22</v>
      </c>
      <c r="AAR5" s="3"/>
      <c r="AAS5" s="7">
        <f t="shared" si="70"/>
        <v>1</v>
      </c>
      <c r="AAT5" s="5">
        <v>1</v>
      </c>
      <c r="AAU5" s="7">
        <f t="shared" si="256"/>
        <v>0</v>
      </c>
      <c r="AAW5" s="2">
        <v>18</v>
      </c>
      <c r="AAX5" s="6" t="s">
        <v>20</v>
      </c>
      <c r="AAY5" s="2">
        <v>3</v>
      </c>
      <c r="AAZ5" s="6" t="s">
        <v>20</v>
      </c>
      <c r="ABA5" s="5">
        <f t="shared" si="257"/>
        <v>21</v>
      </c>
      <c r="ABB5" s="3"/>
      <c r="ABC5" s="7">
        <f t="shared" si="71"/>
        <v>1</v>
      </c>
      <c r="ABD5" s="5">
        <v>1</v>
      </c>
      <c r="ABE5" s="7">
        <f t="shared" si="258"/>
        <v>0</v>
      </c>
      <c r="ABG5" s="24">
        <v>18</v>
      </c>
      <c r="ABH5" s="6" t="s">
        <v>20</v>
      </c>
      <c r="ABI5" s="24">
        <v>2</v>
      </c>
      <c r="ABJ5" s="6" t="s">
        <v>20</v>
      </c>
      <c r="ABK5" s="5">
        <f t="shared" si="259"/>
        <v>20</v>
      </c>
      <c r="ABL5" s="3"/>
      <c r="ABM5" s="7">
        <f t="shared" si="72"/>
        <v>1</v>
      </c>
      <c r="ABN5" s="5">
        <v>1</v>
      </c>
      <c r="ABO5" s="7">
        <f t="shared" si="260"/>
        <v>0</v>
      </c>
      <c r="ABQ5" s="2">
        <v>18</v>
      </c>
      <c r="ABR5" s="6" t="s">
        <v>20</v>
      </c>
      <c r="ABS5" s="2">
        <v>2</v>
      </c>
      <c r="ABT5" s="6" t="s">
        <v>20</v>
      </c>
      <c r="ABU5" s="5">
        <f t="shared" si="261"/>
        <v>20</v>
      </c>
      <c r="ABV5" s="3"/>
      <c r="ABW5" s="7">
        <f t="shared" si="73"/>
        <v>0</v>
      </c>
      <c r="ABX5" s="5">
        <v>0</v>
      </c>
      <c r="ABY5" s="7">
        <f t="shared" si="262"/>
        <v>0</v>
      </c>
      <c r="ACA5" s="24">
        <v>18</v>
      </c>
      <c r="ACB5" s="6" t="s">
        <v>20</v>
      </c>
      <c r="ACC5" s="24">
        <v>2</v>
      </c>
      <c r="ACD5" s="6" t="s">
        <v>20</v>
      </c>
      <c r="ACE5" s="5">
        <f t="shared" si="74"/>
        <v>20</v>
      </c>
      <c r="ACF5" s="3"/>
      <c r="ACG5" s="7">
        <f t="shared" si="75"/>
        <v>0</v>
      </c>
      <c r="ACH5" s="5"/>
      <c r="ACI5" s="7" t="str">
        <f t="shared" si="76"/>
        <v/>
      </c>
      <c r="ACK5" s="24">
        <v>18</v>
      </c>
      <c r="ACL5" s="6" t="s">
        <v>20</v>
      </c>
      <c r="ACM5" s="24">
        <v>2</v>
      </c>
      <c r="ACN5" s="6" t="s">
        <v>20</v>
      </c>
      <c r="ACO5" s="5">
        <f t="shared" si="263"/>
        <v>20</v>
      </c>
      <c r="ACP5" s="3"/>
      <c r="ACQ5" s="7">
        <f t="shared" si="77"/>
        <v>0</v>
      </c>
      <c r="ACR5" s="5"/>
      <c r="ACS5" s="7" t="str">
        <f t="shared" si="264"/>
        <v/>
      </c>
      <c r="ACU5" s="24">
        <v>18</v>
      </c>
      <c r="ACV5" s="6" t="s">
        <v>20</v>
      </c>
      <c r="ACW5" s="24">
        <v>0</v>
      </c>
      <c r="ACX5" s="6" t="s">
        <v>20</v>
      </c>
      <c r="ACY5" s="5">
        <f t="shared" si="265"/>
        <v>18</v>
      </c>
      <c r="ACZ5" s="3"/>
      <c r="ADA5" s="7">
        <f t="shared" si="78"/>
        <v>2</v>
      </c>
      <c r="ADB5" s="5">
        <v>2</v>
      </c>
      <c r="ADC5" s="7">
        <f t="shared" si="266"/>
        <v>0</v>
      </c>
      <c r="ADE5" s="24">
        <v>18</v>
      </c>
      <c r="ADF5" s="6" t="s">
        <v>20</v>
      </c>
      <c r="ADG5" s="24">
        <v>0</v>
      </c>
      <c r="ADH5" s="6" t="s">
        <v>20</v>
      </c>
      <c r="ADI5" s="5">
        <f t="shared" si="267"/>
        <v>18</v>
      </c>
      <c r="ADJ5" s="3"/>
      <c r="ADK5" s="7">
        <f t="shared" si="79"/>
        <v>0</v>
      </c>
      <c r="ADL5" s="5"/>
      <c r="ADM5" s="7" t="str">
        <f t="shared" si="268"/>
        <v/>
      </c>
      <c r="ADO5" s="24">
        <v>12</v>
      </c>
      <c r="ADP5" s="6" t="s">
        <v>20</v>
      </c>
      <c r="ADQ5" s="24">
        <v>3</v>
      </c>
      <c r="ADR5" s="6" t="s">
        <v>20</v>
      </c>
      <c r="ADS5" s="5">
        <f t="shared" si="269"/>
        <v>15</v>
      </c>
      <c r="ADT5" s="3"/>
      <c r="ADU5" s="7">
        <f t="shared" si="80"/>
        <v>3</v>
      </c>
      <c r="ADV5" s="5">
        <v>3</v>
      </c>
      <c r="ADW5" s="7">
        <f t="shared" si="270"/>
        <v>0</v>
      </c>
      <c r="ADY5" s="24">
        <v>6</v>
      </c>
      <c r="ADZ5" s="6" t="s">
        <v>20</v>
      </c>
      <c r="AEA5" s="24">
        <v>9</v>
      </c>
      <c r="AEB5" s="6" t="s">
        <v>20</v>
      </c>
      <c r="AEC5" s="5">
        <f t="shared" si="271"/>
        <v>15</v>
      </c>
      <c r="AED5" s="3"/>
      <c r="AEE5" s="7">
        <f t="shared" si="81"/>
        <v>0</v>
      </c>
      <c r="AEF5" s="5"/>
      <c r="AEG5" s="7" t="str">
        <f t="shared" si="272"/>
        <v/>
      </c>
      <c r="AEI5" s="2">
        <v>6</v>
      </c>
      <c r="AEJ5" s="6" t="s">
        <v>20</v>
      </c>
      <c r="AEK5" s="2">
        <v>9</v>
      </c>
      <c r="AEL5" s="6" t="s">
        <v>20</v>
      </c>
      <c r="AEM5" s="5">
        <f t="shared" si="273"/>
        <v>15</v>
      </c>
      <c r="AEN5" s="3"/>
      <c r="AEO5" s="7">
        <f t="shared" si="82"/>
        <v>0</v>
      </c>
      <c r="AEP5" s="5"/>
      <c r="AEQ5" s="7" t="str">
        <f t="shared" si="274"/>
        <v/>
      </c>
      <c r="AES5" s="24">
        <v>6</v>
      </c>
      <c r="AET5" s="6" t="s">
        <v>20</v>
      </c>
      <c r="AEU5" s="24">
        <v>8</v>
      </c>
      <c r="AEV5" s="6" t="s">
        <v>20</v>
      </c>
      <c r="AEW5" s="5">
        <f t="shared" si="275"/>
        <v>14</v>
      </c>
      <c r="AEX5" s="3"/>
      <c r="AEY5" s="7">
        <f t="shared" si="83"/>
        <v>1</v>
      </c>
      <c r="AEZ5" s="5">
        <v>1</v>
      </c>
      <c r="AFA5" s="7">
        <f t="shared" si="276"/>
        <v>0</v>
      </c>
      <c r="AFC5" s="2">
        <v>6</v>
      </c>
      <c r="AFD5" s="6" t="s">
        <v>20</v>
      </c>
      <c r="AFE5" s="2">
        <v>5</v>
      </c>
      <c r="AFF5" s="6" t="s">
        <v>20</v>
      </c>
      <c r="AFG5" s="5">
        <f t="shared" si="277"/>
        <v>11</v>
      </c>
      <c r="AFH5" s="3"/>
      <c r="AFI5" s="7">
        <f t="shared" si="84"/>
        <v>3</v>
      </c>
      <c r="AFJ5" s="5">
        <v>3</v>
      </c>
      <c r="AFK5" s="7">
        <f t="shared" si="278"/>
        <v>0</v>
      </c>
      <c r="AFM5" s="2">
        <v>6</v>
      </c>
      <c r="AFN5" s="6" t="s">
        <v>20</v>
      </c>
      <c r="AFO5" s="2">
        <v>5</v>
      </c>
      <c r="AFP5" s="6" t="s">
        <v>20</v>
      </c>
      <c r="AFQ5" s="5">
        <f t="shared" si="279"/>
        <v>11</v>
      </c>
      <c r="AFR5" s="3">
        <v>1</v>
      </c>
      <c r="AFS5" s="7">
        <f t="shared" si="85"/>
        <v>0</v>
      </c>
      <c r="AFT5" s="5"/>
      <c r="AFU5" s="7" t="str">
        <f t="shared" si="280"/>
        <v/>
      </c>
      <c r="AFW5" s="24">
        <v>24</v>
      </c>
      <c r="AFX5" s="6" t="s">
        <v>20</v>
      </c>
      <c r="AFY5" s="24">
        <v>10</v>
      </c>
      <c r="AFZ5" s="6" t="s">
        <v>20</v>
      </c>
      <c r="AGA5" s="5">
        <f t="shared" si="281"/>
        <v>34</v>
      </c>
      <c r="AGB5" s="3"/>
      <c r="AGC5" s="7">
        <f t="shared" si="86"/>
        <v>1</v>
      </c>
      <c r="AGD5" s="5">
        <v>1</v>
      </c>
      <c r="AGE5" s="7">
        <f t="shared" si="282"/>
        <v>0</v>
      </c>
      <c r="AGG5" s="24">
        <v>24</v>
      </c>
      <c r="AGH5" s="6" t="s">
        <v>20</v>
      </c>
      <c r="AGI5" s="24">
        <v>10</v>
      </c>
      <c r="AGJ5" s="6" t="s">
        <v>20</v>
      </c>
      <c r="AGK5" s="5">
        <f t="shared" si="283"/>
        <v>34</v>
      </c>
      <c r="AGL5" s="3"/>
      <c r="AGM5" s="7">
        <f t="shared" si="87"/>
        <v>0</v>
      </c>
      <c r="AGN5" s="5"/>
      <c r="AGO5" s="7" t="str">
        <f t="shared" si="284"/>
        <v/>
      </c>
      <c r="AGQ5" s="24">
        <v>24</v>
      </c>
      <c r="AGR5" s="6" t="s">
        <v>20</v>
      </c>
      <c r="AGS5" s="24">
        <v>9</v>
      </c>
      <c r="AGT5" s="6" t="s">
        <v>20</v>
      </c>
      <c r="AGU5" s="5">
        <f t="shared" si="285"/>
        <v>33</v>
      </c>
      <c r="AGV5" s="3"/>
      <c r="AGW5" s="7">
        <f t="shared" si="88"/>
        <v>1</v>
      </c>
      <c r="AGX5" s="5">
        <v>1</v>
      </c>
      <c r="AGY5" s="7">
        <f t="shared" si="286"/>
        <v>0</v>
      </c>
      <c r="AHA5" s="24">
        <v>24</v>
      </c>
      <c r="AHB5" s="6" t="s">
        <v>20</v>
      </c>
      <c r="AHC5" s="24">
        <v>5</v>
      </c>
      <c r="AHD5" s="6" t="s">
        <v>20</v>
      </c>
      <c r="AHE5" s="5">
        <f t="shared" si="287"/>
        <v>29</v>
      </c>
      <c r="AHF5" s="3"/>
      <c r="AHG5" s="7">
        <f t="shared" si="89"/>
        <v>4</v>
      </c>
      <c r="AHH5" s="5">
        <v>4</v>
      </c>
      <c r="AHI5" s="7">
        <f t="shared" si="288"/>
        <v>0</v>
      </c>
      <c r="AHK5" s="2">
        <v>0</v>
      </c>
      <c r="AHL5" s="6" t="s">
        <v>20</v>
      </c>
      <c r="AHM5" s="2">
        <v>27</v>
      </c>
      <c r="AHN5" s="6" t="s">
        <v>20</v>
      </c>
      <c r="AHO5" s="5">
        <f t="shared" si="289"/>
        <v>27</v>
      </c>
      <c r="AHP5" s="3"/>
      <c r="AHQ5" s="7">
        <f t="shared" si="90"/>
        <v>2</v>
      </c>
      <c r="AHR5" s="5">
        <v>2</v>
      </c>
      <c r="AHS5" s="7">
        <f t="shared" si="290"/>
        <v>0</v>
      </c>
      <c r="AHU5" s="2"/>
      <c r="AHV5" s="6" t="s">
        <v>20</v>
      </c>
      <c r="AHW5" s="2">
        <v>26</v>
      </c>
      <c r="AHX5" s="6" t="s">
        <v>20</v>
      </c>
      <c r="AHY5" s="5">
        <f t="shared" si="291"/>
        <v>26</v>
      </c>
      <c r="AHZ5" s="3"/>
      <c r="AIA5" s="7">
        <f t="shared" si="91"/>
        <v>1</v>
      </c>
      <c r="AIB5" s="5">
        <v>1</v>
      </c>
      <c r="AIC5" s="7">
        <f t="shared" si="292"/>
        <v>0</v>
      </c>
      <c r="AIE5" s="24"/>
      <c r="AIF5" s="6" t="s">
        <v>20</v>
      </c>
      <c r="AIG5" s="24">
        <v>24</v>
      </c>
      <c r="AIH5" s="6" t="s">
        <v>20</v>
      </c>
      <c r="AII5" s="5">
        <f t="shared" si="293"/>
        <v>24</v>
      </c>
      <c r="AIJ5" s="3"/>
      <c r="AIK5" s="7">
        <f t="shared" si="92"/>
        <v>2</v>
      </c>
      <c r="AIL5" s="5">
        <v>2</v>
      </c>
      <c r="AIM5" s="7">
        <f t="shared" si="294"/>
        <v>0</v>
      </c>
      <c r="AIO5" s="24"/>
      <c r="AIP5" s="6" t="s">
        <v>20</v>
      </c>
      <c r="AIQ5" s="24">
        <v>22</v>
      </c>
      <c r="AIR5" s="6" t="s">
        <v>20</v>
      </c>
      <c r="AIS5" s="5">
        <f t="shared" si="295"/>
        <v>22</v>
      </c>
      <c r="AIT5" s="3"/>
      <c r="AIU5" s="7">
        <f t="shared" si="93"/>
        <v>2</v>
      </c>
      <c r="AIV5" s="5">
        <v>2</v>
      </c>
      <c r="AIW5" s="7">
        <f t="shared" si="296"/>
        <v>0</v>
      </c>
      <c r="AIY5" s="24"/>
      <c r="AIZ5" s="6" t="s">
        <v>20</v>
      </c>
      <c r="AJA5" s="24">
        <v>22</v>
      </c>
      <c r="AJB5" s="6" t="s">
        <v>20</v>
      </c>
      <c r="AJC5" s="5">
        <f t="shared" si="297"/>
        <v>22</v>
      </c>
      <c r="AJD5" s="3"/>
      <c r="AJE5" s="7">
        <f t="shared" si="94"/>
        <v>0</v>
      </c>
      <c r="AJF5" s="5"/>
      <c r="AJG5" s="7" t="str">
        <f t="shared" si="298"/>
        <v/>
      </c>
      <c r="AJI5" s="2"/>
      <c r="AJJ5" s="6" t="s">
        <v>20</v>
      </c>
      <c r="AJK5" s="2">
        <v>20</v>
      </c>
      <c r="AJL5" s="6" t="s">
        <v>20</v>
      </c>
      <c r="AJM5" s="5">
        <f t="shared" si="299"/>
        <v>20</v>
      </c>
      <c r="AJN5" s="3"/>
      <c r="AJO5" s="7">
        <f t="shared" si="95"/>
        <v>2</v>
      </c>
      <c r="AJP5" s="5">
        <v>2</v>
      </c>
      <c r="AJQ5" s="7">
        <f t="shared" si="300"/>
        <v>0</v>
      </c>
      <c r="AJS5" s="24"/>
      <c r="AJT5" s="6" t="s">
        <v>20</v>
      </c>
      <c r="AJU5" s="24">
        <v>17</v>
      </c>
      <c r="AJV5" s="6" t="s">
        <v>20</v>
      </c>
      <c r="AJW5" s="5">
        <f t="shared" si="301"/>
        <v>17</v>
      </c>
      <c r="AJX5" s="3"/>
      <c r="AJY5" s="7">
        <f t="shared" si="96"/>
        <v>3</v>
      </c>
      <c r="AJZ5" s="5">
        <v>3</v>
      </c>
      <c r="AKA5" s="7">
        <f t="shared" si="302"/>
        <v>0</v>
      </c>
      <c r="AKC5" s="2"/>
      <c r="AKD5" s="6" t="s">
        <v>20</v>
      </c>
      <c r="AKE5" s="2">
        <v>15</v>
      </c>
      <c r="AKF5" s="6" t="s">
        <v>20</v>
      </c>
      <c r="AKG5" s="5">
        <f t="shared" si="303"/>
        <v>15</v>
      </c>
      <c r="AKH5" s="3"/>
      <c r="AKI5" s="7">
        <f t="shared" si="97"/>
        <v>2</v>
      </c>
      <c r="AKJ5" s="5">
        <v>2</v>
      </c>
      <c r="AKK5" s="7">
        <f t="shared" si="304"/>
        <v>0</v>
      </c>
      <c r="AKM5" s="24"/>
      <c r="AKN5" s="6" t="s">
        <v>20</v>
      </c>
      <c r="AKO5" s="24">
        <v>15</v>
      </c>
      <c r="AKP5" s="6" t="s">
        <v>20</v>
      </c>
      <c r="AKQ5" s="5">
        <f t="shared" si="305"/>
        <v>15</v>
      </c>
      <c r="AKR5" s="3"/>
      <c r="AKS5" s="7">
        <f t="shared" si="98"/>
        <v>0</v>
      </c>
      <c r="AKT5" s="5"/>
      <c r="AKU5" s="7" t="str">
        <f t="shared" si="306"/>
        <v/>
      </c>
      <c r="AKW5" s="2"/>
      <c r="AKX5" s="6" t="s">
        <v>20</v>
      </c>
      <c r="AKY5" s="2">
        <v>15</v>
      </c>
      <c r="AKZ5" s="6" t="s">
        <v>20</v>
      </c>
      <c r="ALA5" s="5">
        <f t="shared" si="307"/>
        <v>15</v>
      </c>
      <c r="ALB5" s="3"/>
      <c r="ALC5" s="7">
        <f t="shared" si="99"/>
        <v>0</v>
      </c>
      <c r="ALD5" s="5"/>
      <c r="ALE5" s="7" t="str">
        <f t="shared" si="308"/>
        <v/>
      </c>
      <c r="ALG5" s="2"/>
      <c r="ALH5" s="6" t="s">
        <v>20</v>
      </c>
      <c r="ALI5" s="2">
        <v>15</v>
      </c>
      <c r="ALJ5" s="6" t="s">
        <v>20</v>
      </c>
      <c r="ALK5" s="5">
        <f t="shared" si="309"/>
        <v>15</v>
      </c>
      <c r="ALL5" s="3"/>
      <c r="ALM5" s="7">
        <f t="shared" si="100"/>
        <v>0</v>
      </c>
      <c r="ALN5" s="5"/>
      <c r="ALO5" s="7" t="str">
        <f t="shared" si="310"/>
        <v/>
      </c>
      <c r="ALQ5" s="24"/>
      <c r="ALR5" s="6" t="s">
        <v>20</v>
      </c>
      <c r="ALS5" s="24">
        <v>15</v>
      </c>
      <c r="ALT5" s="6" t="s">
        <v>20</v>
      </c>
      <c r="ALU5" s="5">
        <f t="shared" si="311"/>
        <v>15</v>
      </c>
      <c r="ALV5" s="3"/>
      <c r="ALW5" s="7">
        <f t="shared" si="101"/>
        <v>0</v>
      </c>
      <c r="ALX5" s="5"/>
      <c r="ALY5" s="7" t="str">
        <f t="shared" si="312"/>
        <v/>
      </c>
      <c r="AMA5" s="24" t="s">
        <v>88</v>
      </c>
      <c r="AMB5" s="6" t="s">
        <v>20</v>
      </c>
      <c r="AMC5" s="24">
        <v>14</v>
      </c>
      <c r="AMD5" s="6" t="s">
        <v>20</v>
      </c>
      <c r="AME5" s="5">
        <f t="shared" si="313"/>
        <v>14</v>
      </c>
      <c r="AMF5" s="3"/>
      <c r="AMG5" s="7">
        <f t="shared" si="102"/>
        <v>1</v>
      </c>
      <c r="AMH5" s="5">
        <v>1</v>
      </c>
      <c r="AMI5" s="7">
        <f t="shared" si="314"/>
        <v>0</v>
      </c>
      <c r="AMK5" s="24"/>
      <c r="AML5" s="6" t="s">
        <v>20</v>
      </c>
      <c r="AMM5" s="24">
        <v>14</v>
      </c>
      <c r="AMN5" s="6" t="s">
        <v>20</v>
      </c>
      <c r="AMO5" s="5">
        <f t="shared" si="315"/>
        <v>14</v>
      </c>
      <c r="AMP5" s="3"/>
      <c r="AMQ5" s="7">
        <f t="shared" si="103"/>
        <v>0</v>
      </c>
      <c r="AMR5" s="5"/>
      <c r="AMS5" s="7" t="str">
        <f t="shared" si="316"/>
        <v/>
      </c>
      <c r="AMU5" s="2"/>
      <c r="AMV5" s="6" t="s">
        <v>20</v>
      </c>
      <c r="AMW5" s="2">
        <v>13</v>
      </c>
      <c r="AMX5" s="6" t="s">
        <v>20</v>
      </c>
      <c r="AMY5" s="5">
        <f t="shared" si="317"/>
        <v>13</v>
      </c>
      <c r="AMZ5" s="3"/>
      <c r="ANA5" s="7">
        <f t="shared" si="104"/>
        <v>1</v>
      </c>
      <c r="ANB5" s="5">
        <v>1</v>
      </c>
      <c r="ANC5" s="7">
        <f t="shared" si="318"/>
        <v>0</v>
      </c>
      <c r="ANE5" s="2"/>
      <c r="ANF5" s="6" t="s">
        <v>20</v>
      </c>
      <c r="ANG5" s="2">
        <v>13</v>
      </c>
      <c r="ANH5" s="6" t="s">
        <v>20</v>
      </c>
      <c r="ANI5" s="5">
        <f t="shared" si="319"/>
        <v>13</v>
      </c>
      <c r="ANJ5" s="3"/>
      <c r="ANK5" s="7">
        <f t="shared" si="105"/>
        <v>0</v>
      </c>
      <c r="ANL5" s="5"/>
      <c r="ANM5" s="7" t="str">
        <f t="shared" si="320"/>
        <v/>
      </c>
      <c r="ANO5" s="24"/>
      <c r="ANP5" s="6" t="s">
        <v>20</v>
      </c>
      <c r="ANQ5" s="24">
        <v>13</v>
      </c>
      <c r="ANR5" s="6" t="s">
        <v>20</v>
      </c>
      <c r="ANS5" s="5">
        <f t="shared" si="321"/>
        <v>13</v>
      </c>
      <c r="ANT5" s="3"/>
      <c r="ANU5" s="7">
        <f t="shared" si="106"/>
        <v>0</v>
      </c>
      <c r="ANV5" s="5"/>
      <c r="ANW5" s="7" t="str">
        <f t="shared" si="322"/>
        <v/>
      </c>
      <c r="ANY5" s="24"/>
      <c r="ANZ5" s="6" t="s">
        <v>20</v>
      </c>
      <c r="AOA5" s="24">
        <v>12</v>
      </c>
      <c r="AOB5" s="6" t="s">
        <v>20</v>
      </c>
      <c r="AOC5" s="5">
        <f t="shared" si="323"/>
        <v>12</v>
      </c>
      <c r="AOD5" s="3"/>
      <c r="AOE5" s="7">
        <f t="shared" si="107"/>
        <v>1</v>
      </c>
      <c r="AOF5" s="5">
        <v>1</v>
      </c>
      <c r="AOG5" s="7">
        <f t="shared" si="324"/>
        <v>0</v>
      </c>
      <c r="AOI5" s="24"/>
      <c r="AOJ5" s="6" t="s">
        <v>20</v>
      </c>
      <c r="AOK5" s="24">
        <v>12</v>
      </c>
      <c r="AOL5" s="6" t="s">
        <v>20</v>
      </c>
      <c r="AOM5" s="5">
        <f t="shared" si="325"/>
        <v>12</v>
      </c>
      <c r="AON5" s="3"/>
      <c r="AOO5" s="7">
        <f t="shared" si="108"/>
        <v>0</v>
      </c>
      <c r="AOP5" s="5"/>
      <c r="AOQ5" s="7" t="str">
        <f t="shared" si="326"/>
        <v/>
      </c>
      <c r="AOS5" s="24"/>
      <c r="AOT5" s="6" t="s">
        <v>20</v>
      </c>
      <c r="AOU5" s="24">
        <v>8</v>
      </c>
      <c r="AOV5" s="6" t="s">
        <v>20</v>
      </c>
      <c r="AOW5" s="5">
        <f t="shared" si="327"/>
        <v>8</v>
      </c>
      <c r="AOX5" s="3"/>
      <c r="AOY5" s="7">
        <f t="shared" si="109"/>
        <v>4</v>
      </c>
      <c r="AOZ5" s="5">
        <v>4</v>
      </c>
      <c r="APA5" s="7">
        <f t="shared" si="328"/>
        <v>0</v>
      </c>
      <c r="APC5" s="24"/>
      <c r="APD5" s="6" t="s">
        <v>20</v>
      </c>
      <c r="APE5" s="24">
        <v>6</v>
      </c>
      <c r="APF5" s="6" t="s">
        <v>20</v>
      </c>
      <c r="APG5" s="5">
        <f t="shared" si="329"/>
        <v>6</v>
      </c>
      <c r="APH5" s="3"/>
      <c r="API5" s="7">
        <f t="shared" si="110"/>
        <v>2</v>
      </c>
      <c r="APJ5" s="5">
        <v>2</v>
      </c>
      <c r="APK5" s="7">
        <f t="shared" si="330"/>
        <v>0</v>
      </c>
      <c r="APM5" s="24"/>
      <c r="APN5" s="6" t="s">
        <v>20</v>
      </c>
      <c r="APO5" s="24">
        <v>6</v>
      </c>
      <c r="APP5" s="6" t="s">
        <v>20</v>
      </c>
      <c r="APQ5" s="5">
        <f t="shared" si="331"/>
        <v>6</v>
      </c>
      <c r="APR5" s="3"/>
      <c r="APS5" s="7">
        <f t="shared" si="111"/>
        <v>0</v>
      </c>
      <c r="APT5" s="5"/>
      <c r="APU5" s="7" t="str">
        <f t="shared" si="332"/>
        <v/>
      </c>
      <c r="APW5" s="2"/>
      <c r="APX5" s="6" t="s">
        <v>20</v>
      </c>
      <c r="APY5" s="2"/>
      <c r="APZ5" s="6" t="s">
        <v>20</v>
      </c>
      <c r="AQA5" s="5" t="str">
        <f t="shared" si="333"/>
        <v/>
      </c>
      <c r="AQB5" s="3"/>
      <c r="AQC5" s="7" t="str">
        <f t="shared" si="112"/>
        <v/>
      </c>
      <c r="AQD5" s="5"/>
      <c r="AQE5" s="7" t="str">
        <f t="shared" si="334"/>
        <v/>
      </c>
    </row>
    <row r="6" spans="1:1123" ht="12.75" customHeight="1" x14ac:dyDescent="0.2">
      <c r="A6" s="22" t="s">
        <v>23</v>
      </c>
      <c r="B6" s="13" t="s">
        <v>19</v>
      </c>
      <c r="C6" s="13">
        <v>6</v>
      </c>
      <c r="E6" s="24"/>
      <c r="F6" s="6" t="s">
        <v>20</v>
      </c>
      <c r="G6" s="24">
        <v>11</v>
      </c>
      <c r="H6" s="6" t="s">
        <v>20</v>
      </c>
      <c r="I6" s="5">
        <f t="shared" si="113"/>
        <v>11</v>
      </c>
      <c r="J6" s="3"/>
      <c r="K6" s="7"/>
      <c r="L6" s="5"/>
      <c r="M6" s="7" t="str">
        <f t="shared" si="114"/>
        <v/>
      </c>
      <c r="O6" s="24"/>
      <c r="P6" s="6" t="s">
        <v>20</v>
      </c>
      <c r="Q6" s="24">
        <v>7</v>
      </c>
      <c r="R6" s="6" t="s">
        <v>20</v>
      </c>
      <c r="S6" s="5">
        <f t="shared" si="115"/>
        <v>7</v>
      </c>
      <c r="T6" s="3"/>
      <c r="U6" s="7">
        <f t="shared" si="0"/>
        <v>4</v>
      </c>
      <c r="V6" s="5">
        <v>4</v>
      </c>
      <c r="W6" s="7">
        <f t="shared" si="116"/>
        <v>0</v>
      </c>
      <c r="Y6" s="24"/>
      <c r="Z6" s="6" t="s">
        <v>20</v>
      </c>
      <c r="AA6" s="24">
        <v>7</v>
      </c>
      <c r="AB6" s="6" t="s">
        <v>20</v>
      </c>
      <c r="AC6" s="5">
        <f t="shared" si="117"/>
        <v>7</v>
      </c>
      <c r="AD6" s="3"/>
      <c r="AE6" s="7">
        <f t="shared" si="1"/>
        <v>0</v>
      </c>
      <c r="AF6" s="5"/>
      <c r="AG6" s="7" t="str">
        <f t="shared" si="118"/>
        <v/>
      </c>
      <c r="AI6" s="24">
        <v>0</v>
      </c>
      <c r="AJ6" s="6" t="s">
        <v>20</v>
      </c>
      <c r="AK6" s="24">
        <v>4</v>
      </c>
      <c r="AL6" s="6" t="s">
        <v>20</v>
      </c>
      <c r="AM6" s="5">
        <f t="shared" si="119"/>
        <v>4</v>
      </c>
      <c r="AN6" s="3">
        <v>1</v>
      </c>
      <c r="AO6" s="7">
        <f t="shared" si="2"/>
        <v>3</v>
      </c>
      <c r="AP6" s="5">
        <v>3</v>
      </c>
      <c r="AQ6" s="7">
        <f t="shared" si="120"/>
        <v>0</v>
      </c>
      <c r="AS6" s="24">
        <v>12</v>
      </c>
      <c r="AT6" s="6" t="s">
        <v>20</v>
      </c>
      <c r="AU6" s="24">
        <v>10</v>
      </c>
      <c r="AV6" s="6" t="s">
        <v>20</v>
      </c>
      <c r="AW6" s="5">
        <f t="shared" si="121"/>
        <v>22</v>
      </c>
      <c r="AX6" s="3"/>
      <c r="AY6" s="7">
        <f t="shared" si="3"/>
        <v>6</v>
      </c>
      <c r="AZ6" s="5">
        <v>2</v>
      </c>
      <c r="BA6" s="7">
        <f t="shared" si="122"/>
        <v>-4</v>
      </c>
      <c r="BC6" s="2">
        <v>12</v>
      </c>
      <c r="BD6" s="6" t="s">
        <v>20</v>
      </c>
      <c r="BE6" s="2">
        <v>7</v>
      </c>
      <c r="BF6" s="6" t="s">
        <v>20</v>
      </c>
      <c r="BG6" s="5">
        <f t="shared" si="123"/>
        <v>19</v>
      </c>
      <c r="BH6" s="3"/>
      <c r="BI6" s="7">
        <f t="shared" si="4"/>
        <v>3</v>
      </c>
      <c r="BJ6" s="5">
        <v>3</v>
      </c>
      <c r="BK6" s="7">
        <f t="shared" si="124"/>
        <v>0</v>
      </c>
      <c r="BM6" s="2">
        <v>12</v>
      </c>
      <c r="BN6" s="6" t="s">
        <v>20</v>
      </c>
      <c r="BO6" s="2">
        <v>6</v>
      </c>
      <c r="BP6" s="6" t="s">
        <v>20</v>
      </c>
      <c r="BQ6" s="5">
        <f t="shared" si="125"/>
        <v>18</v>
      </c>
      <c r="BR6" s="3"/>
      <c r="BS6" s="7"/>
      <c r="BT6" s="5"/>
      <c r="BU6" s="7" t="str">
        <f t="shared" si="126"/>
        <v/>
      </c>
      <c r="BW6" s="24">
        <v>12</v>
      </c>
      <c r="BX6" s="6" t="s">
        <v>20</v>
      </c>
      <c r="BY6" s="24">
        <v>5</v>
      </c>
      <c r="BZ6" s="6" t="s">
        <v>20</v>
      </c>
      <c r="CA6" s="5">
        <f t="shared" si="127"/>
        <v>17</v>
      </c>
      <c r="CB6" s="3"/>
      <c r="CC6" s="7">
        <f t="shared" si="6"/>
        <v>1</v>
      </c>
      <c r="CD6" s="5">
        <v>2</v>
      </c>
      <c r="CE6" s="7">
        <f t="shared" si="128"/>
        <v>1</v>
      </c>
      <c r="CG6" s="24">
        <v>8</v>
      </c>
      <c r="CH6" s="6" t="s">
        <v>20</v>
      </c>
      <c r="CI6" s="24">
        <v>9</v>
      </c>
      <c r="CJ6" s="6" t="s">
        <v>20</v>
      </c>
      <c r="CK6" s="5">
        <f t="shared" si="129"/>
        <v>17</v>
      </c>
      <c r="CL6" s="3"/>
      <c r="CM6" s="7">
        <f t="shared" si="7"/>
        <v>0</v>
      </c>
      <c r="CN6" s="5"/>
      <c r="CO6" s="7" t="str">
        <f t="shared" si="130"/>
        <v/>
      </c>
      <c r="CQ6" s="24">
        <v>6</v>
      </c>
      <c r="CR6" s="6" t="s">
        <v>20</v>
      </c>
      <c r="CS6" s="24">
        <v>7</v>
      </c>
      <c r="CT6" s="6" t="s">
        <v>20</v>
      </c>
      <c r="CU6" s="5">
        <f t="shared" si="131"/>
        <v>13</v>
      </c>
      <c r="CV6" s="3"/>
      <c r="CW6" s="7">
        <f t="shared" si="8"/>
        <v>4</v>
      </c>
      <c r="CX6" s="5">
        <v>2</v>
      </c>
      <c r="CY6" s="7">
        <f t="shared" si="132"/>
        <v>-2</v>
      </c>
      <c r="DA6" s="24">
        <v>6</v>
      </c>
      <c r="DB6" s="6" t="s">
        <v>20</v>
      </c>
      <c r="DC6" s="24">
        <v>6</v>
      </c>
      <c r="DD6" s="6" t="s">
        <v>20</v>
      </c>
      <c r="DE6" s="5">
        <f t="shared" si="133"/>
        <v>12</v>
      </c>
      <c r="DF6" s="3"/>
      <c r="DG6" s="7">
        <f t="shared" si="9"/>
        <v>1</v>
      </c>
      <c r="DH6" s="5">
        <v>1</v>
      </c>
      <c r="DI6" s="7">
        <f t="shared" si="134"/>
        <v>0</v>
      </c>
      <c r="DK6" s="24">
        <v>6</v>
      </c>
      <c r="DL6" s="6" t="s">
        <v>20</v>
      </c>
      <c r="DM6" s="24">
        <v>6</v>
      </c>
      <c r="DN6" s="6" t="s">
        <v>20</v>
      </c>
      <c r="DO6" s="5">
        <f t="shared" si="135"/>
        <v>12</v>
      </c>
      <c r="DP6" s="3"/>
      <c r="DQ6" s="7">
        <f t="shared" si="10"/>
        <v>0</v>
      </c>
      <c r="DR6" s="5">
        <v>1</v>
      </c>
      <c r="DS6" s="7">
        <f t="shared" si="136"/>
        <v>1</v>
      </c>
      <c r="DU6" s="24">
        <v>6</v>
      </c>
      <c r="DV6" s="6" t="s">
        <v>20</v>
      </c>
      <c r="DW6" s="24">
        <v>6</v>
      </c>
      <c r="DX6" s="6" t="s">
        <v>20</v>
      </c>
      <c r="DY6" s="5">
        <f t="shared" si="137"/>
        <v>12</v>
      </c>
      <c r="DZ6" s="3"/>
      <c r="EA6" s="7">
        <f t="shared" si="11"/>
        <v>0</v>
      </c>
      <c r="EB6" s="5"/>
      <c r="EC6" s="7" t="str">
        <f t="shared" si="138"/>
        <v/>
      </c>
      <c r="EE6" s="24">
        <v>0</v>
      </c>
      <c r="EF6" s="6" t="s">
        <v>20</v>
      </c>
      <c r="EG6" s="24">
        <v>8</v>
      </c>
      <c r="EH6" s="6" t="s">
        <v>20</v>
      </c>
      <c r="EI6" s="5">
        <f t="shared" si="139"/>
        <v>8</v>
      </c>
      <c r="EJ6" s="3"/>
      <c r="EK6" s="7">
        <f t="shared" si="12"/>
        <v>4</v>
      </c>
      <c r="EL6" s="5">
        <v>4</v>
      </c>
      <c r="EM6" s="7">
        <f t="shared" si="140"/>
        <v>0</v>
      </c>
      <c r="EO6" s="24">
        <v>0</v>
      </c>
      <c r="EP6" s="6" t="s">
        <v>20</v>
      </c>
      <c r="EQ6" s="24">
        <v>8</v>
      </c>
      <c r="ER6" s="6" t="s">
        <v>20</v>
      </c>
      <c r="ES6" s="5">
        <f t="shared" si="141"/>
        <v>8</v>
      </c>
      <c r="ET6" s="3">
        <v>1</v>
      </c>
      <c r="EU6" s="7">
        <f t="shared" si="13"/>
        <v>0</v>
      </c>
      <c r="EV6" s="5"/>
      <c r="EW6" s="7" t="str">
        <f t="shared" si="142"/>
        <v/>
      </c>
      <c r="EY6" s="24">
        <v>0</v>
      </c>
      <c r="EZ6" s="6" t="s">
        <v>20</v>
      </c>
      <c r="FA6" s="24">
        <v>8</v>
      </c>
      <c r="FB6" s="6" t="s">
        <v>20</v>
      </c>
      <c r="FC6" s="5">
        <f t="shared" si="143"/>
        <v>8</v>
      </c>
      <c r="FD6" s="3"/>
      <c r="FE6" s="7">
        <f t="shared" si="14"/>
        <v>24</v>
      </c>
      <c r="FF6" s="5"/>
      <c r="FG6" s="7" t="str">
        <f t="shared" si="144"/>
        <v/>
      </c>
      <c r="FI6" s="24">
        <v>0</v>
      </c>
      <c r="FJ6" s="6" t="s">
        <v>20</v>
      </c>
      <c r="FK6" s="24">
        <v>8</v>
      </c>
      <c r="FL6" s="6" t="s">
        <v>20</v>
      </c>
      <c r="FM6" s="5">
        <f t="shared" si="145"/>
        <v>8</v>
      </c>
      <c r="FN6" s="3"/>
      <c r="FO6" s="7">
        <f t="shared" si="15"/>
        <v>0</v>
      </c>
      <c r="FP6" s="5"/>
      <c r="FQ6" s="7" t="str">
        <f t="shared" si="146"/>
        <v/>
      </c>
      <c r="FS6" s="24">
        <v>0</v>
      </c>
      <c r="FT6" s="6" t="s">
        <v>20</v>
      </c>
      <c r="FU6" s="24">
        <v>6</v>
      </c>
      <c r="FV6" s="6" t="s">
        <v>20</v>
      </c>
      <c r="FW6" s="5">
        <f t="shared" si="147"/>
        <v>6</v>
      </c>
      <c r="FX6" s="3">
        <v>1</v>
      </c>
      <c r="FY6" s="7">
        <f t="shared" si="16"/>
        <v>2</v>
      </c>
      <c r="FZ6" s="5">
        <v>2</v>
      </c>
      <c r="GA6" s="7">
        <f t="shared" si="148"/>
        <v>0</v>
      </c>
      <c r="GC6" s="24">
        <v>24</v>
      </c>
      <c r="GD6" s="6" t="s">
        <v>20</v>
      </c>
      <c r="GE6" s="24">
        <v>5</v>
      </c>
      <c r="GF6" s="6" t="s">
        <v>20</v>
      </c>
      <c r="GG6" s="5">
        <f t="shared" si="149"/>
        <v>29</v>
      </c>
      <c r="GH6" s="3"/>
      <c r="GI6" s="7">
        <f t="shared" si="17"/>
        <v>1</v>
      </c>
      <c r="GJ6" s="5">
        <v>0</v>
      </c>
      <c r="GK6" s="7">
        <f t="shared" si="150"/>
        <v>-1</v>
      </c>
      <c r="GM6" s="24">
        <v>24</v>
      </c>
      <c r="GN6" s="6" t="s">
        <v>20</v>
      </c>
      <c r="GO6" s="24">
        <v>5</v>
      </c>
      <c r="GP6" s="6" t="s">
        <v>20</v>
      </c>
      <c r="GQ6" s="5">
        <f t="shared" si="151"/>
        <v>29</v>
      </c>
      <c r="GR6" s="3"/>
      <c r="GS6" s="7">
        <f t="shared" si="18"/>
        <v>0</v>
      </c>
      <c r="GT6" s="5">
        <v>1</v>
      </c>
      <c r="GU6" s="7">
        <f t="shared" si="152"/>
        <v>1</v>
      </c>
      <c r="GW6" s="24">
        <v>20</v>
      </c>
      <c r="GX6" s="6" t="s">
        <v>20</v>
      </c>
      <c r="GY6" s="24">
        <v>6</v>
      </c>
      <c r="GZ6" s="6" t="s">
        <v>20</v>
      </c>
      <c r="HA6" s="5">
        <f t="shared" si="153"/>
        <v>26</v>
      </c>
      <c r="HB6" s="3"/>
      <c r="HC6" s="7">
        <f t="shared" si="19"/>
        <v>3</v>
      </c>
      <c r="HD6" s="5">
        <v>3</v>
      </c>
      <c r="HE6" s="7">
        <f t="shared" si="154"/>
        <v>0</v>
      </c>
      <c r="HG6" s="24">
        <v>12</v>
      </c>
      <c r="HH6" s="6" t="s">
        <v>20</v>
      </c>
      <c r="HI6" s="24">
        <v>8</v>
      </c>
      <c r="HJ6" s="6" t="s">
        <v>20</v>
      </c>
      <c r="HK6" s="5">
        <f t="shared" si="155"/>
        <v>20</v>
      </c>
      <c r="HL6" s="3"/>
      <c r="HM6" s="7">
        <f t="shared" si="20"/>
        <v>6</v>
      </c>
      <c r="HN6" s="5">
        <v>6</v>
      </c>
      <c r="HO6" s="7">
        <f t="shared" si="156"/>
        <v>0</v>
      </c>
      <c r="HQ6" s="24">
        <v>6</v>
      </c>
      <c r="HR6" s="6" t="s">
        <v>20</v>
      </c>
      <c r="HS6" s="24">
        <v>6</v>
      </c>
      <c r="HT6" s="6" t="s">
        <v>20</v>
      </c>
      <c r="HU6" s="5">
        <f t="shared" si="157"/>
        <v>12</v>
      </c>
      <c r="HV6" s="3"/>
      <c r="HW6" s="7">
        <f t="shared" si="21"/>
        <v>8</v>
      </c>
      <c r="HX6" s="5">
        <v>8</v>
      </c>
      <c r="HY6" s="7">
        <f t="shared" si="158"/>
        <v>0</v>
      </c>
      <c r="IA6" s="24">
        <v>0</v>
      </c>
      <c r="IB6" s="6" t="s">
        <v>20</v>
      </c>
      <c r="IC6" s="24">
        <v>12</v>
      </c>
      <c r="ID6" s="6" t="s">
        <v>20</v>
      </c>
      <c r="IE6" s="5">
        <f t="shared" si="159"/>
        <v>12</v>
      </c>
      <c r="IF6" s="3"/>
      <c r="IG6" s="7">
        <f t="shared" si="22"/>
        <v>0</v>
      </c>
      <c r="IH6" s="5"/>
      <c r="II6" s="7" t="str">
        <f t="shared" si="160"/>
        <v/>
      </c>
      <c r="IK6" s="24">
        <v>0</v>
      </c>
      <c r="IL6" s="6" t="s">
        <v>20</v>
      </c>
      <c r="IM6" s="24">
        <v>11</v>
      </c>
      <c r="IN6" s="6" t="s">
        <v>20</v>
      </c>
      <c r="IO6" s="5">
        <f t="shared" si="161"/>
        <v>11</v>
      </c>
      <c r="IP6" s="3"/>
      <c r="IQ6" s="7">
        <f t="shared" si="23"/>
        <v>1</v>
      </c>
      <c r="IR6" s="5">
        <v>1</v>
      </c>
      <c r="IS6" s="7">
        <f t="shared" si="162"/>
        <v>0</v>
      </c>
      <c r="IU6" s="24">
        <v>0</v>
      </c>
      <c r="IV6" s="6" t="s">
        <v>20</v>
      </c>
      <c r="IW6" s="24">
        <v>11</v>
      </c>
      <c r="IX6" s="6" t="s">
        <v>20</v>
      </c>
      <c r="IY6" s="5">
        <f t="shared" si="163"/>
        <v>11</v>
      </c>
      <c r="IZ6" s="3"/>
      <c r="JA6" s="7">
        <f t="shared" si="24"/>
        <v>0</v>
      </c>
      <c r="JB6" s="5"/>
      <c r="JC6" s="7" t="str">
        <f t="shared" si="164"/>
        <v/>
      </c>
      <c r="JE6" s="24">
        <v>0</v>
      </c>
      <c r="JF6" s="6" t="s">
        <v>20</v>
      </c>
      <c r="JG6" s="24">
        <v>9</v>
      </c>
      <c r="JH6" s="6" t="s">
        <v>20</v>
      </c>
      <c r="JI6" s="5">
        <f t="shared" si="165"/>
        <v>9</v>
      </c>
      <c r="JJ6" s="3"/>
      <c r="JK6" s="7">
        <f t="shared" si="25"/>
        <v>2</v>
      </c>
      <c r="JL6" s="5">
        <v>2</v>
      </c>
      <c r="JM6" s="7">
        <f t="shared" si="166"/>
        <v>0</v>
      </c>
      <c r="JO6" s="24">
        <v>0</v>
      </c>
      <c r="JP6" s="6" t="s">
        <v>20</v>
      </c>
      <c r="JQ6" s="24">
        <v>8</v>
      </c>
      <c r="JR6" s="6" t="s">
        <v>20</v>
      </c>
      <c r="JS6" s="5">
        <f t="shared" si="167"/>
        <v>8</v>
      </c>
      <c r="JT6" s="3"/>
      <c r="JU6" s="7">
        <f t="shared" si="26"/>
        <v>1</v>
      </c>
      <c r="JV6" s="5">
        <v>1</v>
      </c>
      <c r="JW6" s="7">
        <f t="shared" si="168"/>
        <v>0</v>
      </c>
      <c r="JY6" s="24">
        <v>0</v>
      </c>
      <c r="JZ6" s="6" t="s">
        <v>20</v>
      </c>
      <c r="KA6" s="24">
        <v>7</v>
      </c>
      <c r="KB6" s="6" t="s">
        <v>20</v>
      </c>
      <c r="KC6" s="5">
        <f t="shared" si="169"/>
        <v>7</v>
      </c>
      <c r="KD6" s="3"/>
      <c r="KE6" s="7">
        <f t="shared" si="27"/>
        <v>1</v>
      </c>
      <c r="KF6" s="5"/>
      <c r="KG6" s="7" t="str">
        <f t="shared" si="170"/>
        <v/>
      </c>
      <c r="KI6" s="24">
        <v>0</v>
      </c>
      <c r="KJ6" s="6" t="s">
        <v>20</v>
      </c>
      <c r="KK6" s="24">
        <v>7</v>
      </c>
      <c r="KL6" s="6" t="s">
        <v>20</v>
      </c>
      <c r="KM6" s="5">
        <f t="shared" si="171"/>
        <v>7</v>
      </c>
      <c r="KN6" s="3"/>
      <c r="KO6" s="7">
        <f t="shared" si="28"/>
        <v>0</v>
      </c>
      <c r="KP6" s="5">
        <v>1</v>
      </c>
      <c r="KQ6" s="7">
        <f t="shared" si="172"/>
        <v>1</v>
      </c>
      <c r="KS6" s="24">
        <v>0</v>
      </c>
      <c r="KT6" s="6" t="s">
        <v>20</v>
      </c>
      <c r="KU6" s="24">
        <v>6</v>
      </c>
      <c r="KV6" s="6" t="s">
        <v>20</v>
      </c>
      <c r="KW6" s="5">
        <f t="shared" si="173"/>
        <v>6</v>
      </c>
      <c r="KX6" s="3">
        <v>1</v>
      </c>
      <c r="KY6" s="7">
        <f t="shared" si="29"/>
        <v>1</v>
      </c>
      <c r="KZ6" s="5">
        <v>1</v>
      </c>
      <c r="LA6" s="7">
        <f t="shared" si="174"/>
        <v>0</v>
      </c>
      <c r="LC6" s="24">
        <v>24</v>
      </c>
      <c r="LD6" s="6" t="s">
        <v>20</v>
      </c>
      <c r="LE6" s="24">
        <v>3</v>
      </c>
      <c r="LF6" s="6" t="s">
        <v>20</v>
      </c>
      <c r="LG6" s="5">
        <f t="shared" si="175"/>
        <v>27</v>
      </c>
      <c r="LH6" s="3"/>
      <c r="LI6" s="7">
        <f t="shared" si="30"/>
        <v>3</v>
      </c>
      <c r="LJ6" s="5">
        <v>3</v>
      </c>
      <c r="LK6" s="7">
        <f t="shared" si="176"/>
        <v>0</v>
      </c>
      <c r="LM6" s="24">
        <v>12</v>
      </c>
      <c r="LN6" s="6" t="s">
        <v>20</v>
      </c>
      <c r="LO6" s="24">
        <v>15</v>
      </c>
      <c r="LP6" s="6" t="s">
        <v>20</v>
      </c>
      <c r="LQ6" s="5">
        <f t="shared" si="177"/>
        <v>27</v>
      </c>
      <c r="LR6" s="3"/>
      <c r="LS6" s="7">
        <f t="shared" si="31"/>
        <v>0</v>
      </c>
      <c r="LT6" s="5"/>
      <c r="LU6" s="7" t="str">
        <f t="shared" si="178"/>
        <v/>
      </c>
      <c r="LW6" s="24">
        <v>12</v>
      </c>
      <c r="LX6" s="6" t="s">
        <v>20</v>
      </c>
      <c r="LY6" s="24">
        <v>15</v>
      </c>
      <c r="LZ6" s="6" t="s">
        <v>20</v>
      </c>
      <c r="MA6" s="5">
        <f t="shared" si="179"/>
        <v>27</v>
      </c>
      <c r="MB6" s="3"/>
      <c r="MC6" s="7">
        <f t="shared" si="32"/>
        <v>0</v>
      </c>
      <c r="MD6" s="5"/>
      <c r="ME6" s="7" t="str">
        <f t="shared" si="180"/>
        <v/>
      </c>
      <c r="MG6" s="24">
        <v>12</v>
      </c>
      <c r="MH6" s="6" t="s">
        <v>20</v>
      </c>
      <c r="MI6" s="24">
        <v>15</v>
      </c>
      <c r="MJ6" s="6" t="s">
        <v>20</v>
      </c>
      <c r="MK6" s="5">
        <f t="shared" si="181"/>
        <v>27</v>
      </c>
      <c r="ML6" s="3"/>
      <c r="MM6" s="7">
        <f t="shared" si="33"/>
        <v>0</v>
      </c>
      <c r="MN6" s="5"/>
      <c r="MO6" s="7" t="str">
        <f t="shared" si="182"/>
        <v/>
      </c>
      <c r="MQ6" s="2">
        <v>12</v>
      </c>
      <c r="MR6" s="6" t="s">
        <v>20</v>
      </c>
      <c r="MS6" s="2">
        <v>15</v>
      </c>
      <c r="MT6" s="6" t="s">
        <v>20</v>
      </c>
      <c r="MU6" s="5">
        <f t="shared" si="183"/>
        <v>27</v>
      </c>
      <c r="MV6" s="3"/>
      <c r="MW6" s="7">
        <f t="shared" si="34"/>
        <v>0</v>
      </c>
      <c r="MX6" s="5">
        <v>1</v>
      </c>
      <c r="MY6" s="7">
        <f t="shared" si="184"/>
        <v>1</v>
      </c>
      <c r="NA6" s="24">
        <v>12</v>
      </c>
      <c r="NB6" s="6" t="s">
        <v>20</v>
      </c>
      <c r="NC6" s="24">
        <v>13</v>
      </c>
      <c r="ND6" s="6" t="s">
        <v>20</v>
      </c>
      <c r="NE6" s="5">
        <f t="shared" si="185"/>
        <v>25</v>
      </c>
      <c r="NF6" s="3"/>
      <c r="NG6" s="7">
        <f t="shared" si="35"/>
        <v>2</v>
      </c>
      <c r="NH6" s="5">
        <v>1</v>
      </c>
      <c r="NI6" s="7">
        <f t="shared" si="186"/>
        <v>-1</v>
      </c>
      <c r="NK6" s="24">
        <v>12</v>
      </c>
      <c r="NL6" s="6" t="s">
        <v>20</v>
      </c>
      <c r="NM6" s="24">
        <v>13</v>
      </c>
      <c r="NN6" s="6" t="s">
        <v>20</v>
      </c>
      <c r="NO6" s="5">
        <f t="shared" si="187"/>
        <v>25</v>
      </c>
      <c r="NP6" s="3"/>
      <c r="NQ6" s="7">
        <f t="shared" si="36"/>
        <v>0</v>
      </c>
      <c r="NR6" s="5"/>
      <c r="NS6" s="7" t="str">
        <f t="shared" si="188"/>
        <v/>
      </c>
      <c r="NU6" s="24">
        <v>12</v>
      </c>
      <c r="NV6" s="6" t="s">
        <v>20</v>
      </c>
      <c r="NW6" s="24">
        <v>8</v>
      </c>
      <c r="NX6" s="6" t="s">
        <v>20</v>
      </c>
      <c r="NY6" s="5">
        <f t="shared" si="189"/>
        <v>20</v>
      </c>
      <c r="NZ6" s="3"/>
      <c r="OA6" s="7">
        <f t="shared" si="37"/>
        <v>5</v>
      </c>
      <c r="OB6" s="5">
        <v>5</v>
      </c>
      <c r="OC6" s="7">
        <f t="shared" si="190"/>
        <v>0</v>
      </c>
      <c r="OE6" s="2">
        <v>12</v>
      </c>
      <c r="OF6" s="6" t="s">
        <v>20</v>
      </c>
      <c r="OG6" s="2">
        <v>7</v>
      </c>
      <c r="OH6" s="6" t="s">
        <v>20</v>
      </c>
      <c r="OI6" s="5">
        <f t="shared" si="191"/>
        <v>19</v>
      </c>
      <c r="OJ6" s="3"/>
      <c r="OK6" s="7">
        <f t="shared" si="38"/>
        <v>1</v>
      </c>
      <c r="OL6" s="5">
        <v>1</v>
      </c>
      <c r="OM6" s="7">
        <f t="shared" si="192"/>
        <v>0</v>
      </c>
      <c r="OO6" s="24">
        <v>12</v>
      </c>
      <c r="OP6" s="6" t="s">
        <v>20</v>
      </c>
      <c r="OQ6" s="24">
        <v>6</v>
      </c>
      <c r="OR6" s="6" t="s">
        <v>20</v>
      </c>
      <c r="OS6" s="5">
        <f t="shared" si="193"/>
        <v>18</v>
      </c>
      <c r="OT6" s="3"/>
      <c r="OU6" s="7">
        <f t="shared" si="39"/>
        <v>1</v>
      </c>
      <c r="OV6" s="5">
        <v>1</v>
      </c>
      <c r="OW6" s="7">
        <f t="shared" si="194"/>
        <v>0</v>
      </c>
      <c r="OY6" s="24">
        <v>12</v>
      </c>
      <c r="OZ6" s="6" t="s">
        <v>20</v>
      </c>
      <c r="PA6" s="24">
        <v>6</v>
      </c>
      <c r="PB6" s="6" t="s">
        <v>20</v>
      </c>
      <c r="PC6" s="5">
        <f t="shared" si="195"/>
        <v>18</v>
      </c>
      <c r="PD6" s="3"/>
      <c r="PE6" s="7">
        <f t="shared" si="40"/>
        <v>0</v>
      </c>
      <c r="PF6" s="5"/>
      <c r="PG6" s="7" t="str">
        <f t="shared" si="196"/>
        <v/>
      </c>
      <c r="PI6" s="24">
        <v>12</v>
      </c>
      <c r="PJ6" s="6" t="s">
        <v>20</v>
      </c>
      <c r="PK6" s="24">
        <v>4</v>
      </c>
      <c r="PL6" s="6" t="s">
        <v>20</v>
      </c>
      <c r="PM6" s="5">
        <f t="shared" si="197"/>
        <v>16</v>
      </c>
      <c r="PN6" s="3"/>
      <c r="PO6" s="7">
        <f t="shared" si="41"/>
        <v>2</v>
      </c>
      <c r="PP6" s="5">
        <v>2</v>
      </c>
      <c r="PQ6" s="7">
        <f t="shared" si="198"/>
        <v>0</v>
      </c>
      <c r="PS6" s="2">
        <v>0</v>
      </c>
      <c r="PT6" s="6" t="s">
        <v>20</v>
      </c>
      <c r="PU6" s="2">
        <v>15</v>
      </c>
      <c r="PV6" s="6" t="s">
        <v>20</v>
      </c>
      <c r="PW6" s="5">
        <f t="shared" si="199"/>
        <v>15</v>
      </c>
      <c r="PX6" s="3"/>
      <c r="PY6" s="7">
        <f t="shared" si="42"/>
        <v>1</v>
      </c>
      <c r="PZ6" s="5"/>
      <c r="QA6" s="7" t="str">
        <f t="shared" si="200"/>
        <v/>
      </c>
      <c r="QC6" s="24">
        <v>0</v>
      </c>
      <c r="QD6" s="6" t="s">
        <v>20</v>
      </c>
      <c r="QE6" s="24">
        <v>9</v>
      </c>
      <c r="QF6" s="6" t="s">
        <v>20</v>
      </c>
      <c r="QG6" s="5">
        <f t="shared" si="201"/>
        <v>9</v>
      </c>
      <c r="QH6" s="3">
        <v>1</v>
      </c>
      <c r="QI6" s="7">
        <f t="shared" si="43"/>
        <v>6</v>
      </c>
      <c r="QJ6" s="5">
        <v>6</v>
      </c>
      <c r="QK6" s="7">
        <f t="shared" si="202"/>
        <v>0</v>
      </c>
      <c r="QM6" s="24">
        <v>24</v>
      </c>
      <c r="QN6" s="6" t="s">
        <v>20</v>
      </c>
      <c r="QO6" s="24">
        <v>5</v>
      </c>
      <c r="QP6" s="6" t="s">
        <v>20</v>
      </c>
      <c r="QQ6" s="5">
        <f t="shared" si="203"/>
        <v>29</v>
      </c>
      <c r="QR6" s="3"/>
      <c r="QS6" s="7">
        <f t="shared" si="44"/>
        <v>4</v>
      </c>
      <c r="QT6" s="5">
        <v>5</v>
      </c>
      <c r="QU6" s="7">
        <f t="shared" si="204"/>
        <v>1</v>
      </c>
      <c r="QW6" s="24">
        <v>24</v>
      </c>
      <c r="QX6" s="6" t="s">
        <v>20</v>
      </c>
      <c r="QY6" s="24">
        <v>4</v>
      </c>
      <c r="QZ6" s="6" t="s">
        <v>20</v>
      </c>
      <c r="RA6" s="5">
        <f t="shared" si="205"/>
        <v>28</v>
      </c>
      <c r="RB6" s="3"/>
      <c r="RC6" s="7">
        <f t="shared" si="45"/>
        <v>1</v>
      </c>
      <c r="RD6" s="5">
        <v>1</v>
      </c>
      <c r="RE6" s="7">
        <f t="shared" si="206"/>
        <v>0</v>
      </c>
      <c r="RG6" s="24">
        <v>24</v>
      </c>
      <c r="RH6" s="6" t="s">
        <v>20</v>
      </c>
      <c r="RI6" s="24">
        <v>0</v>
      </c>
      <c r="RJ6" s="6" t="s">
        <v>20</v>
      </c>
      <c r="RK6" s="36">
        <f t="shared" si="207"/>
        <v>24</v>
      </c>
      <c r="RL6" s="3"/>
      <c r="RM6" s="7">
        <f t="shared" si="46"/>
        <v>4</v>
      </c>
      <c r="RN6" s="5">
        <v>4</v>
      </c>
      <c r="RO6" s="7">
        <f t="shared" si="208"/>
        <v>0</v>
      </c>
      <c r="RQ6" s="24">
        <v>12</v>
      </c>
      <c r="RR6" s="6" t="s">
        <v>20</v>
      </c>
      <c r="RS6" s="24">
        <v>9</v>
      </c>
      <c r="RT6" s="6" t="s">
        <v>20</v>
      </c>
      <c r="RU6" s="5">
        <f t="shared" si="209"/>
        <v>21</v>
      </c>
      <c r="RV6" s="3"/>
      <c r="RW6" s="7">
        <f t="shared" si="47"/>
        <v>3</v>
      </c>
      <c r="RX6" s="5">
        <v>2</v>
      </c>
      <c r="RY6" s="7">
        <f t="shared" si="210"/>
        <v>-1</v>
      </c>
      <c r="SA6" s="2">
        <v>12</v>
      </c>
      <c r="SB6" s="6" t="s">
        <v>20</v>
      </c>
      <c r="SC6" s="2">
        <v>8</v>
      </c>
      <c r="SD6" s="6" t="s">
        <v>20</v>
      </c>
      <c r="SE6" s="5">
        <f t="shared" si="211"/>
        <v>20</v>
      </c>
      <c r="SF6" s="3"/>
      <c r="SG6" s="7">
        <f t="shared" si="48"/>
        <v>1</v>
      </c>
      <c r="SH6" s="5">
        <v>1</v>
      </c>
      <c r="SI6" s="7">
        <f t="shared" si="212"/>
        <v>0</v>
      </c>
      <c r="SK6" s="24">
        <v>12</v>
      </c>
      <c r="SL6" s="6" t="s">
        <v>20</v>
      </c>
      <c r="SM6" s="24">
        <v>2</v>
      </c>
      <c r="SN6" s="6" t="s">
        <v>20</v>
      </c>
      <c r="SO6" s="5">
        <f t="shared" si="213"/>
        <v>14</v>
      </c>
      <c r="SP6" s="3"/>
      <c r="SQ6" s="7">
        <f t="shared" si="49"/>
        <v>6</v>
      </c>
      <c r="SR6" s="5">
        <v>6</v>
      </c>
      <c r="SS6" s="7">
        <f t="shared" si="214"/>
        <v>0</v>
      </c>
      <c r="SU6" s="24">
        <v>0</v>
      </c>
      <c r="SV6" s="6" t="s">
        <v>20</v>
      </c>
      <c r="SW6" s="24">
        <v>13</v>
      </c>
      <c r="SX6" s="6" t="s">
        <v>20</v>
      </c>
      <c r="SY6" s="5">
        <f t="shared" si="215"/>
        <v>13</v>
      </c>
      <c r="SZ6" s="3"/>
      <c r="TA6" s="7">
        <f t="shared" si="50"/>
        <v>1</v>
      </c>
      <c r="TB6" s="5">
        <v>1</v>
      </c>
      <c r="TC6" s="7">
        <f t="shared" si="216"/>
        <v>0</v>
      </c>
      <c r="TE6" s="24">
        <v>0</v>
      </c>
      <c r="TF6" s="6" t="s">
        <v>20</v>
      </c>
      <c r="TG6" s="24">
        <v>13</v>
      </c>
      <c r="TH6" s="6" t="s">
        <v>20</v>
      </c>
      <c r="TI6" s="5">
        <f t="shared" si="217"/>
        <v>13</v>
      </c>
      <c r="TJ6" s="3"/>
      <c r="TK6" s="7">
        <f t="shared" si="51"/>
        <v>0</v>
      </c>
      <c r="TL6" s="5"/>
      <c r="TM6" s="7" t="str">
        <f t="shared" si="218"/>
        <v/>
      </c>
      <c r="TO6" s="24">
        <v>0</v>
      </c>
      <c r="TP6" s="6" t="s">
        <v>20</v>
      </c>
      <c r="TQ6" s="24">
        <v>12</v>
      </c>
      <c r="TR6" s="6" t="s">
        <v>20</v>
      </c>
      <c r="TS6" s="5">
        <f t="shared" si="219"/>
        <v>12</v>
      </c>
      <c r="TT6" s="3"/>
      <c r="TU6" s="7">
        <f t="shared" si="52"/>
        <v>1</v>
      </c>
      <c r="TV6" s="5">
        <v>1</v>
      </c>
      <c r="TW6" s="7">
        <f t="shared" si="220"/>
        <v>0</v>
      </c>
      <c r="TY6" s="24">
        <v>0</v>
      </c>
      <c r="TZ6" s="6" t="s">
        <v>20</v>
      </c>
      <c r="UA6" s="24">
        <v>11</v>
      </c>
      <c r="UB6" s="6" t="s">
        <v>20</v>
      </c>
      <c r="UC6" s="5">
        <f t="shared" si="221"/>
        <v>11</v>
      </c>
      <c r="UD6" s="3"/>
      <c r="UE6" s="7">
        <f t="shared" si="53"/>
        <v>1</v>
      </c>
      <c r="UF6" s="5">
        <v>1</v>
      </c>
      <c r="UG6" s="7">
        <f t="shared" si="222"/>
        <v>0</v>
      </c>
      <c r="UI6" s="2">
        <v>0</v>
      </c>
      <c r="UJ6" s="6" t="s">
        <v>20</v>
      </c>
      <c r="UK6" s="2">
        <v>9</v>
      </c>
      <c r="UL6" s="6" t="s">
        <v>20</v>
      </c>
      <c r="UM6" s="5">
        <f t="shared" si="223"/>
        <v>9</v>
      </c>
      <c r="UN6" s="3"/>
      <c r="UO6" s="7">
        <f t="shared" si="54"/>
        <v>2</v>
      </c>
      <c r="UP6" s="5"/>
      <c r="UQ6" s="7" t="str">
        <f t="shared" si="224"/>
        <v/>
      </c>
      <c r="US6" s="24">
        <v>0</v>
      </c>
      <c r="UT6" s="6" t="s">
        <v>20</v>
      </c>
      <c r="UU6" s="24">
        <v>11</v>
      </c>
      <c r="UV6" s="6" t="s">
        <v>20</v>
      </c>
      <c r="UW6" s="5">
        <f t="shared" si="225"/>
        <v>11</v>
      </c>
      <c r="UX6" s="3"/>
      <c r="UY6" s="7">
        <f t="shared" si="55"/>
        <v>-2</v>
      </c>
      <c r="UZ6" s="5"/>
      <c r="VA6" s="7" t="str">
        <f t="shared" si="226"/>
        <v/>
      </c>
      <c r="VC6" s="2">
        <v>0</v>
      </c>
      <c r="VD6" s="6" t="s">
        <v>20</v>
      </c>
      <c r="VE6" s="2">
        <v>10</v>
      </c>
      <c r="VF6" s="6" t="s">
        <v>20</v>
      </c>
      <c r="VG6" s="5">
        <f t="shared" si="227"/>
        <v>10</v>
      </c>
      <c r="VH6" s="3"/>
      <c r="VI6" s="7">
        <f t="shared" si="56"/>
        <v>1</v>
      </c>
      <c r="VJ6" s="5">
        <v>1</v>
      </c>
      <c r="VK6" s="7">
        <f t="shared" si="228"/>
        <v>0</v>
      </c>
      <c r="VM6" s="24">
        <v>0</v>
      </c>
      <c r="VN6" s="6" t="s">
        <v>20</v>
      </c>
      <c r="VO6" s="24">
        <v>6</v>
      </c>
      <c r="VP6" s="6" t="s">
        <v>20</v>
      </c>
      <c r="VQ6" s="5">
        <f t="shared" si="229"/>
        <v>6</v>
      </c>
      <c r="VR6" s="3">
        <v>1</v>
      </c>
      <c r="VS6" s="7">
        <f t="shared" si="57"/>
        <v>4</v>
      </c>
      <c r="VT6" s="5">
        <v>4</v>
      </c>
      <c r="VU6" s="7">
        <f t="shared" si="230"/>
        <v>0</v>
      </c>
      <c r="VW6" s="2"/>
      <c r="VX6" s="6" t="s">
        <v>20</v>
      </c>
      <c r="VY6" s="2">
        <v>27</v>
      </c>
      <c r="VZ6" s="6" t="s">
        <v>20</v>
      </c>
      <c r="WA6" s="5">
        <f t="shared" si="231"/>
        <v>27</v>
      </c>
      <c r="WB6" s="3"/>
      <c r="WC6" s="7">
        <f t="shared" si="58"/>
        <v>3</v>
      </c>
      <c r="WD6" s="5">
        <v>2</v>
      </c>
      <c r="WE6" s="7">
        <f t="shared" si="232"/>
        <v>-1</v>
      </c>
      <c r="WG6" s="2">
        <v>12</v>
      </c>
      <c r="WH6" s="6" t="s">
        <v>20</v>
      </c>
      <c r="WI6" s="2">
        <v>1</v>
      </c>
      <c r="WJ6" s="6" t="s">
        <v>20</v>
      </c>
      <c r="WK6" s="36">
        <f t="shared" si="233"/>
        <v>13</v>
      </c>
      <c r="WL6" s="3"/>
      <c r="WM6" s="7">
        <f t="shared" si="59"/>
        <v>14</v>
      </c>
      <c r="WN6" s="5">
        <v>3</v>
      </c>
      <c r="WO6" s="7">
        <f t="shared" si="234"/>
        <v>-11</v>
      </c>
      <c r="WQ6" s="2">
        <v>24</v>
      </c>
      <c r="WR6" s="6" t="s">
        <v>20</v>
      </c>
      <c r="WS6" s="2">
        <v>1</v>
      </c>
      <c r="WT6" s="6" t="s">
        <v>20</v>
      </c>
      <c r="WU6" s="5">
        <f t="shared" si="235"/>
        <v>25</v>
      </c>
      <c r="WV6" s="3"/>
      <c r="WW6" s="7">
        <f t="shared" si="60"/>
        <v>-12</v>
      </c>
      <c r="WX6" s="5">
        <v>0</v>
      </c>
      <c r="WY6" s="7">
        <f t="shared" si="236"/>
        <v>12</v>
      </c>
      <c r="XA6" s="24">
        <v>24</v>
      </c>
      <c r="XB6" s="6" t="s">
        <v>20</v>
      </c>
      <c r="XC6" s="24">
        <v>1</v>
      </c>
      <c r="XD6" s="6" t="s">
        <v>20</v>
      </c>
      <c r="XE6" s="5">
        <f t="shared" si="237"/>
        <v>25</v>
      </c>
      <c r="XF6" s="3"/>
      <c r="XG6" s="7">
        <f t="shared" si="61"/>
        <v>0</v>
      </c>
      <c r="XH6" s="5"/>
      <c r="XI6" s="7" t="str">
        <f t="shared" si="238"/>
        <v/>
      </c>
      <c r="XK6" s="24">
        <v>12</v>
      </c>
      <c r="XL6" s="6" t="s">
        <v>20</v>
      </c>
      <c r="XM6" s="24">
        <v>10</v>
      </c>
      <c r="XN6" s="6" t="s">
        <v>20</v>
      </c>
      <c r="XO6" s="5">
        <f t="shared" si="239"/>
        <v>22</v>
      </c>
      <c r="XP6" s="3"/>
      <c r="XQ6" s="7">
        <f t="shared" si="62"/>
        <v>3</v>
      </c>
      <c r="XR6" s="5">
        <v>3</v>
      </c>
      <c r="XS6" s="7">
        <f t="shared" si="240"/>
        <v>0</v>
      </c>
      <c r="XU6" s="24">
        <v>12</v>
      </c>
      <c r="XV6" s="6" t="s">
        <v>20</v>
      </c>
      <c r="XW6" s="24">
        <v>8</v>
      </c>
      <c r="XX6" s="6" t="s">
        <v>20</v>
      </c>
      <c r="XY6" s="5">
        <f t="shared" si="241"/>
        <v>20</v>
      </c>
      <c r="XZ6" s="3"/>
      <c r="YA6" s="7">
        <f t="shared" si="63"/>
        <v>2</v>
      </c>
      <c r="YB6" s="5">
        <v>2</v>
      </c>
      <c r="YC6" s="7">
        <f t="shared" si="242"/>
        <v>0</v>
      </c>
      <c r="YE6" s="24">
        <v>12</v>
      </c>
      <c r="YF6" s="6" t="s">
        <v>20</v>
      </c>
      <c r="YG6" s="24">
        <v>7</v>
      </c>
      <c r="YH6" s="6" t="s">
        <v>20</v>
      </c>
      <c r="YI6" s="5">
        <f t="shared" si="243"/>
        <v>19</v>
      </c>
      <c r="YJ6" s="3"/>
      <c r="YK6" s="7">
        <f t="shared" si="64"/>
        <v>1</v>
      </c>
      <c r="YL6" s="5"/>
      <c r="YM6" s="7" t="str">
        <f t="shared" si="244"/>
        <v/>
      </c>
      <c r="YO6" s="24">
        <v>12</v>
      </c>
      <c r="YP6" s="6" t="s">
        <v>20</v>
      </c>
      <c r="YQ6" s="24">
        <v>5</v>
      </c>
      <c r="YR6" s="6" t="s">
        <v>20</v>
      </c>
      <c r="YS6" s="5">
        <f t="shared" si="245"/>
        <v>17</v>
      </c>
      <c r="YT6" s="3"/>
      <c r="YU6" s="7">
        <f t="shared" si="65"/>
        <v>2</v>
      </c>
      <c r="YV6" s="5">
        <v>2</v>
      </c>
      <c r="YW6" s="7">
        <f t="shared" si="246"/>
        <v>0</v>
      </c>
      <c r="YY6" s="24">
        <v>6</v>
      </c>
      <c r="YZ6" s="6" t="s">
        <v>20</v>
      </c>
      <c r="ZA6" s="24">
        <v>7</v>
      </c>
      <c r="ZB6" s="6" t="s">
        <v>20</v>
      </c>
      <c r="ZC6" s="5">
        <f t="shared" si="247"/>
        <v>13</v>
      </c>
      <c r="ZD6" s="3"/>
      <c r="ZE6" s="7">
        <f t="shared" si="66"/>
        <v>4</v>
      </c>
      <c r="ZF6" s="5">
        <v>4</v>
      </c>
      <c r="ZG6" s="7">
        <f t="shared" si="248"/>
        <v>0</v>
      </c>
      <c r="ZI6" s="24">
        <v>12</v>
      </c>
      <c r="ZJ6" s="6" t="s">
        <v>20</v>
      </c>
      <c r="ZK6" s="24">
        <v>1</v>
      </c>
      <c r="ZL6" s="6" t="s">
        <v>20</v>
      </c>
      <c r="ZM6" s="5">
        <f t="shared" si="249"/>
        <v>13</v>
      </c>
      <c r="ZN6" s="3"/>
      <c r="ZO6" s="7">
        <f t="shared" si="67"/>
        <v>0</v>
      </c>
      <c r="ZP6" s="5"/>
      <c r="ZQ6" s="7" t="str">
        <f t="shared" si="250"/>
        <v/>
      </c>
      <c r="ZS6" s="24">
        <v>12</v>
      </c>
      <c r="ZT6" s="6" t="s">
        <v>20</v>
      </c>
      <c r="ZU6" s="24">
        <v>1</v>
      </c>
      <c r="ZV6" s="6" t="s">
        <v>20</v>
      </c>
      <c r="ZW6" s="5">
        <f t="shared" si="251"/>
        <v>13</v>
      </c>
      <c r="ZX6" s="3"/>
      <c r="ZY6" s="7">
        <f t="shared" si="68"/>
        <v>0</v>
      </c>
      <c r="ZZ6" s="5"/>
      <c r="AAA6" s="7" t="str">
        <f t="shared" si="252"/>
        <v/>
      </c>
      <c r="AAC6" s="24"/>
      <c r="AAD6" s="6" t="s">
        <v>20</v>
      </c>
      <c r="AAE6" s="24">
        <v>10</v>
      </c>
      <c r="AAF6" s="6" t="s">
        <v>20</v>
      </c>
      <c r="AAG6" s="5">
        <f t="shared" si="253"/>
        <v>10</v>
      </c>
      <c r="AAH6" s="3"/>
      <c r="AAI6" s="7">
        <f t="shared" si="69"/>
        <v>3</v>
      </c>
      <c r="AAJ6" s="5">
        <v>3</v>
      </c>
      <c r="AAK6" s="7">
        <f t="shared" si="254"/>
        <v>0</v>
      </c>
      <c r="AAM6" s="2">
        <v>0</v>
      </c>
      <c r="AAN6" s="6" t="s">
        <v>20</v>
      </c>
      <c r="AAO6" s="2">
        <v>10</v>
      </c>
      <c r="AAP6" s="6" t="s">
        <v>20</v>
      </c>
      <c r="AAQ6" s="5">
        <f t="shared" si="255"/>
        <v>10</v>
      </c>
      <c r="AAR6" s="3"/>
      <c r="AAS6" s="7">
        <f t="shared" si="70"/>
        <v>0</v>
      </c>
      <c r="AAT6" s="5"/>
      <c r="AAU6" s="7" t="str">
        <f t="shared" si="256"/>
        <v/>
      </c>
      <c r="AAW6" s="2">
        <v>0</v>
      </c>
      <c r="AAX6" s="6" t="s">
        <v>20</v>
      </c>
      <c r="AAY6" s="2">
        <v>6</v>
      </c>
      <c r="AAZ6" s="6" t="s">
        <v>20</v>
      </c>
      <c r="ABA6" s="5">
        <f t="shared" si="257"/>
        <v>6</v>
      </c>
      <c r="ABB6" s="3">
        <v>1</v>
      </c>
      <c r="ABC6" s="7">
        <f t="shared" si="71"/>
        <v>4</v>
      </c>
      <c r="ABD6" s="5">
        <v>3</v>
      </c>
      <c r="ABE6" s="7">
        <f t="shared" si="258"/>
        <v>-1</v>
      </c>
      <c r="ABG6" s="24">
        <v>24</v>
      </c>
      <c r="ABH6" s="6" t="s">
        <v>20</v>
      </c>
      <c r="ABI6" s="24">
        <v>6</v>
      </c>
      <c r="ABJ6" s="6" t="s">
        <v>20</v>
      </c>
      <c r="ABK6" s="5">
        <f t="shared" si="259"/>
        <v>30</v>
      </c>
      <c r="ABL6" s="3"/>
      <c r="ABM6" s="7">
        <f t="shared" si="72"/>
        <v>0</v>
      </c>
      <c r="ABN6" s="5"/>
      <c r="ABO6" s="7" t="str">
        <f t="shared" si="260"/>
        <v/>
      </c>
      <c r="ABQ6" s="2">
        <v>24</v>
      </c>
      <c r="ABR6" s="6" t="s">
        <v>20</v>
      </c>
      <c r="ABS6" s="2">
        <v>6</v>
      </c>
      <c r="ABT6" s="6" t="s">
        <v>20</v>
      </c>
      <c r="ABU6" s="5">
        <f t="shared" si="261"/>
        <v>30</v>
      </c>
      <c r="ABV6" s="3"/>
      <c r="ABW6" s="7">
        <f t="shared" si="73"/>
        <v>0</v>
      </c>
      <c r="ABX6" s="5"/>
      <c r="ABY6" s="7" t="str">
        <f t="shared" si="262"/>
        <v/>
      </c>
      <c r="ACA6" s="24">
        <v>24</v>
      </c>
      <c r="ACB6" s="6" t="s">
        <v>20</v>
      </c>
      <c r="ACC6" s="24">
        <v>6</v>
      </c>
      <c r="ACD6" s="6" t="s">
        <v>20</v>
      </c>
      <c r="ACE6" s="5">
        <f t="shared" si="74"/>
        <v>30</v>
      </c>
      <c r="ACF6" s="3"/>
      <c r="ACG6" s="7">
        <f t="shared" si="75"/>
        <v>0</v>
      </c>
      <c r="ACH6" s="5"/>
      <c r="ACI6" s="7" t="str">
        <f t="shared" si="76"/>
        <v/>
      </c>
      <c r="ACK6" s="24">
        <v>24</v>
      </c>
      <c r="ACL6" s="6" t="s">
        <v>20</v>
      </c>
      <c r="ACM6" s="24">
        <v>5</v>
      </c>
      <c r="ACN6" s="6" t="s">
        <v>20</v>
      </c>
      <c r="ACO6" s="5">
        <f t="shared" si="263"/>
        <v>29</v>
      </c>
      <c r="ACP6" s="3"/>
      <c r="ACQ6" s="7">
        <f t="shared" si="77"/>
        <v>1</v>
      </c>
      <c r="ACR6" s="5">
        <v>1</v>
      </c>
      <c r="ACS6" s="7">
        <f t="shared" si="264"/>
        <v>0</v>
      </c>
      <c r="ACU6" s="24">
        <v>12</v>
      </c>
      <c r="ACV6" s="6" t="s">
        <v>20</v>
      </c>
      <c r="ACW6" s="24">
        <v>16</v>
      </c>
      <c r="ACX6" s="6" t="s">
        <v>20</v>
      </c>
      <c r="ACY6" s="5">
        <f t="shared" si="265"/>
        <v>28</v>
      </c>
      <c r="ACZ6" s="3"/>
      <c r="ADA6" s="7">
        <f t="shared" si="78"/>
        <v>1</v>
      </c>
      <c r="ADB6" s="5">
        <v>1</v>
      </c>
      <c r="ADC6" s="7">
        <f t="shared" si="266"/>
        <v>0</v>
      </c>
      <c r="ADE6" s="24">
        <v>12</v>
      </c>
      <c r="ADF6" s="6" t="s">
        <v>20</v>
      </c>
      <c r="ADG6" s="24">
        <v>16</v>
      </c>
      <c r="ADH6" s="6" t="s">
        <v>20</v>
      </c>
      <c r="ADI6" s="5">
        <f t="shared" si="267"/>
        <v>28</v>
      </c>
      <c r="ADJ6" s="3"/>
      <c r="ADK6" s="7">
        <f t="shared" si="79"/>
        <v>0</v>
      </c>
      <c r="ADL6" s="5"/>
      <c r="ADM6" s="7" t="str">
        <f t="shared" si="268"/>
        <v/>
      </c>
      <c r="ADO6" s="24">
        <v>12</v>
      </c>
      <c r="ADP6" s="6" t="s">
        <v>20</v>
      </c>
      <c r="ADQ6" s="24">
        <v>15</v>
      </c>
      <c r="ADR6" s="6" t="s">
        <v>20</v>
      </c>
      <c r="ADS6" s="5">
        <f t="shared" si="269"/>
        <v>27</v>
      </c>
      <c r="ADT6" s="3"/>
      <c r="ADU6" s="7">
        <f t="shared" si="80"/>
        <v>1</v>
      </c>
      <c r="ADV6" s="5">
        <v>1</v>
      </c>
      <c r="ADW6" s="7">
        <f t="shared" si="270"/>
        <v>0</v>
      </c>
      <c r="ADY6" s="24">
        <v>12</v>
      </c>
      <c r="ADZ6" s="6" t="s">
        <v>20</v>
      </c>
      <c r="AEA6" s="24">
        <v>12</v>
      </c>
      <c r="AEB6" s="6" t="s">
        <v>20</v>
      </c>
      <c r="AEC6" s="5">
        <f t="shared" si="271"/>
        <v>24</v>
      </c>
      <c r="AED6" s="3"/>
      <c r="AEE6" s="7">
        <f t="shared" si="81"/>
        <v>3</v>
      </c>
      <c r="AEF6" s="5">
        <v>3</v>
      </c>
      <c r="AEG6" s="7">
        <f t="shared" si="272"/>
        <v>0</v>
      </c>
      <c r="AEI6" s="2">
        <v>12</v>
      </c>
      <c r="AEJ6" s="6" t="s">
        <v>20</v>
      </c>
      <c r="AEK6" s="2">
        <v>11</v>
      </c>
      <c r="AEL6" s="6" t="s">
        <v>20</v>
      </c>
      <c r="AEM6" s="5">
        <f t="shared" si="273"/>
        <v>23</v>
      </c>
      <c r="AEN6" s="3"/>
      <c r="AEO6" s="7">
        <f t="shared" si="82"/>
        <v>1</v>
      </c>
      <c r="AEP6" s="5">
        <v>1</v>
      </c>
      <c r="AEQ6" s="7">
        <f t="shared" si="274"/>
        <v>0</v>
      </c>
      <c r="AES6" s="24">
        <v>12</v>
      </c>
      <c r="AET6" s="6" t="s">
        <v>20</v>
      </c>
      <c r="AEU6" s="24">
        <v>11</v>
      </c>
      <c r="AEV6" s="6" t="s">
        <v>20</v>
      </c>
      <c r="AEW6" s="5">
        <f t="shared" si="275"/>
        <v>23</v>
      </c>
      <c r="AEX6" s="3"/>
      <c r="AEY6" s="7">
        <f t="shared" si="83"/>
        <v>0</v>
      </c>
      <c r="AEZ6" s="5"/>
      <c r="AFA6" s="7" t="str">
        <f t="shared" si="276"/>
        <v/>
      </c>
      <c r="AFC6" s="2">
        <v>12</v>
      </c>
      <c r="AFD6" s="6" t="s">
        <v>20</v>
      </c>
      <c r="AFE6" s="2">
        <v>9</v>
      </c>
      <c r="AFF6" s="6" t="s">
        <v>20</v>
      </c>
      <c r="AFG6" s="5">
        <f t="shared" si="277"/>
        <v>21</v>
      </c>
      <c r="AFH6" s="3"/>
      <c r="AFI6" s="7">
        <f t="shared" si="84"/>
        <v>2</v>
      </c>
      <c r="AFJ6" s="5">
        <v>2</v>
      </c>
      <c r="AFK6" s="7">
        <f t="shared" si="278"/>
        <v>0</v>
      </c>
      <c r="AFM6" s="2">
        <v>12</v>
      </c>
      <c r="AFN6" s="6" t="s">
        <v>20</v>
      </c>
      <c r="AFO6" s="2">
        <v>9</v>
      </c>
      <c r="AFP6" s="6" t="s">
        <v>20</v>
      </c>
      <c r="AFQ6" s="5">
        <f t="shared" si="279"/>
        <v>21</v>
      </c>
      <c r="AFR6" s="3"/>
      <c r="AFS6" s="7">
        <f t="shared" si="85"/>
        <v>0</v>
      </c>
      <c r="AFT6" s="5"/>
      <c r="AFU6" s="7" t="str">
        <f t="shared" si="280"/>
        <v/>
      </c>
      <c r="AFW6" s="24">
        <v>12</v>
      </c>
      <c r="AFX6" s="6" t="s">
        <v>20</v>
      </c>
      <c r="AFY6" s="24">
        <v>9</v>
      </c>
      <c r="AFZ6" s="6" t="s">
        <v>20</v>
      </c>
      <c r="AGA6" s="5">
        <f t="shared" si="281"/>
        <v>21</v>
      </c>
      <c r="AGB6" s="3"/>
      <c r="AGC6" s="7">
        <f t="shared" si="86"/>
        <v>0</v>
      </c>
      <c r="AGD6" s="5"/>
      <c r="AGE6" s="7" t="str">
        <f t="shared" si="282"/>
        <v/>
      </c>
      <c r="AGG6" s="24">
        <v>12</v>
      </c>
      <c r="AGH6" s="6" t="s">
        <v>20</v>
      </c>
      <c r="AGI6" s="24">
        <v>5</v>
      </c>
      <c r="AGJ6" s="6" t="s">
        <v>20</v>
      </c>
      <c r="AGK6" s="5">
        <f t="shared" si="283"/>
        <v>17</v>
      </c>
      <c r="AGL6" s="3"/>
      <c r="AGM6" s="7">
        <f t="shared" si="87"/>
        <v>4</v>
      </c>
      <c r="AGN6" s="5">
        <v>4</v>
      </c>
      <c r="AGO6" s="7">
        <f t="shared" si="284"/>
        <v>0</v>
      </c>
      <c r="AGQ6" s="24">
        <v>12</v>
      </c>
      <c r="AGR6" s="6" t="s">
        <v>20</v>
      </c>
      <c r="AGS6" s="24">
        <v>5</v>
      </c>
      <c r="AGT6" s="6" t="s">
        <v>20</v>
      </c>
      <c r="AGU6" s="5">
        <f t="shared" si="285"/>
        <v>17</v>
      </c>
      <c r="AGV6" s="3"/>
      <c r="AGW6" s="7">
        <f t="shared" si="88"/>
        <v>0</v>
      </c>
      <c r="AGX6" s="5"/>
      <c r="AGY6" s="7" t="str">
        <f t="shared" si="286"/>
        <v/>
      </c>
      <c r="AHA6" s="24">
        <v>12</v>
      </c>
      <c r="AHB6" s="6" t="s">
        <v>20</v>
      </c>
      <c r="AHC6" s="24">
        <v>3</v>
      </c>
      <c r="AHD6" s="6" t="s">
        <v>20</v>
      </c>
      <c r="AHE6" s="5">
        <f t="shared" si="287"/>
        <v>15</v>
      </c>
      <c r="AHF6" s="3">
        <v>1</v>
      </c>
      <c r="AHG6" s="7">
        <f t="shared" si="89"/>
        <v>2</v>
      </c>
      <c r="AHH6" s="5">
        <v>2</v>
      </c>
      <c r="AHI6" s="7">
        <f t="shared" si="288"/>
        <v>0</v>
      </c>
      <c r="AHK6" s="2">
        <v>24</v>
      </c>
      <c r="AHL6" s="6" t="s">
        <v>20</v>
      </c>
      <c r="AHM6" s="2">
        <v>15</v>
      </c>
      <c r="AHN6" s="6" t="s">
        <v>20</v>
      </c>
      <c r="AHO6" s="5">
        <f t="shared" si="289"/>
        <v>39</v>
      </c>
      <c r="AHP6" s="3"/>
      <c r="AHQ6" s="7">
        <f t="shared" si="90"/>
        <v>0</v>
      </c>
      <c r="AHR6" s="5"/>
      <c r="AHS6" s="7" t="str">
        <f t="shared" si="290"/>
        <v/>
      </c>
      <c r="AHU6" s="2">
        <v>24</v>
      </c>
      <c r="AHV6" s="6" t="s">
        <v>20</v>
      </c>
      <c r="AHW6" s="2">
        <v>11</v>
      </c>
      <c r="AHX6" s="6" t="s">
        <v>20</v>
      </c>
      <c r="AHY6" s="5">
        <f t="shared" si="291"/>
        <v>35</v>
      </c>
      <c r="AHZ6" s="3"/>
      <c r="AIA6" s="7">
        <f t="shared" si="91"/>
        <v>4</v>
      </c>
      <c r="AIB6" s="5">
        <v>4</v>
      </c>
      <c r="AIC6" s="7">
        <f t="shared" si="292"/>
        <v>0</v>
      </c>
      <c r="AIE6" s="24">
        <v>24</v>
      </c>
      <c r="AIF6" s="6" t="s">
        <v>20</v>
      </c>
      <c r="AIG6" s="24">
        <v>10</v>
      </c>
      <c r="AIH6" s="6" t="s">
        <v>20</v>
      </c>
      <c r="AII6" s="5">
        <f t="shared" si="293"/>
        <v>34</v>
      </c>
      <c r="AIJ6" s="3"/>
      <c r="AIK6" s="7">
        <f t="shared" si="92"/>
        <v>1</v>
      </c>
      <c r="AIL6" s="5">
        <v>1</v>
      </c>
      <c r="AIM6" s="7">
        <f t="shared" si="294"/>
        <v>0</v>
      </c>
      <c r="AIO6" s="24">
        <v>24</v>
      </c>
      <c r="AIP6" s="6" t="s">
        <v>20</v>
      </c>
      <c r="AIQ6" s="24">
        <v>9</v>
      </c>
      <c r="AIR6" s="6" t="s">
        <v>20</v>
      </c>
      <c r="AIS6" s="5">
        <f t="shared" si="295"/>
        <v>33</v>
      </c>
      <c r="AIT6" s="3"/>
      <c r="AIU6" s="7">
        <f t="shared" si="93"/>
        <v>1</v>
      </c>
      <c r="AIV6" s="5">
        <v>1</v>
      </c>
      <c r="AIW6" s="7">
        <f t="shared" si="296"/>
        <v>0</v>
      </c>
      <c r="AIY6" s="24">
        <v>24</v>
      </c>
      <c r="AIZ6" s="6" t="s">
        <v>20</v>
      </c>
      <c r="AJA6" s="24">
        <v>9</v>
      </c>
      <c r="AJB6" s="6" t="s">
        <v>20</v>
      </c>
      <c r="AJC6" s="5">
        <f t="shared" si="297"/>
        <v>33</v>
      </c>
      <c r="AJD6" s="3"/>
      <c r="AJE6" s="7">
        <f t="shared" si="94"/>
        <v>0</v>
      </c>
      <c r="AJF6" s="5"/>
      <c r="AJG6" s="7" t="str">
        <f t="shared" si="298"/>
        <v/>
      </c>
      <c r="AJI6" s="2">
        <v>24</v>
      </c>
      <c r="AJJ6" s="6" t="s">
        <v>20</v>
      </c>
      <c r="AJK6" s="2">
        <v>9</v>
      </c>
      <c r="AJL6" s="6" t="s">
        <v>20</v>
      </c>
      <c r="AJM6" s="5">
        <f t="shared" si="299"/>
        <v>33</v>
      </c>
      <c r="AJN6" s="3">
        <v>-1</v>
      </c>
      <c r="AJO6" s="7">
        <f t="shared" si="95"/>
        <v>0</v>
      </c>
      <c r="AJP6" s="5"/>
      <c r="AJQ6" s="7" t="str">
        <f t="shared" si="300"/>
        <v/>
      </c>
      <c r="AJS6" s="24"/>
      <c r="AJT6" s="6" t="s">
        <v>20</v>
      </c>
      <c r="AJU6" s="24">
        <v>9</v>
      </c>
      <c r="AJV6" s="6" t="s">
        <v>20</v>
      </c>
      <c r="AJW6" s="5">
        <f t="shared" si="301"/>
        <v>9</v>
      </c>
      <c r="AJX6" s="3"/>
      <c r="AJY6" s="7">
        <f t="shared" si="96"/>
        <v>0</v>
      </c>
      <c r="AJZ6" s="5"/>
      <c r="AKA6" s="7" t="str">
        <f t="shared" si="302"/>
        <v/>
      </c>
      <c r="AKC6" s="2"/>
      <c r="AKD6" s="6" t="s">
        <v>20</v>
      </c>
      <c r="AKE6" s="2">
        <v>7</v>
      </c>
      <c r="AKF6" s="6" t="s">
        <v>20</v>
      </c>
      <c r="AKG6" s="5">
        <f t="shared" si="303"/>
        <v>7</v>
      </c>
      <c r="AKH6" s="3"/>
      <c r="AKI6" s="7">
        <f t="shared" si="97"/>
        <v>2</v>
      </c>
      <c r="AKJ6" s="5">
        <v>2</v>
      </c>
      <c r="AKK6" s="7">
        <f t="shared" si="304"/>
        <v>0</v>
      </c>
      <c r="AKM6" s="24"/>
      <c r="AKN6" s="6" t="s">
        <v>20</v>
      </c>
      <c r="AKO6" s="24">
        <v>7</v>
      </c>
      <c r="AKP6" s="6" t="s">
        <v>20</v>
      </c>
      <c r="AKQ6" s="5">
        <f t="shared" si="305"/>
        <v>7</v>
      </c>
      <c r="AKR6" s="3"/>
      <c r="AKS6" s="7">
        <f t="shared" si="98"/>
        <v>0</v>
      </c>
      <c r="AKT6" s="5"/>
      <c r="AKU6" s="7" t="str">
        <f t="shared" si="306"/>
        <v/>
      </c>
      <c r="AKW6" s="2"/>
      <c r="AKX6" s="6" t="s">
        <v>20</v>
      </c>
      <c r="AKY6" s="2">
        <v>6</v>
      </c>
      <c r="AKZ6" s="6" t="s">
        <v>20</v>
      </c>
      <c r="ALA6" s="5">
        <f t="shared" si="307"/>
        <v>6</v>
      </c>
      <c r="ALB6" s="3"/>
      <c r="ALC6" s="7">
        <f t="shared" si="99"/>
        <v>1</v>
      </c>
      <c r="ALD6" s="5">
        <v>1</v>
      </c>
      <c r="ALE6" s="7">
        <f t="shared" si="308"/>
        <v>0</v>
      </c>
      <c r="ALG6" s="2"/>
      <c r="ALH6" s="6" t="s">
        <v>20</v>
      </c>
      <c r="ALI6" s="2">
        <v>6</v>
      </c>
      <c r="ALJ6" s="6" t="s">
        <v>20</v>
      </c>
      <c r="ALK6" s="5">
        <f t="shared" si="309"/>
        <v>6</v>
      </c>
      <c r="ALL6" s="3"/>
      <c r="ALM6" s="7">
        <f t="shared" si="100"/>
        <v>0</v>
      </c>
      <c r="ALN6" s="5"/>
      <c r="ALO6" s="7" t="str">
        <f t="shared" si="310"/>
        <v/>
      </c>
      <c r="ALQ6" s="24"/>
      <c r="ALR6" s="6" t="s">
        <v>20</v>
      </c>
      <c r="ALS6" s="24">
        <v>1</v>
      </c>
      <c r="ALT6" s="6" t="s">
        <v>20</v>
      </c>
      <c r="ALU6" s="5">
        <f t="shared" si="311"/>
        <v>1</v>
      </c>
      <c r="ALV6" s="3"/>
      <c r="ALW6" s="7">
        <f t="shared" si="101"/>
        <v>5</v>
      </c>
      <c r="ALX6" s="5">
        <v>5</v>
      </c>
      <c r="ALY6" s="7">
        <f t="shared" si="312"/>
        <v>0</v>
      </c>
      <c r="AMA6" s="24" t="s">
        <v>88</v>
      </c>
      <c r="AMB6" s="6" t="s">
        <v>20</v>
      </c>
      <c r="AMC6" s="24">
        <v>1</v>
      </c>
      <c r="AMD6" s="6" t="s">
        <v>20</v>
      </c>
      <c r="AME6" s="5">
        <f t="shared" si="313"/>
        <v>1</v>
      </c>
      <c r="AMF6" s="3">
        <v>1</v>
      </c>
      <c r="AMG6" s="7">
        <f t="shared" si="102"/>
        <v>0</v>
      </c>
      <c r="AMH6" s="5"/>
      <c r="AMI6" s="7" t="str">
        <f t="shared" si="314"/>
        <v/>
      </c>
      <c r="AMK6" s="24">
        <v>24</v>
      </c>
      <c r="AML6" s="6" t="s">
        <v>20</v>
      </c>
      <c r="AMM6" s="24">
        <v>1</v>
      </c>
      <c r="AMN6" s="6" t="s">
        <v>20</v>
      </c>
      <c r="AMO6" s="5">
        <f t="shared" si="315"/>
        <v>25</v>
      </c>
      <c r="AMP6" s="3"/>
      <c r="AMQ6" s="7">
        <f t="shared" si="103"/>
        <v>0</v>
      </c>
      <c r="AMR6" s="5"/>
      <c r="AMS6" s="7" t="str">
        <f t="shared" si="316"/>
        <v/>
      </c>
      <c r="AMU6" s="2">
        <v>24</v>
      </c>
      <c r="AMV6" s="6" t="s">
        <v>20</v>
      </c>
      <c r="AMW6" s="2">
        <v>0</v>
      </c>
      <c r="AMX6" s="6" t="s">
        <v>20</v>
      </c>
      <c r="AMY6" s="5">
        <f t="shared" si="317"/>
        <v>24</v>
      </c>
      <c r="AMZ6" s="3"/>
      <c r="ANA6" s="7">
        <f t="shared" si="104"/>
        <v>1</v>
      </c>
      <c r="ANB6" s="5">
        <v>1</v>
      </c>
      <c r="ANC6" s="7">
        <f t="shared" si="318"/>
        <v>0</v>
      </c>
      <c r="ANE6" s="2">
        <v>19</v>
      </c>
      <c r="ANF6" s="6" t="s">
        <v>20</v>
      </c>
      <c r="ANG6" s="2">
        <v>4</v>
      </c>
      <c r="ANH6" s="6" t="s">
        <v>20</v>
      </c>
      <c r="ANI6" s="5">
        <f t="shared" si="319"/>
        <v>23</v>
      </c>
      <c r="ANJ6" s="3"/>
      <c r="ANK6" s="7">
        <f t="shared" si="105"/>
        <v>1</v>
      </c>
      <c r="ANL6" s="5">
        <v>1</v>
      </c>
      <c r="ANM6" s="7">
        <f t="shared" si="320"/>
        <v>0</v>
      </c>
      <c r="ANO6" s="24">
        <v>19</v>
      </c>
      <c r="ANP6" s="6" t="s">
        <v>20</v>
      </c>
      <c r="ANQ6" s="24">
        <v>4</v>
      </c>
      <c r="ANR6" s="6" t="s">
        <v>20</v>
      </c>
      <c r="ANS6" s="5">
        <f t="shared" si="321"/>
        <v>23</v>
      </c>
      <c r="ANT6" s="3"/>
      <c r="ANU6" s="7">
        <f t="shared" si="106"/>
        <v>0</v>
      </c>
      <c r="ANV6" s="5"/>
      <c r="ANW6" s="7" t="str">
        <f t="shared" si="322"/>
        <v/>
      </c>
      <c r="ANY6" s="24">
        <v>12</v>
      </c>
      <c r="ANZ6" s="6" t="s">
        <v>20</v>
      </c>
      <c r="AOA6" s="24">
        <v>11</v>
      </c>
      <c r="AOB6" s="6" t="s">
        <v>20</v>
      </c>
      <c r="AOC6" s="5">
        <f t="shared" si="323"/>
        <v>23</v>
      </c>
      <c r="AOD6" s="3"/>
      <c r="AOE6" s="7">
        <f t="shared" si="107"/>
        <v>0</v>
      </c>
      <c r="AOF6" s="5"/>
      <c r="AOG6" s="7" t="str">
        <f t="shared" si="324"/>
        <v/>
      </c>
      <c r="AOI6" s="24">
        <v>12</v>
      </c>
      <c r="AOJ6" s="6" t="s">
        <v>20</v>
      </c>
      <c r="AOK6" s="24">
        <v>11</v>
      </c>
      <c r="AOL6" s="6" t="s">
        <v>20</v>
      </c>
      <c r="AOM6" s="5">
        <f t="shared" si="325"/>
        <v>23</v>
      </c>
      <c r="AON6" s="3"/>
      <c r="AOO6" s="7">
        <f t="shared" si="108"/>
        <v>0</v>
      </c>
      <c r="AOP6" s="5"/>
      <c r="AOQ6" s="7" t="str">
        <f t="shared" si="326"/>
        <v/>
      </c>
      <c r="AOS6" s="24">
        <v>12</v>
      </c>
      <c r="AOT6" s="6" t="s">
        <v>20</v>
      </c>
      <c r="AOU6" s="24">
        <v>10</v>
      </c>
      <c r="AOV6" s="6" t="s">
        <v>20</v>
      </c>
      <c r="AOW6" s="5">
        <f t="shared" si="327"/>
        <v>22</v>
      </c>
      <c r="AOX6" s="3"/>
      <c r="AOY6" s="7">
        <f t="shared" si="109"/>
        <v>1</v>
      </c>
      <c r="AOZ6" s="5">
        <v>0</v>
      </c>
      <c r="APA6" s="7">
        <f t="shared" si="328"/>
        <v>-1</v>
      </c>
      <c r="APC6" s="24">
        <v>12</v>
      </c>
      <c r="APD6" s="6" t="s">
        <v>20</v>
      </c>
      <c r="APE6" s="24">
        <v>8</v>
      </c>
      <c r="APF6" s="6" t="s">
        <v>20</v>
      </c>
      <c r="APG6" s="5">
        <f t="shared" si="329"/>
        <v>20</v>
      </c>
      <c r="APH6" s="3"/>
      <c r="API6" s="7">
        <f t="shared" si="110"/>
        <v>2</v>
      </c>
      <c r="APJ6" s="5">
        <v>2</v>
      </c>
      <c r="APK6" s="7">
        <f t="shared" si="330"/>
        <v>0</v>
      </c>
      <c r="APM6" s="24">
        <v>12</v>
      </c>
      <c r="APN6" s="6" t="s">
        <v>20</v>
      </c>
      <c r="APO6" s="24">
        <v>8</v>
      </c>
      <c r="APP6" s="6" t="s">
        <v>20</v>
      </c>
      <c r="APQ6" s="5">
        <f t="shared" si="331"/>
        <v>20</v>
      </c>
      <c r="APR6" s="3"/>
      <c r="APS6" s="7">
        <f t="shared" si="111"/>
        <v>0</v>
      </c>
      <c r="APT6" s="5"/>
      <c r="APU6" s="7" t="str">
        <f t="shared" si="332"/>
        <v/>
      </c>
      <c r="APW6" s="2"/>
      <c r="APX6" s="6" t="s">
        <v>20</v>
      </c>
      <c r="APY6" s="2"/>
      <c r="APZ6" s="6" t="s">
        <v>20</v>
      </c>
      <c r="AQA6" s="5" t="str">
        <f t="shared" si="333"/>
        <v/>
      </c>
      <c r="AQB6" s="3"/>
      <c r="AQC6" s="7" t="str">
        <f t="shared" si="112"/>
        <v/>
      </c>
      <c r="AQD6" s="5"/>
      <c r="AQE6" s="7" t="str">
        <f t="shared" si="334"/>
        <v/>
      </c>
    </row>
    <row r="7" spans="1:1123" ht="12.75" customHeight="1" x14ac:dyDescent="0.2">
      <c r="A7" s="22" t="s">
        <v>24</v>
      </c>
      <c r="B7" s="13" t="s">
        <v>19</v>
      </c>
      <c r="C7" s="13">
        <v>0</v>
      </c>
      <c r="E7" s="24"/>
      <c r="F7" s="6" t="s">
        <v>20</v>
      </c>
      <c r="G7" s="24">
        <v>12</v>
      </c>
      <c r="H7" s="6" t="s">
        <v>20</v>
      </c>
      <c r="I7" s="5">
        <f t="shared" ref="I7" si="335">IF(OR(ISNUMBER(E7), ISNUMBER(G7)), IF(ISNUMBER(E7), E7, 0) + IF(ISNUMBER(G7), G7, 0), "")</f>
        <v>12</v>
      </c>
      <c r="J7" s="3"/>
      <c r="K7" s="7"/>
      <c r="L7" s="5"/>
      <c r="M7" s="7" t="str">
        <f t="shared" ref="M7" si="336">IF(ISNUMBER(L7), L7-K7, "")</f>
        <v/>
      </c>
      <c r="O7" s="24"/>
      <c r="P7" s="6" t="s">
        <v>20</v>
      </c>
      <c r="Q7" s="24">
        <v>8</v>
      </c>
      <c r="R7" s="6" t="s">
        <v>20</v>
      </c>
      <c r="S7" s="5">
        <f t="shared" ref="S7" si="337">IF(OR(ISNUMBER(O7), ISNUMBER(Q7)), IF(ISNUMBER(O7), O7, 0) + IF(ISNUMBER(Q7), Q7, 0), "")</f>
        <v>8</v>
      </c>
      <c r="T7" s="3"/>
      <c r="U7" s="7">
        <f t="shared" ref="U7" si="338">IF(ISNUMBER(S7), (I7 + (J7 * 24)) - S7, "")</f>
        <v>4</v>
      </c>
      <c r="V7" s="5">
        <v>5</v>
      </c>
      <c r="W7" s="7">
        <f t="shared" ref="W7" si="339">IF(ISNUMBER(V7), V7-U7, "")</f>
        <v>1</v>
      </c>
      <c r="Y7" s="24"/>
      <c r="Z7" s="6" t="s">
        <v>20</v>
      </c>
      <c r="AA7" s="24">
        <v>8</v>
      </c>
      <c r="AB7" s="6" t="s">
        <v>20</v>
      </c>
      <c r="AC7" s="5">
        <f t="shared" ref="AC7" si="340">IF(OR(ISNUMBER(Y7), ISNUMBER(AA7)), IF(ISNUMBER(Y7), Y7, 0) + IF(ISNUMBER(AA7), AA7, 0), "")</f>
        <v>8</v>
      </c>
      <c r="AD7" s="3"/>
      <c r="AE7" s="7">
        <f t="shared" ref="AE7" si="341">IF(ISNUMBER(AC7), (S7 + (T7 * 24)) - AC7, "")</f>
        <v>0</v>
      </c>
      <c r="AF7" s="5"/>
      <c r="AG7" s="7" t="str">
        <f t="shared" ref="AG7" si="342">IF(ISNUMBER(AF7), AF7-AE7, "")</f>
        <v/>
      </c>
      <c r="AI7" s="24">
        <v>1</v>
      </c>
      <c r="AJ7" s="6" t="s">
        <v>20</v>
      </c>
      <c r="AK7" s="24">
        <v>5</v>
      </c>
      <c r="AL7" s="6" t="s">
        <v>20</v>
      </c>
      <c r="AM7" s="5">
        <f t="shared" ref="AM7" si="343">IF(OR(ISNUMBER(AI7), ISNUMBER(AK7)), IF(ISNUMBER(AI7), AI7, 0) + IF(ISNUMBER(AK7), AK7, 0), "")</f>
        <v>6</v>
      </c>
      <c r="AN7" s="3">
        <v>2</v>
      </c>
      <c r="AO7" s="7">
        <f t="shared" ref="AO7" si="344">IF(ISNUMBER(AM7), (AC7 + (AD7 * 24)) - AM7, "")</f>
        <v>2</v>
      </c>
      <c r="AP7" s="5">
        <v>4</v>
      </c>
      <c r="AQ7" s="7">
        <f t="shared" ref="AQ7" si="345">IF(ISNUMBER(AP7), AP7-AO7, "")</f>
        <v>2</v>
      </c>
      <c r="AS7" s="24">
        <v>13</v>
      </c>
      <c r="AT7" s="6" t="s">
        <v>20</v>
      </c>
      <c r="AU7" s="24">
        <v>11</v>
      </c>
      <c r="AV7" s="6" t="s">
        <v>20</v>
      </c>
      <c r="AW7" s="5">
        <f t="shared" ref="AW7" si="346">IF(OR(ISNUMBER(AS7), ISNUMBER(AU7)), IF(ISNUMBER(AS7), AS7, 0) + IF(ISNUMBER(AU7), AU7, 0), "")</f>
        <v>24</v>
      </c>
      <c r="AX7" s="3"/>
      <c r="AY7" s="7">
        <f t="shared" ref="AY7" si="347">IF(ISNUMBER(AW7), (AM7 + (AN7 * 24)) - AW7, "")</f>
        <v>30</v>
      </c>
      <c r="AZ7" s="5">
        <v>3</v>
      </c>
      <c r="BA7" s="7">
        <f t="shared" ref="BA7" si="348">IF(ISNUMBER(AZ7), AZ7-AY7, "")</f>
        <v>-27</v>
      </c>
      <c r="BC7" s="2">
        <v>13</v>
      </c>
      <c r="BD7" s="6" t="s">
        <v>20</v>
      </c>
      <c r="BE7" s="2">
        <v>8</v>
      </c>
      <c r="BF7" s="6" t="s">
        <v>20</v>
      </c>
      <c r="BG7" s="5">
        <f t="shared" ref="BG7" si="349">IF(OR(ISNUMBER(BC7), ISNUMBER(BE7)), IF(ISNUMBER(BC7), BC7, 0) + IF(ISNUMBER(BE7), BE7, 0), "")</f>
        <v>21</v>
      </c>
      <c r="BH7" s="3"/>
      <c r="BI7" s="7">
        <f t="shared" ref="BI7" si="350">IF(ISNUMBER(BG7), (AW7 + (AX7 * 24)) - BG7, "")</f>
        <v>3</v>
      </c>
      <c r="BJ7" s="5">
        <v>4</v>
      </c>
      <c r="BK7" s="7">
        <f t="shared" ref="BK7" si="351">IF(ISNUMBER(BJ7), BJ7-BI7, "")</f>
        <v>1</v>
      </c>
      <c r="BM7" s="2">
        <v>13</v>
      </c>
      <c r="BN7" s="6" t="s">
        <v>20</v>
      </c>
      <c r="BO7" s="2">
        <v>7</v>
      </c>
      <c r="BP7" s="6" t="s">
        <v>20</v>
      </c>
      <c r="BQ7" s="5">
        <f t="shared" ref="BQ7" si="352">IF(OR(ISNUMBER(BM7), ISNUMBER(BO7)), IF(ISNUMBER(BM7), BM7, 0) + IF(ISNUMBER(BO7), BO7, 0), "")</f>
        <v>20</v>
      </c>
      <c r="BR7" s="3"/>
      <c r="BS7" s="7"/>
      <c r="BT7" s="5"/>
      <c r="BU7" s="7" t="str">
        <f t="shared" ref="BU7" si="353">IF(ISNUMBER(BT7), BT7-BS7, "")</f>
        <v/>
      </c>
      <c r="BW7" s="24">
        <v>13</v>
      </c>
      <c r="BX7" s="6" t="s">
        <v>20</v>
      </c>
      <c r="BY7" s="24">
        <v>6</v>
      </c>
      <c r="BZ7" s="6" t="s">
        <v>20</v>
      </c>
      <c r="CA7" s="5">
        <f t="shared" ref="CA7" si="354">IF(OR(ISNUMBER(BW7), ISNUMBER(BY7)), IF(ISNUMBER(BW7), BW7, 0) + IF(ISNUMBER(BY7), BY7, 0), "")</f>
        <v>19</v>
      </c>
      <c r="CB7" s="3"/>
      <c r="CC7" s="7">
        <f t="shared" ref="CC7" si="355">IF(ISNUMBER(CA7), (BQ7 + (BR7 * 24)) - CA7, "")</f>
        <v>1</v>
      </c>
      <c r="CD7" s="5">
        <v>3</v>
      </c>
      <c r="CE7" s="7">
        <f t="shared" ref="CE7" si="356">IF(ISNUMBER(CD7), CD7-CC7, "")</f>
        <v>2</v>
      </c>
      <c r="CG7" s="24">
        <v>9</v>
      </c>
      <c r="CH7" s="6" t="s">
        <v>20</v>
      </c>
      <c r="CI7" s="24">
        <v>10</v>
      </c>
      <c r="CJ7" s="6" t="s">
        <v>20</v>
      </c>
      <c r="CK7" s="5">
        <f t="shared" ref="CK7" si="357">IF(OR(ISNUMBER(CG7), ISNUMBER(CI7)), IF(ISNUMBER(CG7), CG7, 0) + IF(ISNUMBER(CI7), CI7, 0), "")</f>
        <v>19</v>
      </c>
      <c r="CL7" s="3"/>
      <c r="CM7" s="7">
        <f t="shared" ref="CM7" si="358">IF(ISNUMBER(CK7), (CA7 + (CB7 * 24)) - CK7, "")</f>
        <v>0</v>
      </c>
      <c r="CN7" s="5"/>
      <c r="CO7" s="7" t="str">
        <f t="shared" ref="CO7" si="359">IF(ISNUMBER(CN7), CN7-CM7, "")</f>
        <v/>
      </c>
      <c r="CQ7" s="24">
        <v>7</v>
      </c>
      <c r="CR7" s="6" t="s">
        <v>20</v>
      </c>
      <c r="CS7" s="24">
        <v>8</v>
      </c>
      <c r="CT7" s="6" t="s">
        <v>20</v>
      </c>
      <c r="CU7" s="5">
        <f t="shared" ref="CU7" si="360">IF(OR(ISNUMBER(CQ7), ISNUMBER(CS7)), IF(ISNUMBER(CQ7), CQ7, 0) + IF(ISNUMBER(CS7), CS7, 0), "")</f>
        <v>15</v>
      </c>
      <c r="CV7" s="3"/>
      <c r="CW7" s="7">
        <f t="shared" ref="CW7" si="361">IF(ISNUMBER(CU7), (CK7 + (CL7 * 24)) - CU7, "")</f>
        <v>4</v>
      </c>
      <c r="CX7" s="5">
        <v>3</v>
      </c>
      <c r="CY7" s="7">
        <f t="shared" ref="CY7" si="362">IF(ISNUMBER(CX7), CX7-CW7, "")</f>
        <v>-1</v>
      </c>
      <c r="DA7" s="24">
        <v>7</v>
      </c>
      <c r="DB7" s="6" t="s">
        <v>20</v>
      </c>
      <c r="DC7" s="24">
        <v>7</v>
      </c>
      <c r="DD7" s="6" t="s">
        <v>20</v>
      </c>
      <c r="DE7" s="5">
        <f t="shared" ref="DE7" si="363">IF(OR(ISNUMBER(DA7), ISNUMBER(DC7)), IF(ISNUMBER(DA7), DA7, 0) + IF(ISNUMBER(DC7), DC7, 0), "")</f>
        <v>14</v>
      </c>
      <c r="DF7" s="3"/>
      <c r="DG7" s="7">
        <f t="shared" ref="DG7" si="364">IF(ISNUMBER(DE7), (CU7 + (CV7 * 24)) - DE7, "")</f>
        <v>1</v>
      </c>
      <c r="DH7" s="5">
        <v>2</v>
      </c>
      <c r="DI7" s="7">
        <f t="shared" ref="DI7" si="365">IF(ISNUMBER(DH7), DH7-DG7, "")</f>
        <v>1</v>
      </c>
      <c r="DK7" s="24">
        <v>7</v>
      </c>
      <c r="DL7" s="6" t="s">
        <v>20</v>
      </c>
      <c r="DM7" s="24">
        <v>7</v>
      </c>
      <c r="DN7" s="6" t="s">
        <v>20</v>
      </c>
      <c r="DO7" s="5">
        <f t="shared" ref="DO7" si="366">IF(OR(ISNUMBER(DK7), ISNUMBER(DM7)), IF(ISNUMBER(DK7), DK7, 0) + IF(ISNUMBER(DM7), DM7, 0), "")</f>
        <v>14</v>
      </c>
      <c r="DP7" s="3"/>
      <c r="DQ7" s="7">
        <f t="shared" ref="DQ7" si="367">IF(ISNUMBER(DO7), (DE7 + (DF7 * 24)) - DO7, "")</f>
        <v>0</v>
      </c>
      <c r="DR7" s="5">
        <v>2</v>
      </c>
      <c r="DS7" s="7">
        <f t="shared" ref="DS7" si="368">IF(ISNUMBER(DR7), DR7-DQ7, "")</f>
        <v>2</v>
      </c>
      <c r="DU7" s="24">
        <v>7</v>
      </c>
      <c r="DV7" s="6" t="s">
        <v>20</v>
      </c>
      <c r="DW7" s="24">
        <v>7</v>
      </c>
      <c r="DX7" s="6" t="s">
        <v>20</v>
      </c>
      <c r="DY7" s="5">
        <f t="shared" ref="DY7" si="369">IF(OR(ISNUMBER(DU7), ISNUMBER(DW7)), IF(ISNUMBER(DU7), DU7, 0) + IF(ISNUMBER(DW7), DW7, 0), "")</f>
        <v>14</v>
      </c>
      <c r="DZ7" s="3"/>
      <c r="EA7" s="7">
        <f t="shared" ref="EA7" si="370">IF(ISNUMBER(DY7), (DO7 + (DP7 * 24)) - DY7, "")</f>
        <v>0</v>
      </c>
      <c r="EB7" s="5"/>
      <c r="EC7" s="7" t="str">
        <f t="shared" ref="EC7" si="371">IF(ISNUMBER(EB7), EB7-EA7, "")</f>
        <v/>
      </c>
      <c r="EE7" s="24">
        <v>1</v>
      </c>
      <c r="EF7" s="6" t="s">
        <v>20</v>
      </c>
      <c r="EG7" s="24">
        <v>9</v>
      </c>
      <c r="EH7" s="6" t="s">
        <v>20</v>
      </c>
      <c r="EI7" s="5">
        <f t="shared" ref="EI7" si="372">IF(OR(ISNUMBER(EE7), ISNUMBER(EG7)), IF(ISNUMBER(EE7), EE7, 0) + IF(ISNUMBER(EG7), EG7, 0), "")</f>
        <v>10</v>
      </c>
      <c r="EJ7" s="3"/>
      <c r="EK7" s="7">
        <f t="shared" ref="EK7" si="373">IF(ISNUMBER(EI7), (DY7 + (DZ7 * 24)) - EI7, "")</f>
        <v>4</v>
      </c>
      <c r="EL7" s="5">
        <v>5</v>
      </c>
      <c r="EM7" s="7">
        <f t="shared" ref="EM7" si="374">IF(ISNUMBER(EL7), EL7-EK7, "")</f>
        <v>1</v>
      </c>
      <c r="EO7" s="24">
        <v>1</v>
      </c>
      <c r="EP7" s="6" t="s">
        <v>20</v>
      </c>
      <c r="EQ7" s="24">
        <v>9</v>
      </c>
      <c r="ER7" s="6" t="s">
        <v>20</v>
      </c>
      <c r="ES7" s="5">
        <f t="shared" ref="ES7" si="375">IF(OR(ISNUMBER(EO7), ISNUMBER(EQ7)), IF(ISNUMBER(EO7), EO7, 0) + IF(ISNUMBER(EQ7), EQ7, 0), "")</f>
        <v>10</v>
      </c>
      <c r="ET7" s="3">
        <v>2</v>
      </c>
      <c r="EU7" s="7">
        <f t="shared" ref="EU7" si="376">IF(ISNUMBER(ES7), (EI7 + (EJ7 * 24)) - ES7, "")</f>
        <v>0</v>
      </c>
      <c r="EV7" s="5"/>
      <c r="EW7" s="7" t="str">
        <f t="shared" ref="EW7" si="377">IF(ISNUMBER(EV7), EV7-EU7, "")</f>
        <v/>
      </c>
      <c r="EY7" s="24">
        <v>1</v>
      </c>
      <c r="EZ7" s="6" t="s">
        <v>20</v>
      </c>
      <c r="FA7" s="24">
        <v>9</v>
      </c>
      <c r="FB7" s="6" t="s">
        <v>20</v>
      </c>
      <c r="FC7" s="5">
        <f t="shared" ref="FC7" si="378">IF(OR(ISNUMBER(EY7), ISNUMBER(FA7)), IF(ISNUMBER(EY7), EY7, 0) + IF(ISNUMBER(FA7), FA7, 0), "")</f>
        <v>10</v>
      </c>
      <c r="FD7" s="3"/>
      <c r="FE7" s="7">
        <f t="shared" ref="FE7" si="379">IF(ISNUMBER(FC7), (ES7 + (ET7 * 24)) - FC7, "")</f>
        <v>48</v>
      </c>
      <c r="FF7" s="5"/>
      <c r="FG7" s="7" t="str">
        <f t="shared" ref="FG7" si="380">IF(ISNUMBER(FF7), FF7-FE7, "")</f>
        <v/>
      </c>
      <c r="FI7" s="24">
        <v>1</v>
      </c>
      <c r="FJ7" s="6" t="s">
        <v>20</v>
      </c>
      <c r="FK7" s="24">
        <v>9</v>
      </c>
      <c r="FL7" s="6" t="s">
        <v>20</v>
      </c>
      <c r="FM7" s="5">
        <f t="shared" ref="FM7" si="381">IF(OR(ISNUMBER(FI7), ISNUMBER(FK7)), IF(ISNUMBER(FI7), FI7, 0) + IF(ISNUMBER(FK7), FK7, 0), "")</f>
        <v>10</v>
      </c>
      <c r="FN7" s="3"/>
      <c r="FO7" s="7">
        <f t="shared" ref="FO7" si="382">IF(ISNUMBER(FM7), (FC7 + (FD7 * 24)) - FM7, "")</f>
        <v>0</v>
      </c>
      <c r="FP7" s="5"/>
      <c r="FQ7" s="7" t="str">
        <f t="shared" ref="FQ7" si="383">IF(ISNUMBER(FP7), FP7-FO7, "")</f>
        <v/>
      </c>
      <c r="FS7" s="24">
        <v>1</v>
      </c>
      <c r="FT7" s="6" t="s">
        <v>20</v>
      </c>
      <c r="FU7" s="24">
        <v>7</v>
      </c>
      <c r="FV7" s="6" t="s">
        <v>20</v>
      </c>
      <c r="FW7" s="5">
        <f t="shared" ref="FW7" si="384">IF(OR(ISNUMBER(FS7), ISNUMBER(FU7)), IF(ISNUMBER(FS7), FS7, 0) + IF(ISNUMBER(FU7), FU7, 0), "")</f>
        <v>8</v>
      </c>
      <c r="FX7" s="3">
        <v>2</v>
      </c>
      <c r="FY7" s="7">
        <f t="shared" ref="FY7" si="385">IF(ISNUMBER(FW7), (FM7 + (FN7 * 24)) - FW7, "")</f>
        <v>2</v>
      </c>
      <c r="FZ7" s="5">
        <v>3</v>
      </c>
      <c r="GA7" s="7">
        <f t="shared" ref="GA7" si="386">IF(ISNUMBER(FZ7), FZ7-FY7, "")</f>
        <v>1</v>
      </c>
      <c r="GC7" s="24">
        <v>25</v>
      </c>
      <c r="GD7" s="6" t="s">
        <v>20</v>
      </c>
      <c r="GE7" s="24">
        <v>6</v>
      </c>
      <c r="GF7" s="6" t="s">
        <v>20</v>
      </c>
      <c r="GG7" s="5">
        <f t="shared" ref="GG7" si="387">IF(OR(ISNUMBER(GC7), ISNUMBER(GE7)), IF(ISNUMBER(GC7), GC7, 0) + IF(ISNUMBER(GE7), GE7, 0), "")</f>
        <v>31</v>
      </c>
      <c r="GH7" s="3"/>
      <c r="GI7" s="7">
        <f t="shared" ref="GI7" si="388">IF(ISNUMBER(GG7), (FW7 + (FX7 * 24)) - GG7, "")</f>
        <v>25</v>
      </c>
      <c r="GJ7" s="5">
        <v>1</v>
      </c>
      <c r="GK7" s="7">
        <f t="shared" ref="GK7" si="389">IF(ISNUMBER(GJ7), GJ7-GI7, "")</f>
        <v>-24</v>
      </c>
      <c r="GM7" s="24">
        <v>25</v>
      </c>
      <c r="GN7" s="6" t="s">
        <v>20</v>
      </c>
      <c r="GO7" s="24">
        <v>6</v>
      </c>
      <c r="GP7" s="6" t="s">
        <v>20</v>
      </c>
      <c r="GQ7" s="5">
        <f t="shared" ref="GQ7" si="390">IF(OR(ISNUMBER(GM7), ISNUMBER(GO7)), IF(ISNUMBER(GM7), GM7, 0) + IF(ISNUMBER(GO7), GO7, 0), "")</f>
        <v>31</v>
      </c>
      <c r="GR7" s="3"/>
      <c r="GS7" s="7">
        <f t="shared" ref="GS7" si="391">IF(ISNUMBER(GQ7), (GG7 + (GH7 * 24)) - GQ7, "")</f>
        <v>0</v>
      </c>
      <c r="GT7" s="5">
        <v>2</v>
      </c>
      <c r="GU7" s="7">
        <f t="shared" ref="GU7" si="392">IF(ISNUMBER(GT7), GT7-GS7, "")</f>
        <v>2</v>
      </c>
      <c r="GW7" s="24">
        <v>21</v>
      </c>
      <c r="GX7" s="6" t="s">
        <v>20</v>
      </c>
      <c r="GY7" s="24">
        <v>7</v>
      </c>
      <c r="GZ7" s="6" t="s">
        <v>20</v>
      </c>
      <c r="HA7" s="5">
        <f t="shared" ref="HA7" si="393">IF(OR(ISNUMBER(GW7), ISNUMBER(GY7)), IF(ISNUMBER(GW7), GW7, 0) + IF(ISNUMBER(GY7), GY7, 0), "")</f>
        <v>28</v>
      </c>
      <c r="HB7" s="3"/>
      <c r="HC7" s="7">
        <f t="shared" ref="HC7" si="394">IF(ISNUMBER(HA7), (GQ7 + (GR7 * 24)) - HA7, "")</f>
        <v>3</v>
      </c>
      <c r="HD7" s="5">
        <v>4</v>
      </c>
      <c r="HE7" s="7">
        <f t="shared" ref="HE7" si="395">IF(ISNUMBER(HD7), HD7-HC7, "")</f>
        <v>1</v>
      </c>
      <c r="HG7" s="24">
        <v>13</v>
      </c>
      <c r="HH7" s="6" t="s">
        <v>20</v>
      </c>
      <c r="HI7" s="24">
        <v>9</v>
      </c>
      <c r="HJ7" s="6" t="s">
        <v>20</v>
      </c>
      <c r="HK7" s="5">
        <f t="shared" ref="HK7" si="396">IF(OR(ISNUMBER(HG7), ISNUMBER(HI7)), IF(ISNUMBER(HG7), HG7, 0) + IF(ISNUMBER(HI7), HI7, 0), "")</f>
        <v>22</v>
      </c>
      <c r="HL7" s="3"/>
      <c r="HM7" s="7">
        <f t="shared" ref="HM7" si="397">IF(ISNUMBER(HK7), (HA7 + (HB7 * 24)) - HK7, "")</f>
        <v>6</v>
      </c>
      <c r="HN7" s="5">
        <v>7</v>
      </c>
      <c r="HO7" s="7">
        <f t="shared" ref="HO7" si="398">IF(ISNUMBER(HN7), HN7-HM7, "")</f>
        <v>1</v>
      </c>
      <c r="HQ7" s="24">
        <v>7</v>
      </c>
      <c r="HR7" s="6" t="s">
        <v>20</v>
      </c>
      <c r="HS7" s="24">
        <v>7</v>
      </c>
      <c r="HT7" s="6" t="s">
        <v>20</v>
      </c>
      <c r="HU7" s="5">
        <f t="shared" ref="HU7" si="399">IF(OR(ISNUMBER(HQ7), ISNUMBER(HS7)), IF(ISNUMBER(HQ7), HQ7, 0) + IF(ISNUMBER(HS7), HS7, 0), "")</f>
        <v>14</v>
      </c>
      <c r="HV7" s="3"/>
      <c r="HW7" s="7">
        <f t="shared" ref="HW7" si="400">IF(ISNUMBER(HU7), (HK7 + (HL7 * 24)) - HU7, "")</f>
        <v>8</v>
      </c>
      <c r="HX7" s="5">
        <v>9</v>
      </c>
      <c r="HY7" s="7">
        <f t="shared" ref="HY7" si="401">IF(ISNUMBER(HX7), HX7-HW7, "")</f>
        <v>1</v>
      </c>
      <c r="IA7" s="24">
        <v>1</v>
      </c>
      <c r="IB7" s="6" t="s">
        <v>20</v>
      </c>
      <c r="IC7" s="24">
        <v>13</v>
      </c>
      <c r="ID7" s="6" t="s">
        <v>20</v>
      </c>
      <c r="IE7" s="5">
        <f t="shared" ref="IE7" si="402">IF(OR(ISNUMBER(IA7), ISNUMBER(IC7)), IF(ISNUMBER(IA7), IA7, 0) + IF(ISNUMBER(IC7), IC7, 0), "")</f>
        <v>14</v>
      </c>
      <c r="IF7" s="3"/>
      <c r="IG7" s="7">
        <f t="shared" ref="IG7" si="403">IF(ISNUMBER(IE7), (HU7 + (HV7 * 24)) - IE7, "")</f>
        <v>0</v>
      </c>
      <c r="IH7" s="5"/>
      <c r="II7" s="7" t="str">
        <f t="shared" ref="II7" si="404">IF(ISNUMBER(IH7), IH7-IG7, "")</f>
        <v/>
      </c>
      <c r="IK7" s="24">
        <v>1</v>
      </c>
      <c r="IL7" s="6" t="s">
        <v>20</v>
      </c>
      <c r="IM7" s="24">
        <v>12</v>
      </c>
      <c r="IN7" s="6" t="s">
        <v>20</v>
      </c>
      <c r="IO7" s="5">
        <f t="shared" ref="IO7" si="405">IF(OR(ISNUMBER(IK7), ISNUMBER(IM7)), IF(ISNUMBER(IK7), IK7, 0) + IF(ISNUMBER(IM7), IM7, 0), "")</f>
        <v>13</v>
      </c>
      <c r="IP7" s="3"/>
      <c r="IQ7" s="7">
        <f t="shared" ref="IQ7" si="406">IF(ISNUMBER(IO7), (IE7 + (IF7 * 24)) - IO7, "")</f>
        <v>1</v>
      </c>
      <c r="IR7" s="5">
        <v>2</v>
      </c>
      <c r="IS7" s="7">
        <f t="shared" ref="IS7" si="407">IF(ISNUMBER(IR7), IR7-IQ7, "")</f>
        <v>1</v>
      </c>
      <c r="IU7" s="24">
        <v>1</v>
      </c>
      <c r="IV7" s="6" t="s">
        <v>20</v>
      </c>
      <c r="IW7" s="24">
        <v>12</v>
      </c>
      <c r="IX7" s="6" t="s">
        <v>20</v>
      </c>
      <c r="IY7" s="5">
        <f t="shared" ref="IY7" si="408">IF(OR(ISNUMBER(IU7), ISNUMBER(IW7)), IF(ISNUMBER(IU7), IU7, 0) + IF(ISNUMBER(IW7), IW7, 0), "")</f>
        <v>13</v>
      </c>
      <c r="IZ7" s="3"/>
      <c r="JA7" s="7">
        <f t="shared" ref="JA7" si="409">IF(ISNUMBER(IY7), (IO7 + (IP7 * 24)) - IY7, "")</f>
        <v>0</v>
      </c>
      <c r="JB7" s="5"/>
      <c r="JC7" s="7" t="str">
        <f t="shared" ref="JC7" si="410">IF(ISNUMBER(JB7), JB7-JA7, "")</f>
        <v/>
      </c>
      <c r="JE7" s="24">
        <v>1</v>
      </c>
      <c r="JF7" s="6" t="s">
        <v>20</v>
      </c>
      <c r="JG7" s="24">
        <v>10</v>
      </c>
      <c r="JH7" s="6" t="s">
        <v>20</v>
      </c>
      <c r="JI7" s="5">
        <f t="shared" ref="JI7" si="411">IF(OR(ISNUMBER(JE7), ISNUMBER(JG7)), IF(ISNUMBER(JE7), JE7, 0) + IF(ISNUMBER(JG7), JG7, 0), "")</f>
        <v>11</v>
      </c>
      <c r="JJ7" s="3"/>
      <c r="JK7" s="7">
        <f t="shared" ref="JK7" si="412">IF(ISNUMBER(JI7), (IY7 + (IZ7 * 24)) - JI7, "")</f>
        <v>2</v>
      </c>
      <c r="JL7" s="5">
        <v>3</v>
      </c>
      <c r="JM7" s="7">
        <f t="shared" ref="JM7" si="413">IF(ISNUMBER(JL7), JL7-JK7, "")</f>
        <v>1</v>
      </c>
      <c r="JO7" s="24">
        <v>1</v>
      </c>
      <c r="JP7" s="6" t="s">
        <v>20</v>
      </c>
      <c r="JQ7" s="24">
        <v>9</v>
      </c>
      <c r="JR7" s="6" t="s">
        <v>20</v>
      </c>
      <c r="JS7" s="5">
        <f t="shared" ref="JS7" si="414">IF(OR(ISNUMBER(JO7), ISNUMBER(JQ7)), IF(ISNUMBER(JO7), JO7, 0) + IF(ISNUMBER(JQ7), JQ7, 0), "")</f>
        <v>10</v>
      </c>
      <c r="JT7" s="3"/>
      <c r="JU7" s="7">
        <f t="shared" ref="JU7" si="415">IF(ISNUMBER(JS7), (JI7 + (JJ7 * 24)) - JS7, "")</f>
        <v>1</v>
      </c>
      <c r="JV7" s="5">
        <v>2</v>
      </c>
      <c r="JW7" s="7">
        <f t="shared" ref="JW7" si="416">IF(ISNUMBER(JV7), JV7-JU7, "")</f>
        <v>1</v>
      </c>
      <c r="JY7" s="24">
        <v>1</v>
      </c>
      <c r="JZ7" s="6" t="s">
        <v>20</v>
      </c>
      <c r="KA7" s="24">
        <v>8</v>
      </c>
      <c r="KB7" s="6" t="s">
        <v>20</v>
      </c>
      <c r="KC7" s="5">
        <f t="shared" ref="KC7" si="417">IF(OR(ISNUMBER(JY7), ISNUMBER(KA7)), IF(ISNUMBER(JY7), JY7, 0) + IF(ISNUMBER(KA7), KA7, 0), "")</f>
        <v>9</v>
      </c>
      <c r="KD7" s="3"/>
      <c r="KE7" s="7">
        <f t="shared" ref="KE7" si="418">IF(ISNUMBER(KC7), (JS7 + (JT7 * 24)) - KC7, "")</f>
        <v>1</v>
      </c>
      <c r="KF7" s="5"/>
      <c r="KG7" s="7" t="str">
        <f t="shared" ref="KG7" si="419">IF(ISNUMBER(KF7), KF7-KE7, "")</f>
        <v/>
      </c>
      <c r="KI7" s="24">
        <v>1</v>
      </c>
      <c r="KJ7" s="6" t="s">
        <v>20</v>
      </c>
      <c r="KK7" s="24">
        <v>8</v>
      </c>
      <c r="KL7" s="6" t="s">
        <v>20</v>
      </c>
      <c r="KM7" s="5">
        <f t="shared" ref="KM7" si="420">IF(OR(ISNUMBER(KI7), ISNUMBER(KK7)), IF(ISNUMBER(KI7), KI7, 0) + IF(ISNUMBER(KK7), KK7, 0), "")</f>
        <v>9</v>
      </c>
      <c r="KN7" s="3"/>
      <c r="KO7" s="7">
        <f t="shared" ref="KO7" si="421">IF(ISNUMBER(KM7), (KC7 + (KD7 * 24)) - KM7, "")</f>
        <v>0</v>
      </c>
      <c r="KP7" s="5">
        <v>2</v>
      </c>
      <c r="KQ7" s="7">
        <f t="shared" ref="KQ7" si="422">IF(ISNUMBER(KP7), KP7-KO7, "")</f>
        <v>2</v>
      </c>
      <c r="KS7" s="24">
        <v>1</v>
      </c>
      <c r="KT7" s="6" t="s">
        <v>20</v>
      </c>
      <c r="KU7" s="24">
        <v>7</v>
      </c>
      <c r="KV7" s="6" t="s">
        <v>20</v>
      </c>
      <c r="KW7" s="5">
        <f t="shared" ref="KW7" si="423">IF(OR(ISNUMBER(KS7), ISNUMBER(KU7)), IF(ISNUMBER(KS7), KS7, 0) + IF(ISNUMBER(KU7), KU7, 0), "")</f>
        <v>8</v>
      </c>
      <c r="KX7" s="3">
        <v>2</v>
      </c>
      <c r="KY7" s="7">
        <f t="shared" ref="KY7" si="424">IF(ISNUMBER(KW7), (KM7 + (KN7 * 24)) - KW7, "")</f>
        <v>1</v>
      </c>
      <c r="KZ7" s="5">
        <v>2</v>
      </c>
      <c r="LA7" s="7">
        <f t="shared" ref="LA7" si="425">IF(ISNUMBER(KZ7), KZ7-KY7, "")</f>
        <v>1</v>
      </c>
      <c r="LC7" s="24">
        <v>25</v>
      </c>
      <c r="LD7" s="6" t="s">
        <v>20</v>
      </c>
      <c r="LE7" s="24">
        <v>4</v>
      </c>
      <c r="LF7" s="6" t="s">
        <v>20</v>
      </c>
      <c r="LG7" s="5">
        <f t="shared" ref="LG7" si="426">IF(OR(ISNUMBER(LC7), ISNUMBER(LE7)), IF(ISNUMBER(LC7), LC7, 0) + IF(ISNUMBER(LE7), LE7, 0), "")</f>
        <v>29</v>
      </c>
      <c r="LH7" s="3"/>
      <c r="LI7" s="7">
        <f t="shared" ref="LI7" si="427">IF(ISNUMBER(LG7), (KW7 + (KX7 * 24)) - LG7, "")</f>
        <v>27</v>
      </c>
      <c r="LJ7" s="5">
        <v>4</v>
      </c>
      <c r="LK7" s="7">
        <f t="shared" ref="LK7" si="428">IF(ISNUMBER(LJ7), LJ7-LI7, "")</f>
        <v>-23</v>
      </c>
      <c r="LM7" s="24">
        <v>13</v>
      </c>
      <c r="LN7" s="6" t="s">
        <v>20</v>
      </c>
      <c r="LO7" s="24">
        <v>16</v>
      </c>
      <c r="LP7" s="6" t="s">
        <v>20</v>
      </c>
      <c r="LQ7" s="5">
        <f t="shared" ref="LQ7" si="429">IF(OR(ISNUMBER(LM7), ISNUMBER(LO7)), IF(ISNUMBER(LM7), LM7, 0) + IF(ISNUMBER(LO7), LO7, 0), "")</f>
        <v>29</v>
      </c>
      <c r="LR7" s="3"/>
      <c r="LS7" s="7">
        <f t="shared" ref="LS7" si="430">IF(ISNUMBER(LQ7), (LG7 + (LH7 * 24)) - LQ7, "")</f>
        <v>0</v>
      </c>
      <c r="LT7" s="5"/>
      <c r="LU7" s="7" t="str">
        <f t="shared" ref="LU7" si="431">IF(ISNUMBER(LT7), LT7-LS7, "")</f>
        <v/>
      </c>
      <c r="LW7" s="24">
        <v>13</v>
      </c>
      <c r="LX7" s="6" t="s">
        <v>20</v>
      </c>
      <c r="LY7" s="24">
        <v>16</v>
      </c>
      <c r="LZ7" s="6" t="s">
        <v>20</v>
      </c>
      <c r="MA7" s="5">
        <f t="shared" ref="MA7" si="432">IF(OR(ISNUMBER(LW7), ISNUMBER(LY7)), IF(ISNUMBER(LW7), LW7, 0) + IF(ISNUMBER(LY7), LY7, 0), "")</f>
        <v>29</v>
      </c>
      <c r="MB7" s="3"/>
      <c r="MC7" s="7">
        <f t="shared" ref="MC7" si="433">IF(ISNUMBER(MA7), (LQ7 + (LR7 * 24)) - MA7, "")</f>
        <v>0</v>
      </c>
      <c r="MD7" s="5"/>
      <c r="ME7" s="7" t="str">
        <f t="shared" ref="ME7" si="434">IF(ISNUMBER(MD7), MD7-MC7, "")</f>
        <v/>
      </c>
      <c r="MG7" s="24">
        <v>13</v>
      </c>
      <c r="MH7" s="6" t="s">
        <v>20</v>
      </c>
      <c r="MI7" s="24">
        <v>16</v>
      </c>
      <c r="MJ7" s="6" t="s">
        <v>20</v>
      </c>
      <c r="MK7" s="5">
        <f t="shared" ref="MK7" si="435">IF(OR(ISNUMBER(MG7), ISNUMBER(MI7)), IF(ISNUMBER(MG7), MG7, 0) + IF(ISNUMBER(MI7), MI7, 0), "")</f>
        <v>29</v>
      </c>
      <c r="ML7" s="3"/>
      <c r="MM7" s="7">
        <f t="shared" ref="MM7" si="436">IF(ISNUMBER(MK7), (MA7 + (MB7 * 24)) - MK7, "")</f>
        <v>0</v>
      </c>
      <c r="MN7" s="5"/>
      <c r="MO7" s="7" t="str">
        <f t="shared" ref="MO7" si="437">IF(ISNUMBER(MN7), MN7-MM7, "")</f>
        <v/>
      </c>
      <c r="MQ7" s="2">
        <v>13</v>
      </c>
      <c r="MR7" s="6" t="s">
        <v>20</v>
      </c>
      <c r="MS7" s="2">
        <v>16</v>
      </c>
      <c r="MT7" s="6" t="s">
        <v>20</v>
      </c>
      <c r="MU7" s="5">
        <f t="shared" ref="MU7" si="438">IF(OR(ISNUMBER(MQ7), ISNUMBER(MS7)), IF(ISNUMBER(MQ7), MQ7, 0) + IF(ISNUMBER(MS7), MS7, 0), "")</f>
        <v>29</v>
      </c>
      <c r="MV7" s="3"/>
      <c r="MW7" s="7">
        <f t="shared" ref="MW7" si="439">IF(ISNUMBER(MU7), (MK7 + (ML7 * 24)) - MU7, "")</f>
        <v>0</v>
      </c>
      <c r="MX7" s="5">
        <v>2</v>
      </c>
      <c r="MY7" s="7">
        <f t="shared" ref="MY7" si="440">IF(ISNUMBER(MX7), MX7-MW7, "")</f>
        <v>2</v>
      </c>
      <c r="NA7" s="24">
        <v>13</v>
      </c>
      <c r="NB7" s="6" t="s">
        <v>20</v>
      </c>
      <c r="NC7" s="24">
        <v>14</v>
      </c>
      <c r="ND7" s="6" t="s">
        <v>20</v>
      </c>
      <c r="NE7" s="5">
        <f t="shared" ref="NE7" si="441">IF(OR(ISNUMBER(NA7), ISNUMBER(NC7)), IF(ISNUMBER(NA7), NA7, 0) + IF(ISNUMBER(NC7), NC7, 0), "")</f>
        <v>27</v>
      </c>
      <c r="NF7" s="3"/>
      <c r="NG7" s="7">
        <f t="shared" ref="NG7" si="442">IF(ISNUMBER(NE7), (MU7 + (MV7 * 24)) - NE7, "")</f>
        <v>2</v>
      </c>
      <c r="NH7" s="5">
        <v>2</v>
      </c>
      <c r="NI7" s="7">
        <f t="shared" ref="NI7" si="443">IF(ISNUMBER(NH7), NH7-NG7, "")</f>
        <v>0</v>
      </c>
      <c r="NK7" s="24">
        <v>13</v>
      </c>
      <c r="NL7" s="6" t="s">
        <v>20</v>
      </c>
      <c r="NM7" s="24">
        <v>14</v>
      </c>
      <c r="NN7" s="6" t="s">
        <v>20</v>
      </c>
      <c r="NO7" s="5">
        <f t="shared" ref="NO7" si="444">IF(OR(ISNUMBER(NK7), ISNUMBER(NM7)), IF(ISNUMBER(NK7), NK7, 0) + IF(ISNUMBER(NM7), NM7, 0), "")</f>
        <v>27</v>
      </c>
      <c r="NP7" s="3"/>
      <c r="NQ7" s="7">
        <f t="shared" ref="NQ7" si="445">IF(ISNUMBER(NO7), (NE7 + (NF7 * 24)) - NO7, "")</f>
        <v>0</v>
      </c>
      <c r="NR7" s="5"/>
      <c r="NS7" s="7" t="str">
        <f t="shared" ref="NS7" si="446">IF(ISNUMBER(NR7), NR7-NQ7, "")</f>
        <v/>
      </c>
      <c r="NU7" s="24">
        <v>13</v>
      </c>
      <c r="NV7" s="6" t="s">
        <v>20</v>
      </c>
      <c r="NW7" s="24">
        <v>9</v>
      </c>
      <c r="NX7" s="6" t="s">
        <v>20</v>
      </c>
      <c r="NY7" s="5">
        <f t="shared" ref="NY7" si="447">IF(OR(ISNUMBER(NU7), ISNUMBER(NW7)), IF(ISNUMBER(NU7), NU7, 0) + IF(ISNUMBER(NW7), NW7, 0), "")</f>
        <v>22</v>
      </c>
      <c r="NZ7" s="3"/>
      <c r="OA7" s="7">
        <f t="shared" ref="OA7" si="448">IF(ISNUMBER(NY7), (NO7 + (NP7 * 24)) - NY7, "")</f>
        <v>5</v>
      </c>
      <c r="OB7" s="5">
        <v>6</v>
      </c>
      <c r="OC7" s="7">
        <f t="shared" ref="OC7" si="449">IF(ISNUMBER(OB7), OB7-OA7, "")</f>
        <v>1</v>
      </c>
      <c r="OE7" s="2"/>
      <c r="OF7" s="6" t="s">
        <v>20</v>
      </c>
      <c r="OG7" s="2"/>
      <c r="OH7" s="6" t="s">
        <v>20</v>
      </c>
      <c r="OI7" s="5" t="str">
        <f t="shared" ref="OI7" si="450">IF(OR(ISNUMBER(OE7), ISNUMBER(OG7)), IF(ISNUMBER(OE7), OE7, 0) + IF(ISNUMBER(OG7), OG7, 0), "")</f>
        <v/>
      </c>
      <c r="OJ7" s="3"/>
      <c r="OK7" s="7" t="str">
        <f t="shared" ref="OK7" si="451">IF(ISNUMBER(OI7), (NY7 + (NZ7 * 24)) - OI7, "")</f>
        <v/>
      </c>
      <c r="OL7" s="5"/>
      <c r="OM7" s="7" t="str">
        <f t="shared" ref="OM7" si="452">IF(ISNUMBER(OL7), OL7-OK7, "")</f>
        <v/>
      </c>
      <c r="OO7" s="24"/>
      <c r="OP7" s="6" t="s">
        <v>20</v>
      </c>
      <c r="OQ7" s="24"/>
      <c r="OR7" s="6" t="s">
        <v>20</v>
      </c>
      <c r="OS7" s="5" t="str">
        <f t="shared" ref="OS7" si="453">IF(OR(ISNUMBER(OO7), ISNUMBER(OQ7)), IF(ISNUMBER(OO7), OO7, 0) + IF(ISNUMBER(OQ7), OQ7, 0), "")</f>
        <v/>
      </c>
      <c r="OT7" s="3"/>
      <c r="OU7" s="7" t="str">
        <f t="shared" ref="OU7" si="454">IF(ISNUMBER(OS7), (OI7 + (OJ7 * 24)) - OS7, "")</f>
        <v/>
      </c>
      <c r="OV7" s="5"/>
      <c r="OW7" s="7" t="str">
        <f t="shared" ref="OW7" si="455">IF(ISNUMBER(OV7), OV7-OU7, "")</f>
        <v/>
      </c>
      <c r="OY7" s="24"/>
      <c r="OZ7" s="6" t="s">
        <v>20</v>
      </c>
      <c r="PA7" s="24"/>
      <c r="PB7" s="6" t="s">
        <v>20</v>
      </c>
      <c r="PC7" s="5" t="str">
        <f t="shared" ref="PC7" si="456">IF(OR(ISNUMBER(OY7), ISNUMBER(PA7)), IF(ISNUMBER(OY7), OY7, 0) + IF(ISNUMBER(PA7), PA7, 0), "")</f>
        <v/>
      </c>
      <c r="PD7" s="3" t="s">
        <v>25</v>
      </c>
      <c r="PE7" s="7" t="str">
        <f t="shared" ref="PE7" si="457">IF(ISNUMBER(PC7), (OS7 + (OT7 * 24)) - PC7, "")</f>
        <v/>
      </c>
      <c r="PF7" s="5"/>
      <c r="PG7" s="7" t="str">
        <f t="shared" ref="PG7" si="458">IF(ISNUMBER(PF7), PF7-PE7, "")</f>
        <v/>
      </c>
      <c r="PI7" s="24">
        <v>0</v>
      </c>
      <c r="PJ7" s="6" t="s">
        <v>20</v>
      </c>
      <c r="PK7" s="24">
        <v>0</v>
      </c>
      <c r="PL7" s="6" t="s">
        <v>20</v>
      </c>
      <c r="PM7" s="5">
        <f t="shared" ref="PM7" si="459">IF(OR(ISNUMBER(PI7), ISNUMBER(PK7)), IF(ISNUMBER(PI7), PI7, 0) + IF(ISNUMBER(PK7), PK7, 0), "")</f>
        <v>0</v>
      </c>
      <c r="PN7" s="3">
        <v>1</v>
      </c>
      <c r="PO7" s="7" t="e">
        <f t="shared" ref="PO7" si="460">IF(ISNUMBER(PM7), (PC7 + (PD7 * 24)) - PM7, "")</f>
        <v>#VALUE!</v>
      </c>
      <c r="PP7" s="5"/>
      <c r="PQ7" s="7" t="str">
        <f t="shared" ref="PQ7" si="461">IF(ISNUMBER(PP7), PP7-PO7, "")</f>
        <v/>
      </c>
      <c r="PS7" s="2">
        <v>12</v>
      </c>
      <c r="PT7" s="6" t="s">
        <v>20</v>
      </c>
      <c r="PU7" s="2">
        <v>12</v>
      </c>
      <c r="PV7" s="6" t="s">
        <v>20</v>
      </c>
      <c r="PW7" s="5">
        <f t="shared" si="199"/>
        <v>24</v>
      </c>
      <c r="PX7" s="3"/>
      <c r="PY7" s="7">
        <f t="shared" si="42"/>
        <v>0</v>
      </c>
      <c r="PZ7" s="5"/>
      <c r="QA7" s="7" t="str">
        <f t="shared" si="200"/>
        <v/>
      </c>
      <c r="QC7" s="24">
        <v>12</v>
      </c>
      <c r="QD7" s="6" t="s">
        <v>20</v>
      </c>
      <c r="QE7" s="24">
        <v>12</v>
      </c>
      <c r="QF7" s="6" t="s">
        <v>20</v>
      </c>
      <c r="QG7" s="5">
        <f t="shared" si="201"/>
        <v>24</v>
      </c>
      <c r="QH7" s="3"/>
      <c r="QI7" s="7">
        <f t="shared" si="43"/>
        <v>0</v>
      </c>
      <c r="QJ7" s="5"/>
      <c r="QK7" s="7" t="str">
        <f t="shared" si="202"/>
        <v/>
      </c>
      <c r="QM7" s="24">
        <v>12</v>
      </c>
      <c r="QN7" s="6" t="s">
        <v>20</v>
      </c>
      <c r="QO7" s="24">
        <v>12</v>
      </c>
      <c r="QP7" s="6" t="s">
        <v>20</v>
      </c>
      <c r="QQ7" s="5">
        <f t="shared" si="203"/>
        <v>24</v>
      </c>
      <c r="QR7" s="3"/>
      <c r="QS7" s="7">
        <f t="shared" si="44"/>
        <v>0</v>
      </c>
      <c r="QT7" s="5"/>
      <c r="QU7" s="7" t="str">
        <f t="shared" si="204"/>
        <v/>
      </c>
      <c r="QW7" s="24">
        <v>12</v>
      </c>
      <c r="QX7" s="6" t="s">
        <v>20</v>
      </c>
      <c r="QY7" s="24">
        <v>12</v>
      </c>
      <c r="QZ7" s="6" t="s">
        <v>20</v>
      </c>
      <c r="RA7" s="5">
        <f t="shared" si="205"/>
        <v>24</v>
      </c>
      <c r="RB7" s="3"/>
      <c r="RC7" s="7">
        <f t="shared" si="45"/>
        <v>0</v>
      </c>
      <c r="RD7" s="5">
        <v>1</v>
      </c>
      <c r="RE7" s="7">
        <f t="shared" si="206"/>
        <v>1</v>
      </c>
      <c r="RG7" s="24">
        <v>12</v>
      </c>
      <c r="RH7" s="6" t="s">
        <v>20</v>
      </c>
      <c r="RI7" s="24">
        <v>11</v>
      </c>
      <c r="RJ7" s="6" t="s">
        <v>20</v>
      </c>
      <c r="RK7" s="5">
        <f t="shared" si="207"/>
        <v>23</v>
      </c>
      <c r="RL7" s="3"/>
      <c r="RM7" s="7">
        <f t="shared" si="46"/>
        <v>1</v>
      </c>
      <c r="RN7" s="5"/>
      <c r="RO7" s="7" t="str">
        <f t="shared" si="208"/>
        <v/>
      </c>
      <c r="RQ7" s="24">
        <v>12</v>
      </c>
      <c r="RR7" s="6" t="s">
        <v>20</v>
      </c>
      <c r="RS7" s="24">
        <v>11</v>
      </c>
      <c r="RT7" s="6" t="s">
        <v>20</v>
      </c>
      <c r="RU7" s="5">
        <f t="shared" si="209"/>
        <v>23</v>
      </c>
      <c r="RV7" s="3"/>
      <c r="RW7" s="7">
        <f t="shared" si="47"/>
        <v>0</v>
      </c>
      <c r="RX7" s="5"/>
      <c r="RY7" s="7" t="str">
        <f t="shared" si="210"/>
        <v/>
      </c>
      <c r="SA7" s="2">
        <v>12</v>
      </c>
      <c r="SB7" s="6" t="s">
        <v>20</v>
      </c>
      <c r="SC7" s="2">
        <v>11</v>
      </c>
      <c r="SD7" s="6" t="s">
        <v>20</v>
      </c>
      <c r="SE7" s="5">
        <f t="shared" si="211"/>
        <v>23</v>
      </c>
      <c r="SF7" s="3"/>
      <c r="SG7" s="7">
        <f t="shared" si="48"/>
        <v>0</v>
      </c>
      <c r="SH7" s="5"/>
      <c r="SI7" s="7" t="str">
        <f t="shared" si="212"/>
        <v/>
      </c>
      <c r="SK7" s="24">
        <v>12</v>
      </c>
      <c r="SL7" s="6" t="s">
        <v>20</v>
      </c>
      <c r="SM7" s="24">
        <v>11</v>
      </c>
      <c r="SN7" s="6" t="s">
        <v>20</v>
      </c>
      <c r="SO7" s="5">
        <f t="shared" si="213"/>
        <v>23</v>
      </c>
      <c r="SP7" s="3"/>
      <c r="SQ7" s="7">
        <f t="shared" si="49"/>
        <v>0</v>
      </c>
      <c r="SR7" s="5"/>
      <c r="SS7" s="7" t="str">
        <f t="shared" si="214"/>
        <v/>
      </c>
      <c r="SU7" s="24">
        <v>12</v>
      </c>
      <c r="SV7" s="6" t="s">
        <v>20</v>
      </c>
      <c r="SW7" s="24">
        <v>11</v>
      </c>
      <c r="SX7" s="6" t="s">
        <v>20</v>
      </c>
      <c r="SY7" s="5">
        <f t="shared" si="215"/>
        <v>23</v>
      </c>
      <c r="SZ7" s="3"/>
      <c r="TA7" s="7">
        <f t="shared" si="50"/>
        <v>0</v>
      </c>
      <c r="TB7" s="5"/>
      <c r="TC7" s="7" t="str">
        <f t="shared" si="216"/>
        <v/>
      </c>
      <c r="TE7" s="24">
        <v>12</v>
      </c>
      <c r="TF7" s="6" t="s">
        <v>20</v>
      </c>
      <c r="TG7" s="24">
        <v>11</v>
      </c>
      <c r="TH7" s="6" t="s">
        <v>20</v>
      </c>
      <c r="TI7" s="5">
        <f t="shared" si="217"/>
        <v>23</v>
      </c>
      <c r="TJ7" s="3"/>
      <c r="TK7" s="7">
        <f t="shared" si="51"/>
        <v>0</v>
      </c>
      <c r="TL7" s="5"/>
      <c r="TM7" s="7" t="str">
        <f t="shared" si="218"/>
        <v/>
      </c>
      <c r="TO7" s="24">
        <v>12</v>
      </c>
      <c r="TP7" s="6" t="s">
        <v>20</v>
      </c>
      <c r="TQ7" s="24">
        <v>11</v>
      </c>
      <c r="TR7" s="6" t="s">
        <v>20</v>
      </c>
      <c r="TS7" s="5">
        <f t="shared" si="219"/>
        <v>23</v>
      </c>
      <c r="TT7" s="3"/>
      <c r="TU7" s="7">
        <f t="shared" si="52"/>
        <v>0</v>
      </c>
      <c r="TV7" s="5"/>
      <c r="TW7" s="7" t="str">
        <f t="shared" si="220"/>
        <v/>
      </c>
      <c r="TY7" s="24">
        <v>12</v>
      </c>
      <c r="TZ7" s="6" t="s">
        <v>20</v>
      </c>
      <c r="UA7" s="24">
        <v>11</v>
      </c>
      <c r="UB7" s="6" t="s">
        <v>20</v>
      </c>
      <c r="UC7" s="5">
        <f t="shared" si="221"/>
        <v>23</v>
      </c>
      <c r="UD7" s="3"/>
      <c r="UE7" s="7">
        <f t="shared" si="53"/>
        <v>0</v>
      </c>
      <c r="UF7" s="5"/>
      <c r="UG7" s="7" t="str">
        <f t="shared" si="222"/>
        <v/>
      </c>
      <c r="UI7" s="2">
        <v>12</v>
      </c>
      <c r="UJ7" s="6" t="s">
        <v>20</v>
      </c>
      <c r="UK7" s="2">
        <v>11</v>
      </c>
      <c r="UL7" s="6" t="s">
        <v>20</v>
      </c>
      <c r="UM7" s="5">
        <f t="shared" si="223"/>
        <v>23</v>
      </c>
      <c r="UN7" s="3"/>
      <c r="UO7" s="7">
        <f t="shared" si="54"/>
        <v>0</v>
      </c>
      <c r="UP7" s="5"/>
      <c r="UQ7" s="7" t="str">
        <f t="shared" si="224"/>
        <v/>
      </c>
      <c r="US7" s="24">
        <v>12</v>
      </c>
      <c r="UT7" s="6" t="s">
        <v>20</v>
      </c>
      <c r="UU7" s="24">
        <v>11</v>
      </c>
      <c r="UV7" s="6" t="s">
        <v>20</v>
      </c>
      <c r="UW7" s="5">
        <f t="shared" si="225"/>
        <v>23</v>
      </c>
      <c r="UX7" s="3"/>
      <c r="UY7" s="7">
        <f t="shared" si="55"/>
        <v>0</v>
      </c>
      <c r="UZ7" s="5"/>
      <c r="VA7" s="7" t="str">
        <f t="shared" si="226"/>
        <v/>
      </c>
      <c r="VC7" s="2">
        <v>12</v>
      </c>
      <c r="VD7" s="6" t="s">
        <v>20</v>
      </c>
      <c r="VE7" s="2">
        <v>11</v>
      </c>
      <c r="VF7" s="6" t="s">
        <v>20</v>
      </c>
      <c r="VG7" s="5">
        <f t="shared" si="227"/>
        <v>23</v>
      </c>
      <c r="VH7" s="3"/>
      <c r="VI7" s="7">
        <f t="shared" si="56"/>
        <v>0</v>
      </c>
      <c r="VJ7" s="5"/>
      <c r="VK7" s="7" t="str">
        <f t="shared" si="228"/>
        <v/>
      </c>
      <c r="VM7" s="24">
        <v>12</v>
      </c>
      <c r="VN7" s="6" t="s">
        <v>20</v>
      </c>
      <c r="VO7" s="24">
        <v>11</v>
      </c>
      <c r="VP7" s="6" t="s">
        <v>20</v>
      </c>
      <c r="VQ7" s="5">
        <f t="shared" si="229"/>
        <v>23</v>
      </c>
      <c r="VR7" s="3"/>
      <c r="VS7" s="7">
        <f t="shared" si="57"/>
        <v>0</v>
      </c>
      <c r="VT7" s="5"/>
      <c r="VU7" s="7" t="str">
        <f t="shared" si="230"/>
        <v/>
      </c>
      <c r="VW7" s="2">
        <v>12</v>
      </c>
      <c r="VX7" s="6" t="s">
        <v>20</v>
      </c>
      <c r="VY7" s="2">
        <v>11</v>
      </c>
      <c r="VZ7" s="6" t="s">
        <v>20</v>
      </c>
      <c r="WA7" s="5">
        <f t="shared" si="231"/>
        <v>23</v>
      </c>
      <c r="WB7" s="3"/>
      <c r="WC7" s="7">
        <f t="shared" si="58"/>
        <v>0</v>
      </c>
      <c r="WD7" s="5"/>
      <c r="WE7" s="7" t="str">
        <f t="shared" si="232"/>
        <v/>
      </c>
      <c r="WG7" s="2">
        <v>12</v>
      </c>
      <c r="WH7" s="6" t="s">
        <v>20</v>
      </c>
      <c r="WI7" s="2">
        <v>11</v>
      </c>
      <c r="WJ7" s="6" t="s">
        <v>20</v>
      </c>
      <c r="WK7" s="5">
        <f t="shared" si="233"/>
        <v>23</v>
      </c>
      <c r="WL7" s="35"/>
      <c r="WM7" s="7">
        <f t="shared" si="59"/>
        <v>0</v>
      </c>
      <c r="WN7" s="5"/>
      <c r="WO7" s="7" t="str">
        <f t="shared" si="234"/>
        <v/>
      </c>
      <c r="WQ7" s="2">
        <v>12</v>
      </c>
      <c r="WR7" s="6" t="s">
        <v>20</v>
      </c>
      <c r="WS7" s="2">
        <v>9</v>
      </c>
      <c r="WT7" s="6" t="s">
        <v>20</v>
      </c>
      <c r="WU7" s="5">
        <f t="shared" si="235"/>
        <v>21</v>
      </c>
      <c r="WV7" s="35"/>
      <c r="WW7" s="7">
        <f t="shared" si="60"/>
        <v>2</v>
      </c>
      <c r="WX7" s="5">
        <v>2</v>
      </c>
      <c r="WY7" s="7">
        <f t="shared" si="236"/>
        <v>0</v>
      </c>
      <c r="XA7" s="24">
        <v>12</v>
      </c>
      <c r="XB7" s="6" t="s">
        <v>20</v>
      </c>
      <c r="XC7" s="24">
        <v>9</v>
      </c>
      <c r="XD7" s="6" t="s">
        <v>20</v>
      </c>
      <c r="XE7" s="5">
        <f t="shared" si="237"/>
        <v>21</v>
      </c>
      <c r="XF7" s="35"/>
      <c r="XG7" s="7">
        <f t="shared" si="61"/>
        <v>0</v>
      </c>
      <c r="XH7" s="5"/>
      <c r="XI7" s="7" t="str">
        <f t="shared" si="238"/>
        <v/>
      </c>
      <c r="XK7" s="24">
        <v>12</v>
      </c>
      <c r="XL7" s="6" t="s">
        <v>20</v>
      </c>
      <c r="XM7" s="24">
        <v>7</v>
      </c>
      <c r="XN7" s="6" t="s">
        <v>20</v>
      </c>
      <c r="XO7" s="5">
        <f t="shared" si="239"/>
        <v>19</v>
      </c>
      <c r="XP7" s="35"/>
      <c r="XQ7" s="7">
        <f t="shared" si="62"/>
        <v>2</v>
      </c>
      <c r="XR7" s="5">
        <v>2</v>
      </c>
      <c r="XS7" s="7">
        <f t="shared" si="240"/>
        <v>0</v>
      </c>
      <c r="XU7" s="24">
        <v>12</v>
      </c>
      <c r="XV7" s="6" t="s">
        <v>20</v>
      </c>
      <c r="XW7" s="24">
        <v>7</v>
      </c>
      <c r="XX7" s="6" t="s">
        <v>20</v>
      </c>
      <c r="XY7" s="5">
        <f t="shared" si="241"/>
        <v>19</v>
      </c>
      <c r="XZ7" s="35"/>
      <c r="YA7" s="7">
        <f t="shared" si="63"/>
        <v>0</v>
      </c>
      <c r="YB7" s="5"/>
      <c r="YC7" s="7" t="str">
        <f t="shared" si="242"/>
        <v/>
      </c>
      <c r="YE7" s="24">
        <v>12</v>
      </c>
      <c r="YF7" s="6" t="s">
        <v>20</v>
      </c>
      <c r="YG7" s="24">
        <v>6</v>
      </c>
      <c r="YH7" s="6" t="s">
        <v>20</v>
      </c>
      <c r="YI7" s="5">
        <f t="shared" si="243"/>
        <v>18</v>
      </c>
      <c r="YJ7" s="35"/>
      <c r="YK7" s="7">
        <f t="shared" si="64"/>
        <v>1</v>
      </c>
      <c r="YL7" s="5">
        <v>1</v>
      </c>
      <c r="YM7" s="7">
        <f t="shared" si="244"/>
        <v>0</v>
      </c>
      <c r="YO7" s="24">
        <v>12</v>
      </c>
      <c r="YP7" s="6" t="s">
        <v>20</v>
      </c>
      <c r="YQ7" s="24">
        <v>5</v>
      </c>
      <c r="YR7" s="6" t="s">
        <v>20</v>
      </c>
      <c r="YS7" s="5">
        <f t="shared" si="245"/>
        <v>17</v>
      </c>
      <c r="YT7" s="35"/>
      <c r="YU7" s="7">
        <f t="shared" si="65"/>
        <v>1</v>
      </c>
      <c r="YV7" s="5">
        <v>0</v>
      </c>
      <c r="YW7" s="7">
        <f t="shared" si="246"/>
        <v>-1</v>
      </c>
      <c r="YY7" s="24">
        <v>12</v>
      </c>
      <c r="YZ7" s="6" t="s">
        <v>20</v>
      </c>
      <c r="ZA7" s="24">
        <v>5</v>
      </c>
      <c r="ZB7" s="6" t="s">
        <v>20</v>
      </c>
      <c r="ZC7" s="5">
        <f t="shared" si="247"/>
        <v>17</v>
      </c>
      <c r="ZD7" s="35"/>
      <c r="ZE7" s="7">
        <f t="shared" si="66"/>
        <v>0</v>
      </c>
      <c r="ZF7" s="5"/>
      <c r="ZG7" s="7" t="str">
        <f t="shared" si="248"/>
        <v/>
      </c>
      <c r="ZI7" s="24">
        <v>12</v>
      </c>
      <c r="ZJ7" s="6" t="s">
        <v>20</v>
      </c>
      <c r="ZK7" s="24">
        <v>5</v>
      </c>
      <c r="ZL7" s="6" t="s">
        <v>20</v>
      </c>
      <c r="ZM7" s="5">
        <f t="shared" si="249"/>
        <v>17</v>
      </c>
      <c r="ZN7" s="35"/>
      <c r="ZO7" s="7">
        <f t="shared" si="67"/>
        <v>0</v>
      </c>
      <c r="ZP7" s="5"/>
      <c r="ZQ7" s="7" t="str">
        <f t="shared" si="250"/>
        <v/>
      </c>
      <c r="ZS7" s="24">
        <v>12</v>
      </c>
      <c r="ZT7" s="6" t="s">
        <v>20</v>
      </c>
      <c r="ZU7" s="24">
        <v>5</v>
      </c>
      <c r="ZV7" s="6" t="s">
        <v>20</v>
      </c>
      <c r="ZW7" s="5">
        <f t="shared" si="251"/>
        <v>17</v>
      </c>
      <c r="ZX7" s="35"/>
      <c r="ZY7" s="7">
        <f t="shared" si="68"/>
        <v>0</v>
      </c>
      <c r="ZZ7" s="5"/>
      <c r="AAA7" s="7" t="str">
        <f t="shared" si="252"/>
        <v/>
      </c>
      <c r="AAC7" s="24">
        <v>12</v>
      </c>
      <c r="AAD7" s="6" t="s">
        <v>20</v>
      </c>
      <c r="AAE7" s="24">
        <v>4</v>
      </c>
      <c r="AAF7" s="6" t="s">
        <v>20</v>
      </c>
      <c r="AAG7" s="5">
        <f t="shared" si="253"/>
        <v>16</v>
      </c>
      <c r="AAH7" s="35"/>
      <c r="AAI7" s="7">
        <f t="shared" si="69"/>
        <v>1</v>
      </c>
      <c r="AAJ7" s="5">
        <v>1</v>
      </c>
      <c r="AAK7" s="7">
        <f t="shared" si="254"/>
        <v>0</v>
      </c>
      <c r="AAM7" s="2">
        <v>12</v>
      </c>
      <c r="AAN7" s="6" t="s">
        <v>20</v>
      </c>
      <c r="AAO7" s="2">
        <v>0</v>
      </c>
      <c r="AAP7" s="6" t="s">
        <v>20</v>
      </c>
      <c r="AAQ7" s="5">
        <f t="shared" si="255"/>
        <v>12</v>
      </c>
      <c r="AAR7" s="35"/>
      <c r="AAS7" s="7">
        <f t="shared" si="70"/>
        <v>4</v>
      </c>
      <c r="AAT7" s="5">
        <v>1</v>
      </c>
      <c r="AAU7" s="7">
        <f t="shared" si="256"/>
        <v>-3</v>
      </c>
      <c r="AAW7" s="2">
        <v>12</v>
      </c>
      <c r="AAX7" s="6" t="s">
        <v>20</v>
      </c>
      <c r="AAY7" s="2"/>
      <c r="AAZ7" s="6" t="s">
        <v>20</v>
      </c>
      <c r="ABA7" s="5">
        <f t="shared" si="257"/>
        <v>12</v>
      </c>
      <c r="ABB7" s="35"/>
      <c r="ABC7" s="7">
        <f t="shared" si="71"/>
        <v>0</v>
      </c>
      <c r="ABD7" s="5"/>
      <c r="ABE7" s="7" t="str">
        <f t="shared" si="258"/>
        <v/>
      </c>
      <c r="ABG7" s="24">
        <v>12</v>
      </c>
      <c r="ABH7" s="6" t="s">
        <v>20</v>
      </c>
      <c r="ABI7" s="24"/>
      <c r="ABJ7" s="6" t="s">
        <v>20</v>
      </c>
      <c r="ABK7" s="5">
        <f t="shared" si="259"/>
        <v>12</v>
      </c>
      <c r="ABL7" s="35"/>
      <c r="ABM7" s="7">
        <f t="shared" si="72"/>
        <v>0</v>
      </c>
      <c r="ABN7" s="5"/>
      <c r="ABO7" s="7" t="str">
        <f t="shared" si="260"/>
        <v/>
      </c>
      <c r="ABQ7" s="2">
        <v>12</v>
      </c>
      <c r="ABR7" s="6" t="s">
        <v>20</v>
      </c>
      <c r="ABS7" s="2"/>
      <c r="ABT7" s="6" t="s">
        <v>20</v>
      </c>
      <c r="ABU7" s="5">
        <f t="shared" si="261"/>
        <v>12</v>
      </c>
      <c r="ABV7" s="35"/>
      <c r="ABW7" s="7">
        <f t="shared" si="73"/>
        <v>0</v>
      </c>
      <c r="ABX7" s="5"/>
      <c r="ABY7" s="7" t="str">
        <f t="shared" si="262"/>
        <v/>
      </c>
      <c r="ACA7" s="24">
        <v>12</v>
      </c>
      <c r="ACB7" s="6" t="s">
        <v>20</v>
      </c>
      <c r="ACC7" s="24">
        <v>0</v>
      </c>
      <c r="ACD7" s="6" t="s">
        <v>20</v>
      </c>
      <c r="ACE7" s="5">
        <f t="shared" si="74"/>
        <v>12</v>
      </c>
      <c r="ACF7" s="35"/>
      <c r="ACG7" s="7">
        <f t="shared" si="75"/>
        <v>0</v>
      </c>
      <c r="ACH7" s="5"/>
      <c r="ACI7" s="7" t="str">
        <f t="shared" si="76"/>
        <v/>
      </c>
      <c r="ACK7" s="24">
        <v>12</v>
      </c>
      <c r="ACL7" s="6" t="s">
        <v>20</v>
      </c>
      <c r="ACM7" s="24"/>
      <c r="ACN7" s="6" t="s">
        <v>20</v>
      </c>
      <c r="ACO7" s="5">
        <f t="shared" si="263"/>
        <v>12</v>
      </c>
      <c r="ACP7" s="35"/>
      <c r="ACQ7" s="7">
        <f t="shared" si="77"/>
        <v>0</v>
      </c>
      <c r="ACR7" s="5"/>
      <c r="ACS7" s="7" t="str">
        <f t="shared" si="264"/>
        <v/>
      </c>
      <c r="ACU7" s="24">
        <v>12</v>
      </c>
      <c r="ACV7" s="6" t="s">
        <v>20</v>
      </c>
      <c r="ACW7" s="24">
        <v>0</v>
      </c>
      <c r="ACX7" s="6" t="s">
        <v>20</v>
      </c>
      <c r="ACY7" s="5">
        <f t="shared" si="265"/>
        <v>12</v>
      </c>
      <c r="ACZ7" s="35"/>
      <c r="ADA7" s="7">
        <f t="shared" si="78"/>
        <v>0</v>
      </c>
      <c r="ADB7" s="5"/>
      <c r="ADC7" s="7" t="str">
        <f t="shared" si="266"/>
        <v/>
      </c>
      <c r="ADE7" s="24">
        <v>12</v>
      </c>
      <c r="ADF7" s="6" t="s">
        <v>20</v>
      </c>
      <c r="ADG7" s="24">
        <v>0</v>
      </c>
      <c r="ADH7" s="6" t="s">
        <v>20</v>
      </c>
      <c r="ADI7" s="5">
        <f t="shared" si="267"/>
        <v>12</v>
      </c>
      <c r="ADJ7" s="35"/>
      <c r="ADK7" s="7">
        <f t="shared" si="79"/>
        <v>0</v>
      </c>
      <c r="ADL7" s="5"/>
      <c r="ADM7" s="7" t="str">
        <f t="shared" si="268"/>
        <v/>
      </c>
      <c r="ADO7" s="24">
        <v>12</v>
      </c>
      <c r="ADP7" s="6" t="s">
        <v>20</v>
      </c>
      <c r="ADQ7" s="24">
        <v>0</v>
      </c>
      <c r="ADR7" s="6" t="s">
        <v>20</v>
      </c>
      <c r="ADS7" s="5">
        <f t="shared" si="269"/>
        <v>12</v>
      </c>
      <c r="ADT7" s="35"/>
      <c r="ADU7" s="7">
        <f t="shared" si="80"/>
        <v>0</v>
      </c>
      <c r="ADV7" s="5"/>
      <c r="ADW7" s="7" t="str">
        <f t="shared" si="270"/>
        <v/>
      </c>
      <c r="ADY7" s="24">
        <v>12</v>
      </c>
      <c r="ADZ7" s="6" t="s">
        <v>20</v>
      </c>
      <c r="AEA7" s="24">
        <v>0</v>
      </c>
      <c r="AEB7" s="6" t="s">
        <v>20</v>
      </c>
      <c r="AEC7" s="5">
        <f t="shared" si="271"/>
        <v>12</v>
      </c>
      <c r="AED7" s="35"/>
      <c r="AEE7" s="7">
        <f t="shared" si="81"/>
        <v>0</v>
      </c>
      <c r="AEF7" s="5">
        <v>1</v>
      </c>
      <c r="AEG7" s="7">
        <f t="shared" si="272"/>
        <v>1</v>
      </c>
      <c r="AEI7" s="2">
        <v>12</v>
      </c>
      <c r="AEJ7" s="6" t="s">
        <v>20</v>
      </c>
      <c r="AEK7" s="2">
        <v>0</v>
      </c>
      <c r="AEL7" s="6" t="s">
        <v>20</v>
      </c>
      <c r="AEM7" s="5">
        <f t="shared" si="273"/>
        <v>12</v>
      </c>
      <c r="AEN7" s="35"/>
      <c r="AEO7" s="7">
        <f t="shared" si="82"/>
        <v>0</v>
      </c>
      <c r="AEP7" s="5"/>
      <c r="AEQ7" s="7" t="str">
        <f t="shared" si="274"/>
        <v/>
      </c>
      <c r="AES7" s="24">
        <v>12</v>
      </c>
      <c r="AET7" s="6" t="s">
        <v>20</v>
      </c>
      <c r="AEU7" s="24">
        <v>0</v>
      </c>
      <c r="AEV7" s="6" t="s">
        <v>20</v>
      </c>
      <c r="AEW7" s="5">
        <f t="shared" si="275"/>
        <v>12</v>
      </c>
      <c r="AEX7" s="35"/>
      <c r="AEY7" s="7">
        <f t="shared" si="83"/>
        <v>0</v>
      </c>
      <c r="AEZ7" s="5"/>
      <c r="AFA7" s="7" t="str">
        <f t="shared" si="276"/>
        <v/>
      </c>
      <c r="AFC7" s="2">
        <v>12</v>
      </c>
      <c r="AFD7" s="6" t="s">
        <v>20</v>
      </c>
      <c r="AFE7" s="2">
        <v>0</v>
      </c>
      <c r="AFF7" s="6" t="s">
        <v>20</v>
      </c>
      <c r="AFG7" s="5">
        <f t="shared" si="277"/>
        <v>12</v>
      </c>
      <c r="AFH7" s="35"/>
      <c r="AFI7" s="7">
        <f t="shared" si="84"/>
        <v>0</v>
      </c>
      <c r="AFJ7" s="5"/>
      <c r="AFK7" s="7" t="str">
        <f t="shared" si="278"/>
        <v/>
      </c>
      <c r="AFM7" s="2">
        <v>12</v>
      </c>
      <c r="AFN7" s="6" t="s">
        <v>20</v>
      </c>
      <c r="AFO7" s="2">
        <v>0</v>
      </c>
      <c r="AFP7" s="6" t="s">
        <v>20</v>
      </c>
      <c r="AFQ7" s="5">
        <f t="shared" si="279"/>
        <v>12</v>
      </c>
      <c r="AFR7" s="35"/>
      <c r="AFS7" s="7">
        <f t="shared" si="85"/>
        <v>0</v>
      </c>
      <c r="AFT7" s="5"/>
      <c r="AFU7" s="7" t="str">
        <f t="shared" si="280"/>
        <v/>
      </c>
      <c r="AFW7" s="24">
        <v>12</v>
      </c>
      <c r="AFX7" s="6" t="s">
        <v>20</v>
      </c>
      <c r="AFY7" s="24">
        <v>0</v>
      </c>
      <c r="AFZ7" s="6" t="s">
        <v>20</v>
      </c>
      <c r="AGA7" s="5">
        <f t="shared" si="281"/>
        <v>12</v>
      </c>
      <c r="AGB7" s="35"/>
      <c r="AGC7" s="7">
        <f t="shared" si="86"/>
        <v>0</v>
      </c>
      <c r="AGD7" s="5"/>
      <c r="AGE7" s="7" t="str">
        <f t="shared" si="282"/>
        <v/>
      </c>
      <c r="AGG7" s="24">
        <v>11</v>
      </c>
      <c r="AGH7" s="6" t="s">
        <v>20</v>
      </c>
      <c r="AGI7" s="24">
        <v>0</v>
      </c>
      <c r="AGJ7" s="6" t="s">
        <v>20</v>
      </c>
      <c r="AGK7" s="5">
        <f t="shared" si="283"/>
        <v>11</v>
      </c>
      <c r="AGL7" s="35"/>
      <c r="AGM7" s="7">
        <f t="shared" si="87"/>
        <v>1</v>
      </c>
      <c r="AGN7" s="5">
        <v>0</v>
      </c>
      <c r="AGO7" s="7">
        <f t="shared" si="284"/>
        <v>-1</v>
      </c>
      <c r="AGQ7" s="24">
        <v>0</v>
      </c>
      <c r="AGR7" s="6" t="s">
        <v>20</v>
      </c>
      <c r="AGS7" s="24">
        <v>11</v>
      </c>
      <c r="AGT7" s="6" t="s">
        <v>20</v>
      </c>
      <c r="AGU7" s="5">
        <f t="shared" si="285"/>
        <v>11</v>
      </c>
      <c r="AGV7" s="35"/>
      <c r="AGW7" s="7">
        <f t="shared" si="88"/>
        <v>0</v>
      </c>
      <c r="AGX7" s="5"/>
      <c r="AGY7" s="7" t="str">
        <f t="shared" si="286"/>
        <v/>
      </c>
      <c r="AHA7" s="24">
        <v>0</v>
      </c>
      <c r="AHB7" s="6" t="s">
        <v>20</v>
      </c>
      <c r="AHC7" s="24">
        <v>11</v>
      </c>
      <c r="AHD7" s="6" t="s">
        <v>20</v>
      </c>
      <c r="AHE7" s="5">
        <f t="shared" si="287"/>
        <v>11</v>
      </c>
      <c r="AHF7" s="35"/>
      <c r="AHG7" s="7">
        <f t="shared" si="89"/>
        <v>0</v>
      </c>
      <c r="AHH7" s="5"/>
      <c r="AHI7" s="7" t="str">
        <f t="shared" si="288"/>
        <v/>
      </c>
      <c r="AHK7" s="2">
        <v>0</v>
      </c>
      <c r="AHL7" s="6" t="s">
        <v>20</v>
      </c>
      <c r="AHM7" s="2">
        <v>11</v>
      </c>
      <c r="AHN7" s="6" t="s">
        <v>20</v>
      </c>
      <c r="AHO7" s="5">
        <f t="shared" si="289"/>
        <v>11</v>
      </c>
      <c r="AHP7" s="35"/>
      <c r="AHQ7" s="7">
        <f t="shared" si="90"/>
        <v>0</v>
      </c>
      <c r="AHR7" s="5"/>
      <c r="AHS7" s="7" t="str">
        <f t="shared" si="290"/>
        <v/>
      </c>
      <c r="AHU7" s="2"/>
      <c r="AHV7" s="6" t="s">
        <v>20</v>
      </c>
      <c r="AHW7" s="2">
        <v>11</v>
      </c>
      <c r="AHX7" s="6" t="s">
        <v>20</v>
      </c>
      <c r="AHY7" s="5">
        <f t="shared" si="291"/>
        <v>11</v>
      </c>
      <c r="AHZ7" s="35"/>
      <c r="AIA7" s="7">
        <f t="shared" si="91"/>
        <v>0</v>
      </c>
      <c r="AIB7" s="5"/>
      <c r="AIC7" s="7" t="str">
        <f t="shared" si="292"/>
        <v/>
      </c>
      <c r="AIE7" s="24"/>
      <c r="AIF7" s="6" t="s">
        <v>20</v>
      </c>
      <c r="AIG7" s="24">
        <v>11</v>
      </c>
      <c r="AIH7" s="6" t="s">
        <v>20</v>
      </c>
      <c r="AII7" s="5">
        <f t="shared" si="293"/>
        <v>11</v>
      </c>
      <c r="AIJ7" s="35"/>
      <c r="AIK7" s="7">
        <f t="shared" si="92"/>
        <v>0</v>
      </c>
      <c r="AIL7" s="5"/>
      <c r="AIM7" s="7" t="str">
        <f t="shared" si="294"/>
        <v/>
      </c>
      <c r="AIO7" s="24"/>
      <c r="AIP7" s="6" t="s">
        <v>20</v>
      </c>
      <c r="AIQ7" s="24">
        <v>11</v>
      </c>
      <c r="AIR7" s="6" t="s">
        <v>20</v>
      </c>
      <c r="AIS7" s="5">
        <f t="shared" si="295"/>
        <v>11</v>
      </c>
      <c r="AIT7" s="35"/>
      <c r="AIU7" s="7">
        <f t="shared" si="93"/>
        <v>0</v>
      </c>
      <c r="AIV7" s="5"/>
      <c r="AIW7" s="7" t="str">
        <f t="shared" si="296"/>
        <v/>
      </c>
      <c r="AIY7" s="24"/>
      <c r="AIZ7" s="6" t="s">
        <v>20</v>
      </c>
      <c r="AJA7" s="24">
        <v>11</v>
      </c>
      <c r="AJB7" s="6" t="s">
        <v>20</v>
      </c>
      <c r="AJC7" s="5">
        <f t="shared" si="297"/>
        <v>11</v>
      </c>
      <c r="AJD7" s="35"/>
      <c r="AJE7" s="7">
        <f t="shared" si="94"/>
        <v>0</v>
      </c>
      <c r="AJF7" s="5"/>
      <c r="AJG7" s="7" t="str">
        <f t="shared" si="298"/>
        <v/>
      </c>
      <c r="AJI7" s="2"/>
      <c r="AJJ7" s="6" t="s">
        <v>20</v>
      </c>
      <c r="AJK7" s="2">
        <v>10</v>
      </c>
      <c r="AJL7" s="6" t="s">
        <v>20</v>
      </c>
      <c r="AJM7" s="5">
        <f t="shared" si="299"/>
        <v>10</v>
      </c>
      <c r="AJN7" s="35"/>
      <c r="AJO7" s="7">
        <f t="shared" si="95"/>
        <v>1</v>
      </c>
      <c r="AJP7" s="5">
        <v>1</v>
      </c>
      <c r="AJQ7" s="7">
        <f t="shared" si="300"/>
        <v>0</v>
      </c>
      <c r="AJS7" s="24"/>
      <c r="AJT7" s="6" t="s">
        <v>20</v>
      </c>
      <c r="AJU7" s="24">
        <v>10</v>
      </c>
      <c r="AJV7" s="6" t="s">
        <v>20</v>
      </c>
      <c r="AJW7" s="5">
        <f t="shared" si="301"/>
        <v>10</v>
      </c>
      <c r="AJX7" s="35"/>
      <c r="AJY7" s="7">
        <f t="shared" si="96"/>
        <v>0</v>
      </c>
      <c r="AJZ7" s="5">
        <v>2</v>
      </c>
      <c r="AKA7" s="7">
        <f t="shared" si="302"/>
        <v>2</v>
      </c>
      <c r="AKC7" s="2"/>
      <c r="AKD7" s="6" t="s">
        <v>20</v>
      </c>
      <c r="AKE7" s="2">
        <v>5</v>
      </c>
      <c r="AKF7" s="6" t="s">
        <v>20</v>
      </c>
      <c r="AKG7" s="5">
        <f t="shared" si="303"/>
        <v>5</v>
      </c>
      <c r="AKH7" s="35"/>
      <c r="AKI7" s="7">
        <f t="shared" si="97"/>
        <v>5</v>
      </c>
      <c r="AKJ7" s="5">
        <v>1</v>
      </c>
      <c r="AKK7" s="7">
        <f t="shared" si="304"/>
        <v>-4</v>
      </c>
      <c r="AKM7" s="24"/>
      <c r="AKN7" s="6" t="s">
        <v>20</v>
      </c>
      <c r="AKO7" s="24">
        <v>5</v>
      </c>
      <c r="AKP7" s="6" t="s">
        <v>20</v>
      </c>
      <c r="AKQ7" s="5">
        <f t="shared" si="305"/>
        <v>5</v>
      </c>
      <c r="AKR7" s="35"/>
      <c r="AKS7" s="7">
        <f t="shared" si="98"/>
        <v>0</v>
      </c>
      <c r="AKT7" s="5"/>
      <c r="AKU7" s="7" t="str">
        <f t="shared" si="306"/>
        <v/>
      </c>
      <c r="AKW7" s="2"/>
      <c r="AKX7" s="6" t="s">
        <v>20</v>
      </c>
      <c r="AKY7" s="2">
        <v>5</v>
      </c>
      <c r="AKZ7" s="6" t="s">
        <v>20</v>
      </c>
      <c r="ALA7" s="5">
        <f t="shared" si="307"/>
        <v>5</v>
      </c>
      <c r="ALB7" s="35"/>
      <c r="ALC7" s="7">
        <f t="shared" si="99"/>
        <v>0</v>
      </c>
      <c r="ALD7" s="5"/>
      <c r="ALE7" s="7" t="str">
        <f t="shared" si="308"/>
        <v/>
      </c>
      <c r="ALG7" s="2"/>
      <c r="ALH7" s="6" t="s">
        <v>20</v>
      </c>
      <c r="ALI7" s="2">
        <v>5</v>
      </c>
      <c r="ALJ7" s="6" t="s">
        <v>20</v>
      </c>
      <c r="ALK7" s="5">
        <f t="shared" si="309"/>
        <v>5</v>
      </c>
      <c r="ALL7" s="35"/>
      <c r="ALM7" s="7">
        <f t="shared" si="100"/>
        <v>0</v>
      </c>
      <c r="ALN7" s="5"/>
      <c r="ALO7" s="7" t="str">
        <f t="shared" si="310"/>
        <v/>
      </c>
      <c r="ALQ7" s="24"/>
      <c r="ALR7" s="6" t="s">
        <v>20</v>
      </c>
      <c r="ALS7" s="24">
        <v>5</v>
      </c>
      <c r="ALT7" s="6" t="s">
        <v>20</v>
      </c>
      <c r="ALU7" s="5">
        <f t="shared" si="311"/>
        <v>5</v>
      </c>
      <c r="ALV7" s="35"/>
      <c r="ALW7" s="7">
        <f t="shared" si="101"/>
        <v>0</v>
      </c>
      <c r="ALX7" s="5"/>
      <c r="ALY7" s="7" t="str">
        <f t="shared" si="312"/>
        <v/>
      </c>
      <c r="AMA7" s="24" t="s">
        <v>88</v>
      </c>
      <c r="AMB7" s="6" t="s">
        <v>20</v>
      </c>
      <c r="AMC7" s="24">
        <v>5</v>
      </c>
      <c r="AMD7" s="6" t="s">
        <v>20</v>
      </c>
      <c r="AME7" s="5">
        <f t="shared" si="313"/>
        <v>5</v>
      </c>
      <c r="AMF7" s="35"/>
      <c r="AMG7" s="7">
        <f t="shared" si="102"/>
        <v>0</v>
      </c>
      <c r="AMH7" s="5"/>
      <c r="AMI7" s="7" t="str">
        <f t="shared" si="314"/>
        <v/>
      </c>
      <c r="AMK7" s="24"/>
      <c r="AML7" s="6" t="s">
        <v>20</v>
      </c>
      <c r="AMM7" s="24">
        <v>5</v>
      </c>
      <c r="AMN7" s="6" t="s">
        <v>20</v>
      </c>
      <c r="AMO7" s="5">
        <f t="shared" si="315"/>
        <v>5</v>
      </c>
      <c r="AMP7" s="35"/>
      <c r="AMQ7" s="7">
        <f t="shared" si="103"/>
        <v>0</v>
      </c>
      <c r="AMR7" s="5"/>
      <c r="AMS7" s="7" t="str">
        <f t="shared" si="316"/>
        <v/>
      </c>
      <c r="AMU7" s="2"/>
      <c r="AMV7" s="6" t="s">
        <v>20</v>
      </c>
      <c r="AMW7" s="2">
        <v>4</v>
      </c>
      <c r="AMX7" s="6" t="s">
        <v>20</v>
      </c>
      <c r="AMY7" s="5">
        <f t="shared" si="317"/>
        <v>4</v>
      </c>
      <c r="AMZ7" s="35"/>
      <c r="ANA7" s="7">
        <f t="shared" si="104"/>
        <v>1</v>
      </c>
      <c r="ANB7" s="5">
        <v>0</v>
      </c>
      <c r="ANC7" s="7">
        <f t="shared" si="318"/>
        <v>-1</v>
      </c>
      <c r="ANE7" s="2"/>
      <c r="ANF7" s="6" t="s">
        <v>20</v>
      </c>
      <c r="ANG7" s="2">
        <v>4</v>
      </c>
      <c r="ANH7" s="6" t="s">
        <v>20</v>
      </c>
      <c r="ANI7" s="5">
        <f t="shared" si="319"/>
        <v>4</v>
      </c>
      <c r="ANJ7" s="35"/>
      <c r="ANK7" s="7">
        <f t="shared" si="105"/>
        <v>0</v>
      </c>
      <c r="ANL7" s="5"/>
      <c r="ANM7" s="7" t="str">
        <f t="shared" si="320"/>
        <v/>
      </c>
      <c r="ANO7" s="24"/>
      <c r="ANP7" s="6" t="s">
        <v>20</v>
      </c>
      <c r="ANQ7" s="24">
        <v>4</v>
      </c>
      <c r="ANR7" s="6" t="s">
        <v>20</v>
      </c>
      <c r="ANS7" s="5">
        <f t="shared" si="321"/>
        <v>4</v>
      </c>
      <c r="ANT7" s="35"/>
      <c r="ANU7" s="7">
        <f t="shared" si="106"/>
        <v>0</v>
      </c>
      <c r="ANV7" s="5"/>
      <c r="ANW7" s="7" t="str">
        <f t="shared" si="322"/>
        <v/>
      </c>
      <c r="ANY7" s="24"/>
      <c r="ANZ7" s="6" t="s">
        <v>20</v>
      </c>
      <c r="AOA7" s="24">
        <v>4</v>
      </c>
      <c r="AOB7" s="6" t="s">
        <v>20</v>
      </c>
      <c r="AOC7" s="5">
        <f t="shared" si="323"/>
        <v>4</v>
      </c>
      <c r="AOD7" s="35"/>
      <c r="AOE7" s="7">
        <f t="shared" si="107"/>
        <v>0</v>
      </c>
      <c r="AOF7" s="5"/>
      <c r="AOG7" s="7" t="str">
        <f t="shared" si="324"/>
        <v/>
      </c>
      <c r="AOI7" s="24"/>
      <c r="AOJ7" s="6" t="s">
        <v>20</v>
      </c>
      <c r="AOK7" s="24">
        <v>4</v>
      </c>
      <c r="AOL7" s="6" t="s">
        <v>20</v>
      </c>
      <c r="AOM7" s="5">
        <f t="shared" si="325"/>
        <v>4</v>
      </c>
      <c r="AON7" s="35"/>
      <c r="AOO7" s="7">
        <f t="shared" si="108"/>
        <v>0</v>
      </c>
      <c r="AOP7" s="5"/>
      <c r="AOQ7" s="7" t="str">
        <f t="shared" si="326"/>
        <v/>
      </c>
      <c r="AOS7" s="24"/>
      <c r="AOT7" s="6" t="s">
        <v>20</v>
      </c>
      <c r="AOU7" s="24">
        <v>4</v>
      </c>
      <c r="AOV7" s="6" t="s">
        <v>20</v>
      </c>
      <c r="AOW7" s="5">
        <f t="shared" ref="AOW7" si="462">IF(OR(ISNUMBER(AOS7), ISNUMBER(AOU7)), IF(ISNUMBER(AOS7), AOS7, 0) + IF(ISNUMBER(AOU7), AOU7, 0), "")</f>
        <v>4</v>
      </c>
      <c r="AOX7" s="35"/>
      <c r="AOY7" s="7">
        <f t="shared" si="109"/>
        <v>0</v>
      </c>
      <c r="AOZ7" s="5"/>
      <c r="APA7" s="7" t="str">
        <f t="shared" si="328"/>
        <v/>
      </c>
      <c r="APC7" s="24"/>
      <c r="APD7" s="6" t="s">
        <v>20</v>
      </c>
      <c r="APE7" s="24">
        <v>4</v>
      </c>
      <c r="APF7" s="6" t="s">
        <v>20</v>
      </c>
      <c r="APG7" s="5">
        <f t="shared" si="329"/>
        <v>4</v>
      </c>
      <c r="APH7" s="35"/>
      <c r="API7" s="7">
        <f t="shared" si="110"/>
        <v>0</v>
      </c>
      <c r="APJ7" s="5"/>
      <c r="APK7" s="7" t="str">
        <f t="shared" si="330"/>
        <v/>
      </c>
      <c r="APM7" s="24"/>
      <c r="APN7" s="6" t="s">
        <v>20</v>
      </c>
      <c r="APO7" s="24">
        <v>4</v>
      </c>
      <c r="APP7" s="6" t="s">
        <v>20</v>
      </c>
      <c r="APQ7" s="5">
        <f t="shared" si="331"/>
        <v>4</v>
      </c>
      <c r="APR7" s="35"/>
      <c r="APS7" s="7">
        <f t="shared" si="111"/>
        <v>0</v>
      </c>
      <c r="APT7" s="5"/>
      <c r="APU7" s="7" t="str">
        <f t="shared" si="332"/>
        <v/>
      </c>
      <c r="APW7" s="2"/>
      <c r="APX7" s="6" t="s">
        <v>20</v>
      </c>
      <c r="APY7" s="2"/>
      <c r="APZ7" s="6" t="s">
        <v>20</v>
      </c>
      <c r="AQA7" s="5" t="str">
        <f t="shared" si="333"/>
        <v/>
      </c>
      <c r="AQB7" s="35"/>
      <c r="AQC7" s="7" t="str">
        <f t="shared" si="112"/>
        <v/>
      </c>
      <c r="AQD7" s="5"/>
      <c r="AQE7" s="7" t="str">
        <f t="shared" si="334"/>
        <v/>
      </c>
    </row>
    <row r="8" spans="1:1123" ht="12.75" customHeight="1" x14ac:dyDescent="0.2">
      <c r="B8" s="8"/>
      <c r="C8" s="8"/>
      <c r="PR8" s="21"/>
      <c r="QB8" s="21"/>
      <c r="QL8" s="21"/>
      <c r="QV8" s="21"/>
      <c r="RF8" s="21"/>
      <c r="RP8" s="21"/>
      <c r="RZ8" s="21"/>
      <c r="SJ8" s="21"/>
      <c r="ST8" s="21"/>
      <c r="TD8" s="21"/>
      <c r="TN8" s="21"/>
      <c r="TX8" s="21"/>
      <c r="UH8" s="21"/>
      <c r="UR8" s="21"/>
      <c r="VB8" s="21"/>
      <c r="VL8" s="21"/>
      <c r="VV8" s="21"/>
      <c r="WF8" s="21"/>
      <c r="WP8" s="21"/>
      <c r="WZ8" s="21"/>
      <c r="XJ8" s="21"/>
      <c r="XT8" s="21"/>
      <c r="YD8" s="21"/>
      <c r="YN8" s="21"/>
      <c r="YX8" s="21"/>
      <c r="ZH8" s="21"/>
      <c r="ZR8" s="21"/>
      <c r="AAB8" s="21"/>
      <c r="AAL8" s="21"/>
      <c r="AAV8" s="21"/>
      <c r="ABF8" s="21"/>
      <c r="ABP8" s="21"/>
      <c r="ABZ8" s="21"/>
      <c r="ACJ8" s="21"/>
      <c r="ACT8" s="21"/>
      <c r="ADD8" s="21"/>
      <c r="ADN8" s="21"/>
      <c r="ADX8" s="21"/>
      <c r="AEH8" s="21"/>
      <c r="AER8" s="21"/>
      <c r="AFB8" s="21"/>
      <c r="AFL8" s="21"/>
      <c r="AFV8" s="21"/>
      <c r="AGF8" s="21"/>
      <c r="AGP8" s="21"/>
      <c r="AGZ8" s="21"/>
      <c r="AHJ8" s="21"/>
      <c r="AHT8" s="21"/>
      <c r="AID8" s="21"/>
      <c r="AIN8" s="21"/>
      <c r="AIX8" s="21"/>
      <c r="AJH8" s="21"/>
      <c r="AJR8" s="21"/>
      <c r="AKB8" s="21"/>
      <c r="AKL8" s="21"/>
      <c r="AKV8" s="21"/>
      <c r="ALF8" s="21"/>
      <c r="ALP8" s="21"/>
      <c r="ALZ8" s="21"/>
      <c r="AMJ8" s="21"/>
      <c r="AMT8" s="21"/>
      <c r="AND8" s="21"/>
      <c r="ANN8" s="21"/>
      <c r="ANX8" s="21"/>
      <c r="AOH8" s="21"/>
      <c r="AOR8" s="21"/>
      <c r="APB8" s="21"/>
      <c r="APL8" s="21"/>
      <c r="APV8" s="21"/>
    </row>
    <row r="9" spans="1:1123" s="21" customFormat="1" ht="11.25" x14ac:dyDescent="0.2">
      <c r="A9" s="20" t="s">
        <v>26</v>
      </c>
      <c r="B9" s="4" t="s">
        <v>9</v>
      </c>
      <c r="C9" s="4" t="s">
        <v>10</v>
      </c>
      <c r="E9" s="39" t="s">
        <v>11</v>
      </c>
      <c r="F9" s="40"/>
      <c r="G9" s="39" t="s">
        <v>12</v>
      </c>
      <c r="H9" s="40"/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  <c r="O9" s="39" t="s">
        <v>11</v>
      </c>
      <c r="P9" s="40"/>
      <c r="Q9" s="39" t="s">
        <v>12</v>
      </c>
      <c r="R9" s="40"/>
      <c r="S9" s="4" t="s">
        <v>13</v>
      </c>
      <c r="T9" s="4" t="s">
        <v>14</v>
      </c>
      <c r="U9" s="4" t="s">
        <v>15</v>
      </c>
      <c r="V9" s="4" t="s">
        <v>16</v>
      </c>
      <c r="W9" s="4" t="s">
        <v>17</v>
      </c>
      <c r="Y9" s="39" t="s">
        <v>11</v>
      </c>
      <c r="Z9" s="40"/>
      <c r="AA9" s="39" t="s">
        <v>12</v>
      </c>
      <c r="AB9" s="40"/>
      <c r="AC9" s="4" t="s">
        <v>13</v>
      </c>
      <c r="AD9" s="4" t="s">
        <v>14</v>
      </c>
      <c r="AE9" s="4" t="s">
        <v>15</v>
      </c>
      <c r="AF9" s="4" t="s">
        <v>16</v>
      </c>
      <c r="AG9" s="4" t="s">
        <v>17</v>
      </c>
      <c r="AI9" s="39" t="s">
        <v>11</v>
      </c>
      <c r="AJ9" s="40"/>
      <c r="AK9" s="39" t="s">
        <v>12</v>
      </c>
      <c r="AL9" s="40"/>
      <c r="AM9" s="4" t="s">
        <v>13</v>
      </c>
      <c r="AN9" s="4" t="s">
        <v>14</v>
      </c>
      <c r="AO9" s="4" t="s">
        <v>15</v>
      </c>
      <c r="AP9" s="4" t="s">
        <v>16</v>
      </c>
      <c r="AQ9" s="4" t="s">
        <v>17</v>
      </c>
      <c r="AS9" s="39" t="s">
        <v>11</v>
      </c>
      <c r="AT9" s="40"/>
      <c r="AU9" s="39" t="s">
        <v>12</v>
      </c>
      <c r="AV9" s="40"/>
      <c r="AW9" s="4" t="s">
        <v>13</v>
      </c>
      <c r="AX9" s="4" t="s">
        <v>14</v>
      </c>
      <c r="AY9" s="4" t="s">
        <v>15</v>
      </c>
      <c r="AZ9" s="4" t="s">
        <v>16</v>
      </c>
      <c r="BA9" s="4" t="s">
        <v>17</v>
      </c>
      <c r="BC9" s="39" t="s">
        <v>11</v>
      </c>
      <c r="BD9" s="40"/>
      <c r="BE9" s="39" t="s">
        <v>12</v>
      </c>
      <c r="BF9" s="40"/>
      <c r="BG9" s="4" t="s">
        <v>13</v>
      </c>
      <c r="BH9" s="4" t="s">
        <v>14</v>
      </c>
      <c r="BI9" s="4" t="s">
        <v>15</v>
      </c>
      <c r="BJ9" s="4" t="s">
        <v>16</v>
      </c>
      <c r="BK9" s="4" t="s">
        <v>17</v>
      </c>
      <c r="BM9" s="39" t="s">
        <v>11</v>
      </c>
      <c r="BN9" s="40"/>
      <c r="BO9" s="39" t="s">
        <v>12</v>
      </c>
      <c r="BP9" s="40"/>
      <c r="BQ9" s="4" t="s">
        <v>13</v>
      </c>
      <c r="BR9" s="4" t="s">
        <v>14</v>
      </c>
      <c r="BS9" s="4" t="s">
        <v>15</v>
      </c>
      <c r="BT9" s="4" t="s">
        <v>16</v>
      </c>
      <c r="BU9" s="4" t="s">
        <v>17</v>
      </c>
      <c r="BW9" s="39" t="s">
        <v>11</v>
      </c>
      <c r="BX9" s="40"/>
      <c r="BY9" s="39" t="s">
        <v>12</v>
      </c>
      <c r="BZ9" s="40"/>
      <c r="CA9" s="4" t="s">
        <v>13</v>
      </c>
      <c r="CB9" s="4" t="s">
        <v>14</v>
      </c>
      <c r="CC9" s="4" t="s">
        <v>15</v>
      </c>
      <c r="CD9" s="4" t="s">
        <v>16</v>
      </c>
      <c r="CE9" s="4" t="s">
        <v>17</v>
      </c>
      <c r="CG9" s="39" t="s">
        <v>11</v>
      </c>
      <c r="CH9" s="40"/>
      <c r="CI9" s="39" t="s">
        <v>12</v>
      </c>
      <c r="CJ9" s="40"/>
      <c r="CK9" s="4" t="s">
        <v>13</v>
      </c>
      <c r="CL9" s="4" t="s">
        <v>14</v>
      </c>
      <c r="CM9" s="4" t="s">
        <v>15</v>
      </c>
      <c r="CN9" s="4" t="s">
        <v>16</v>
      </c>
      <c r="CO9" s="4" t="s">
        <v>17</v>
      </c>
      <c r="CQ9" s="39" t="s">
        <v>11</v>
      </c>
      <c r="CR9" s="40"/>
      <c r="CS9" s="39" t="s">
        <v>12</v>
      </c>
      <c r="CT9" s="40"/>
      <c r="CU9" s="4" t="s">
        <v>13</v>
      </c>
      <c r="CV9" s="4" t="s">
        <v>14</v>
      </c>
      <c r="CW9" s="4" t="s">
        <v>15</v>
      </c>
      <c r="CX9" s="4" t="s">
        <v>16</v>
      </c>
      <c r="CY9" s="4" t="s">
        <v>17</v>
      </c>
      <c r="DA9" s="39" t="s">
        <v>11</v>
      </c>
      <c r="DB9" s="40"/>
      <c r="DC9" s="39" t="s">
        <v>12</v>
      </c>
      <c r="DD9" s="40"/>
      <c r="DE9" s="4" t="s">
        <v>13</v>
      </c>
      <c r="DF9" s="4" t="s">
        <v>14</v>
      </c>
      <c r="DG9" s="4" t="s">
        <v>15</v>
      </c>
      <c r="DH9" s="4" t="s">
        <v>16</v>
      </c>
      <c r="DI9" s="4" t="s">
        <v>17</v>
      </c>
      <c r="DK9" s="39" t="s">
        <v>11</v>
      </c>
      <c r="DL9" s="40"/>
      <c r="DM9" s="39" t="s">
        <v>12</v>
      </c>
      <c r="DN9" s="40"/>
      <c r="DO9" s="4" t="s">
        <v>13</v>
      </c>
      <c r="DP9" s="4" t="s">
        <v>14</v>
      </c>
      <c r="DQ9" s="4" t="s">
        <v>15</v>
      </c>
      <c r="DR9" s="4" t="s">
        <v>16</v>
      </c>
      <c r="DS9" s="4" t="s">
        <v>17</v>
      </c>
      <c r="DU9" s="39" t="s">
        <v>11</v>
      </c>
      <c r="DV9" s="40"/>
      <c r="DW9" s="39" t="s">
        <v>12</v>
      </c>
      <c r="DX9" s="40"/>
      <c r="DY9" s="4" t="s">
        <v>13</v>
      </c>
      <c r="DZ9" s="4" t="s">
        <v>14</v>
      </c>
      <c r="EA9" s="4" t="s">
        <v>15</v>
      </c>
      <c r="EB9" s="4" t="s">
        <v>16</v>
      </c>
      <c r="EC9" s="4" t="s">
        <v>17</v>
      </c>
      <c r="EE9" s="39" t="s">
        <v>11</v>
      </c>
      <c r="EF9" s="40"/>
      <c r="EG9" s="39" t="s">
        <v>12</v>
      </c>
      <c r="EH9" s="40"/>
      <c r="EI9" s="4" t="s">
        <v>13</v>
      </c>
      <c r="EJ9" s="4" t="s">
        <v>14</v>
      </c>
      <c r="EK9" s="4" t="s">
        <v>15</v>
      </c>
      <c r="EL9" s="4" t="s">
        <v>16</v>
      </c>
      <c r="EM9" s="4" t="s">
        <v>17</v>
      </c>
      <c r="EO9" s="39" t="s">
        <v>11</v>
      </c>
      <c r="EP9" s="40"/>
      <c r="EQ9" s="39" t="s">
        <v>12</v>
      </c>
      <c r="ER9" s="40"/>
      <c r="ES9" s="4" t="s">
        <v>13</v>
      </c>
      <c r="ET9" s="4" t="s">
        <v>14</v>
      </c>
      <c r="EU9" s="4" t="s">
        <v>15</v>
      </c>
      <c r="EV9" s="4" t="s">
        <v>16</v>
      </c>
      <c r="EW9" s="4" t="s">
        <v>17</v>
      </c>
      <c r="EY9" s="39" t="s">
        <v>11</v>
      </c>
      <c r="EZ9" s="40"/>
      <c r="FA9" s="39" t="s">
        <v>12</v>
      </c>
      <c r="FB9" s="40"/>
      <c r="FC9" s="4" t="s">
        <v>13</v>
      </c>
      <c r="FD9" s="4" t="s">
        <v>14</v>
      </c>
      <c r="FE9" s="4" t="s">
        <v>15</v>
      </c>
      <c r="FF9" s="4" t="s">
        <v>16</v>
      </c>
      <c r="FG9" s="4" t="s">
        <v>17</v>
      </c>
      <c r="FI9" s="39" t="s">
        <v>11</v>
      </c>
      <c r="FJ9" s="40"/>
      <c r="FK9" s="39" t="s">
        <v>12</v>
      </c>
      <c r="FL9" s="40"/>
      <c r="FM9" s="4" t="s">
        <v>13</v>
      </c>
      <c r="FN9" s="4" t="s">
        <v>14</v>
      </c>
      <c r="FO9" s="4" t="s">
        <v>15</v>
      </c>
      <c r="FP9" s="4" t="s">
        <v>16</v>
      </c>
      <c r="FQ9" s="4" t="s">
        <v>17</v>
      </c>
      <c r="FS9" s="39" t="s">
        <v>11</v>
      </c>
      <c r="FT9" s="40"/>
      <c r="FU9" s="39" t="s">
        <v>12</v>
      </c>
      <c r="FV9" s="40"/>
      <c r="FW9" s="4" t="s">
        <v>13</v>
      </c>
      <c r="FX9" s="4" t="s">
        <v>14</v>
      </c>
      <c r="FY9" s="4" t="s">
        <v>15</v>
      </c>
      <c r="FZ9" s="4" t="s">
        <v>16</v>
      </c>
      <c r="GA9" s="4" t="s">
        <v>17</v>
      </c>
      <c r="GC9" s="39" t="s">
        <v>11</v>
      </c>
      <c r="GD9" s="40"/>
      <c r="GE9" s="39" t="s">
        <v>12</v>
      </c>
      <c r="GF9" s="40"/>
      <c r="GG9" s="4" t="s">
        <v>13</v>
      </c>
      <c r="GH9" s="4" t="s">
        <v>14</v>
      </c>
      <c r="GI9" s="4" t="s">
        <v>15</v>
      </c>
      <c r="GJ9" s="4" t="s">
        <v>16</v>
      </c>
      <c r="GK9" s="4" t="s">
        <v>17</v>
      </c>
      <c r="GM9" s="39" t="s">
        <v>11</v>
      </c>
      <c r="GN9" s="40"/>
      <c r="GO9" s="39" t="s">
        <v>12</v>
      </c>
      <c r="GP9" s="40"/>
      <c r="GQ9" s="4" t="s">
        <v>13</v>
      </c>
      <c r="GR9" s="4" t="s">
        <v>14</v>
      </c>
      <c r="GS9" s="4" t="s">
        <v>15</v>
      </c>
      <c r="GT9" s="4" t="s">
        <v>16</v>
      </c>
      <c r="GU9" s="4" t="s">
        <v>17</v>
      </c>
      <c r="GW9" s="39" t="s">
        <v>11</v>
      </c>
      <c r="GX9" s="40"/>
      <c r="GY9" s="39" t="s">
        <v>12</v>
      </c>
      <c r="GZ9" s="40"/>
      <c r="HA9" s="4" t="s">
        <v>13</v>
      </c>
      <c r="HB9" s="4" t="s">
        <v>14</v>
      </c>
      <c r="HC9" s="4" t="s">
        <v>15</v>
      </c>
      <c r="HD9" s="4" t="s">
        <v>16</v>
      </c>
      <c r="HE9" s="4" t="s">
        <v>17</v>
      </c>
      <c r="HG9" s="39" t="s">
        <v>11</v>
      </c>
      <c r="HH9" s="40"/>
      <c r="HI9" s="39" t="s">
        <v>12</v>
      </c>
      <c r="HJ9" s="40"/>
      <c r="HK9" s="4" t="s">
        <v>13</v>
      </c>
      <c r="HL9" s="4" t="s">
        <v>14</v>
      </c>
      <c r="HM9" s="4" t="s">
        <v>15</v>
      </c>
      <c r="HN9" s="4" t="s">
        <v>16</v>
      </c>
      <c r="HO9" s="4" t="s">
        <v>17</v>
      </c>
      <c r="HQ9" s="39" t="s">
        <v>11</v>
      </c>
      <c r="HR9" s="40"/>
      <c r="HS9" s="39" t="s">
        <v>12</v>
      </c>
      <c r="HT9" s="40"/>
      <c r="HU9" s="4" t="s">
        <v>13</v>
      </c>
      <c r="HV9" s="4" t="s">
        <v>14</v>
      </c>
      <c r="HW9" s="4" t="s">
        <v>15</v>
      </c>
      <c r="HX9" s="4" t="s">
        <v>16</v>
      </c>
      <c r="HY9" s="4" t="s">
        <v>17</v>
      </c>
      <c r="IA9" s="39" t="s">
        <v>11</v>
      </c>
      <c r="IB9" s="40"/>
      <c r="IC9" s="39" t="s">
        <v>12</v>
      </c>
      <c r="ID9" s="40"/>
      <c r="IE9" s="4" t="s">
        <v>13</v>
      </c>
      <c r="IF9" s="4" t="s">
        <v>14</v>
      </c>
      <c r="IG9" s="4" t="s">
        <v>15</v>
      </c>
      <c r="IH9" s="4" t="s">
        <v>16</v>
      </c>
      <c r="II9" s="4" t="s">
        <v>17</v>
      </c>
      <c r="IK9" s="39" t="s">
        <v>11</v>
      </c>
      <c r="IL9" s="40"/>
      <c r="IM9" s="39" t="s">
        <v>12</v>
      </c>
      <c r="IN9" s="40"/>
      <c r="IO9" s="4" t="s">
        <v>13</v>
      </c>
      <c r="IP9" s="4" t="s">
        <v>14</v>
      </c>
      <c r="IQ9" s="4" t="s">
        <v>15</v>
      </c>
      <c r="IR9" s="4" t="s">
        <v>16</v>
      </c>
      <c r="IS9" s="4" t="s">
        <v>17</v>
      </c>
      <c r="IU9" s="39" t="s">
        <v>11</v>
      </c>
      <c r="IV9" s="40"/>
      <c r="IW9" s="39" t="s">
        <v>12</v>
      </c>
      <c r="IX9" s="40"/>
      <c r="IY9" s="4" t="s">
        <v>13</v>
      </c>
      <c r="IZ9" s="4" t="s">
        <v>14</v>
      </c>
      <c r="JA9" s="4" t="s">
        <v>15</v>
      </c>
      <c r="JB9" s="4" t="s">
        <v>16</v>
      </c>
      <c r="JC9" s="4" t="s">
        <v>17</v>
      </c>
      <c r="JE9" s="39" t="s">
        <v>11</v>
      </c>
      <c r="JF9" s="40"/>
      <c r="JG9" s="39" t="s">
        <v>12</v>
      </c>
      <c r="JH9" s="40"/>
      <c r="JI9" s="4" t="s">
        <v>13</v>
      </c>
      <c r="JJ9" s="4" t="s">
        <v>14</v>
      </c>
      <c r="JK9" s="4" t="s">
        <v>15</v>
      </c>
      <c r="JL9" s="4" t="s">
        <v>16</v>
      </c>
      <c r="JM9" s="4" t="s">
        <v>17</v>
      </c>
      <c r="JO9" s="39" t="s">
        <v>11</v>
      </c>
      <c r="JP9" s="40"/>
      <c r="JQ9" s="39" t="s">
        <v>12</v>
      </c>
      <c r="JR9" s="40"/>
      <c r="JS9" s="4" t="s">
        <v>13</v>
      </c>
      <c r="JT9" s="4" t="s">
        <v>14</v>
      </c>
      <c r="JU9" s="4" t="s">
        <v>15</v>
      </c>
      <c r="JV9" s="4" t="s">
        <v>16</v>
      </c>
      <c r="JW9" s="4" t="s">
        <v>17</v>
      </c>
      <c r="JY9" s="39" t="s">
        <v>11</v>
      </c>
      <c r="JZ9" s="40"/>
      <c r="KA9" s="39" t="s">
        <v>12</v>
      </c>
      <c r="KB9" s="40"/>
      <c r="KC9" s="4" t="s">
        <v>13</v>
      </c>
      <c r="KD9" s="4" t="s">
        <v>14</v>
      </c>
      <c r="KE9" s="4" t="s">
        <v>15</v>
      </c>
      <c r="KF9" s="4" t="s">
        <v>16</v>
      </c>
      <c r="KG9" s="4" t="s">
        <v>17</v>
      </c>
      <c r="KI9" s="39" t="s">
        <v>11</v>
      </c>
      <c r="KJ9" s="40"/>
      <c r="KK9" s="39" t="s">
        <v>12</v>
      </c>
      <c r="KL9" s="40"/>
      <c r="KM9" s="4" t="s">
        <v>13</v>
      </c>
      <c r="KN9" s="4" t="s">
        <v>14</v>
      </c>
      <c r="KO9" s="4" t="s">
        <v>15</v>
      </c>
      <c r="KP9" s="4" t="s">
        <v>16</v>
      </c>
      <c r="KQ9" s="4" t="s">
        <v>17</v>
      </c>
      <c r="KS9" s="39" t="s">
        <v>11</v>
      </c>
      <c r="KT9" s="40"/>
      <c r="KU9" s="39" t="s">
        <v>12</v>
      </c>
      <c r="KV9" s="40"/>
      <c r="KW9" s="4" t="s">
        <v>13</v>
      </c>
      <c r="KX9" s="4" t="s">
        <v>14</v>
      </c>
      <c r="KY9" s="4" t="s">
        <v>15</v>
      </c>
      <c r="KZ9" s="4" t="s">
        <v>16</v>
      </c>
      <c r="LA9" s="4" t="s">
        <v>17</v>
      </c>
      <c r="LC9" s="39" t="s">
        <v>11</v>
      </c>
      <c r="LD9" s="40"/>
      <c r="LE9" s="39" t="s">
        <v>12</v>
      </c>
      <c r="LF9" s="40"/>
      <c r="LG9" s="4" t="s">
        <v>13</v>
      </c>
      <c r="LH9" s="4" t="s">
        <v>14</v>
      </c>
      <c r="LI9" s="4" t="s">
        <v>15</v>
      </c>
      <c r="LJ9" s="4" t="s">
        <v>16</v>
      </c>
      <c r="LK9" s="4" t="s">
        <v>17</v>
      </c>
      <c r="LM9" s="39" t="s">
        <v>11</v>
      </c>
      <c r="LN9" s="40"/>
      <c r="LO9" s="39" t="s">
        <v>12</v>
      </c>
      <c r="LP9" s="40"/>
      <c r="LQ9" s="4" t="s">
        <v>13</v>
      </c>
      <c r="LR9" s="4" t="s">
        <v>14</v>
      </c>
      <c r="LS9" s="4" t="s">
        <v>15</v>
      </c>
      <c r="LT9" s="4" t="s">
        <v>16</v>
      </c>
      <c r="LU9" s="4" t="s">
        <v>17</v>
      </c>
      <c r="LW9" s="39" t="s">
        <v>11</v>
      </c>
      <c r="LX9" s="40"/>
      <c r="LY9" s="39" t="s">
        <v>12</v>
      </c>
      <c r="LZ9" s="40"/>
      <c r="MA9" s="4" t="s">
        <v>13</v>
      </c>
      <c r="MB9" s="4" t="s">
        <v>14</v>
      </c>
      <c r="MC9" s="4" t="s">
        <v>15</v>
      </c>
      <c r="MD9" s="4" t="s">
        <v>16</v>
      </c>
      <c r="ME9" s="4" t="s">
        <v>17</v>
      </c>
      <c r="MG9" s="39" t="s">
        <v>11</v>
      </c>
      <c r="MH9" s="40"/>
      <c r="MI9" s="39" t="s">
        <v>12</v>
      </c>
      <c r="MJ9" s="40"/>
      <c r="MK9" s="4" t="s">
        <v>13</v>
      </c>
      <c r="ML9" s="4" t="s">
        <v>14</v>
      </c>
      <c r="MM9" s="4" t="s">
        <v>15</v>
      </c>
      <c r="MN9" s="4" t="s">
        <v>16</v>
      </c>
      <c r="MO9" s="4" t="s">
        <v>17</v>
      </c>
      <c r="MQ9" s="39" t="s">
        <v>11</v>
      </c>
      <c r="MR9" s="40"/>
      <c r="MS9" s="39" t="s">
        <v>12</v>
      </c>
      <c r="MT9" s="40"/>
      <c r="MU9" s="4" t="s">
        <v>13</v>
      </c>
      <c r="MV9" s="4" t="s">
        <v>14</v>
      </c>
      <c r="MW9" s="4" t="s">
        <v>15</v>
      </c>
      <c r="MX9" s="4" t="s">
        <v>16</v>
      </c>
      <c r="MY9" s="4" t="s">
        <v>17</v>
      </c>
      <c r="NA9" s="39" t="s">
        <v>11</v>
      </c>
      <c r="NB9" s="40"/>
      <c r="NC9" s="39" t="s">
        <v>12</v>
      </c>
      <c r="ND9" s="40"/>
      <c r="NE9" s="4" t="s">
        <v>13</v>
      </c>
      <c r="NF9" s="4" t="s">
        <v>14</v>
      </c>
      <c r="NG9" s="4" t="s">
        <v>15</v>
      </c>
      <c r="NH9" s="4" t="s">
        <v>16</v>
      </c>
      <c r="NI9" s="4" t="s">
        <v>17</v>
      </c>
      <c r="NK9" s="39" t="s">
        <v>11</v>
      </c>
      <c r="NL9" s="40"/>
      <c r="NM9" s="39" t="s">
        <v>12</v>
      </c>
      <c r="NN9" s="40"/>
      <c r="NO9" s="4" t="s">
        <v>13</v>
      </c>
      <c r="NP9" s="4" t="s">
        <v>14</v>
      </c>
      <c r="NQ9" s="4" t="s">
        <v>15</v>
      </c>
      <c r="NR9" s="4" t="s">
        <v>16</v>
      </c>
      <c r="NS9" s="4" t="s">
        <v>17</v>
      </c>
      <c r="NU9" s="39" t="s">
        <v>11</v>
      </c>
      <c r="NV9" s="40"/>
      <c r="NW9" s="39" t="s">
        <v>12</v>
      </c>
      <c r="NX9" s="40"/>
      <c r="NY9" s="4" t="s">
        <v>13</v>
      </c>
      <c r="NZ9" s="4" t="s">
        <v>14</v>
      </c>
      <c r="OA9" s="4" t="s">
        <v>15</v>
      </c>
      <c r="OB9" s="4" t="s">
        <v>16</v>
      </c>
      <c r="OC9" s="4" t="s">
        <v>17</v>
      </c>
      <c r="OE9" s="39" t="s">
        <v>11</v>
      </c>
      <c r="OF9" s="40"/>
      <c r="OG9" s="39" t="s">
        <v>12</v>
      </c>
      <c r="OH9" s="40"/>
      <c r="OI9" s="4" t="s">
        <v>13</v>
      </c>
      <c r="OJ9" s="4" t="s">
        <v>14</v>
      </c>
      <c r="OK9" s="4" t="s">
        <v>15</v>
      </c>
      <c r="OL9" s="4" t="s">
        <v>16</v>
      </c>
      <c r="OM9" s="4" t="s">
        <v>17</v>
      </c>
      <c r="OO9" s="39" t="s">
        <v>11</v>
      </c>
      <c r="OP9" s="40"/>
      <c r="OQ9" s="39" t="s">
        <v>12</v>
      </c>
      <c r="OR9" s="40"/>
      <c r="OS9" s="4" t="s">
        <v>13</v>
      </c>
      <c r="OT9" s="4" t="s">
        <v>14</v>
      </c>
      <c r="OU9" s="4" t="s">
        <v>15</v>
      </c>
      <c r="OV9" s="4" t="s">
        <v>16</v>
      </c>
      <c r="OW9" s="4" t="s">
        <v>17</v>
      </c>
      <c r="OY9" s="39" t="s">
        <v>11</v>
      </c>
      <c r="OZ9" s="40"/>
      <c r="PA9" s="39" t="s">
        <v>12</v>
      </c>
      <c r="PB9" s="40"/>
      <c r="PC9" s="4" t="s">
        <v>13</v>
      </c>
      <c r="PD9" s="4" t="s">
        <v>14</v>
      </c>
      <c r="PE9" s="4" t="s">
        <v>15</v>
      </c>
      <c r="PF9" s="4" t="s">
        <v>16</v>
      </c>
      <c r="PG9" s="4" t="s">
        <v>17</v>
      </c>
      <c r="PI9" s="39" t="s">
        <v>11</v>
      </c>
      <c r="PJ9" s="40"/>
      <c r="PK9" s="39" t="s">
        <v>12</v>
      </c>
      <c r="PL9" s="40"/>
      <c r="PM9" s="4" t="s">
        <v>13</v>
      </c>
      <c r="PN9" s="4" t="s">
        <v>14</v>
      </c>
      <c r="PO9" s="4" t="s">
        <v>15</v>
      </c>
      <c r="PP9" s="4" t="s">
        <v>16</v>
      </c>
      <c r="PQ9" s="4" t="s">
        <v>17</v>
      </c>
      <c r="PR9" s="1"/>
      <c r="PS9" s="39" t="s">
        <v>11</v>
      </c>
      <c r="PT9" s="40"/>
      <c r="PU9" s="39" t="s">
        <v>12</v>
      </c>
      <c r="PV9" s="40"/>
      <c r="PW9" s="4" t="s">
        <v>13</v>
      </c>
      <c r="PX9" s="4" t="s">
        <v>14</v>
      </c>
      <c r="PY9" s="4" t="s">
        <v>15</v>
      </c>
      <c r="PZ9" s="4" t="s">
        <v>16</v>
      </c>
      <c r="QA9" s="4" t="s">
        <v>17</v>
      </c>
      <c r="QB9" s="1"/>
      <c r="QC9" s="39" t="s">
        <v>11</v>
      </c>
      <c r="QD9" s="40"/>
      <c r="QE9" s="39" t="s">
        <v>12</v>
      </c>
      <c r="QF9" s="40"/>
      <c r="QG9" s="4" t="s">
        <v>13</v>
      </c>
      <c r="QH9" s="4" t="s">
        <v>14</v>
      </c>
      <c r="QI9" s="4" t="s">
        <v>15</v>
      </c>
      <c r="QJ9" s="4" t="s">
        <v>16</v>
      </c>
      <c r="QK9" s="4" t="s">
        <v>17</v>
      </c>
      <c r="QL9" s="1"/>
      <c r="QM9" s="39" t="s">
        <v>11</v>
      </c>
      <c r="QN9" s="40"/>
      <c r="QO9" s="39" t="s">
        <v>12</v>
      </c>
      <c r="QP9" s="40"/>
      <c r="QQ9" s="4" t="s">
        <v>13</v>
      </c>
      <c r="QR9" s="4" t="s">
        <v>14</v>
      </c>
      <c r="QS9" s="4" t="s">
        <v>15</v>
      </c>
      <c r="QT9" s="4" t="s">
        <v>16</v>
      </c>
      <c r="QU9" s="4" t="s">
        <v>17</v>
      </c>
      <c r="QV9" s="1"/>
      <c r="QW9" s="39" t="s">
        <v>11</v>
      </c>
      <c r="QX9" s="40"/>
      <c r="QY9" s="39" t="s">
        <v>12</v>
      </c>
      <c r="QZ9" s="40"/>
      <c r="RA9" s="4" t="s">
        <v>13</v>
      </c>
      <c r="RB9" s="4" t="s">
        <v>14</v>
      </c>
      <c r="RC9" s="4" t="s">
        <v>15</v>
      </c>
      <c r="RD9" s="4" t="s">
        <v>16</v>
      </c>
      <c r="RE9" s="4" t="s">
        <v>17</v>
      </c>
      <c r="RF9" s="1"/>
      <c r="RG9" s="39" t="s">
        <v>11</v>
      </c>
      <c r="RH9" s="40"/>
      <c r="RI9" s="39" t="s">
        <v>12</v>
      </c>
      <c r="RJ9" s="40"/>
      <c r="RK9" s="4" t="s">
        <v>13</v>
      </c>
      <c r="RL9" s="4" t="s">
        <v>14</v>
      </c>
      <c r="RM9" s="4" t="s">
        <v>15</v>
      </c>
      <c r="RN9" s="4" t="s">
        <v>16</v>
      </c>
      <c r="RO9" s="4" t="s">
        <v>17</v>
      </c>
      <c r="RP9" s="1"/>
      <c r="RQ9" s="39" t="s">
        <v>11</v>
      </c>
      <c r="RR9" s="40"/>
      <c r="RS9" s="39" t="s">
        <v>12</v>
      </c>
      <c r="RT9" s="40"/>
      <c r="RU9" s="4" t="s">
        <v>13</v>
      </c>
      <c r="RV9" s="4" t="s">
        <v>14</v>
      </c>
      <c r="RW9" s="4" t="s">
        <v>15</v>
      </c>
      <c r="RX9" s="4" t="s">
        <v>16</v>
      </c>
      <c r="RY9" s="4" t="s">
        <v>17</v>
      </c>
      <c r="RZ9" s="1"/>
      <c r="SA9" s="39" t="s">
        <v>11</v>
      </c>
      <c r="SB9" s="40"/>
      <c r="SC9" s="39" t="s">
        <v>12</v>
      </c>
      <c r="SD9" s="40"/>
      <c r="SE9" s="4" t="s">
        <v>13</v>
      </c>
      <c r="SF9" s="4" t="s">
        <v>14</v>
      </c>
      <c r="SG9" s="4" t="s">
        <v>15</v>
      </c>
      <c r="SH9" s="4" t="s">
        <v>16</v>
      </c>
      <c r="SI9" s="4" t="s">
        <v>17</v>
      </c>
      <c r="SJ9" s="1"/>
      <c r="SK9" s="39" t="s">
        <v>11</v>
      </c>
      <c r="SL9" s="40"/>
      <c r="SM9" s="39" t="s">
        <v>12</v>
      </c>
      <c r="SN9" s="40"/>
      <c r="SO9" s="4" t="s">
        <v>13</v>
      </c>
      <c r="SP9" s="4" t="s">
        <v>14</v>
      </c>
      <c r="SQ9" s="4" t="s">
        <v>15</v>
      </c>
      <c r="SR9" s="4" t="s">
        <v>16</v>
      </c>
      <c r="SS9" s="4" t="s">
        <v>17</v>
      </c>
      <c r="ST9" s="1"/>
      <c r="SU9" s="39" t="s">
        <v>11</v>
      </c>
      <c r="SV9" s="40"/>
      <c r="SW9" s="39" t="s">
        <v>12</v>
      </c>
      <c r="SX9" s="40"/>
      <c r="SY9" s="4" t="s">
        <v>13</v>
      </c>
      <c r="SZ9" s="4" t="s">
        <v>14</v>
      </c>
      <c r="TA9" s="4" t="s">
        <v>15</v>
      </c>
      <c r="TB9" s="4" t="s">
        <v>16</v>
      </c>
      <c r="TC9" s="4" t="s">
        <v>17</v>
      </c>
      <c r="TD9" s="1"/>
      <c r="TE9" s="39" t="s">
        <v>11</v>
      </c>
      <c r="TF9" s="40"/>
      <c r="TG9" s="39" t="s">
        <v>12</v>
      </c>
      <c r="TH9" s="40"/>
      <c r="TI9" s="4" t="s">
        <v>13</v>
      </c>
      <c r="TJ9" s="4" t="s">
        <v>14</v>
      </c>
      <c r="TK9" s="4" t="s">
        <v>15</v>
      </c>
      <c r="TL9" s="4" t="s">
        <v>16</v>
      </c>
      <c r="TM9" s="4" t="s">
        <v>17</v>
      </c>
      <c r="TN9" s="1"/>
      <c r="TO9" s="39" t="s">
        <v>11</v>
      </c>
      <c r="TP9" s="40"/>
      <c r="TQ9" s="39" t="s">
        <v>12</v>
      </c>
      <c r="TR9" s="40"/>
      <c r="TS9" s="4" t="s">
        <v>13</v>
      </c>
      <c r="TT9" s="4" t="s">
        <v>14</v>
      </c>
      <c r="TU9" s="4" t="s">
        <v>15</v>
      </c>
      <c r="TV9" s="4" t="s">
        <v>16</v>
      </c>
      <c r="TW9" s="4" t="s">
        <v>17</v>
      </c>
      <c r="TX9" s="1"/>
      <c r="TY9" s="39" t="s">
        <v>11</v>
      </c>
      <c r="TZ9" s="40"/>
      <c r="UA9" s="39" t="s">
        <v>12</v>
      </c>
      <c r="UB9" s="40"/>
      <c r="UC9" s="4" t="s">
        <v>13</v>
      </c>
      <c r="UD9" s="4" t="s">
        <v>14</v>
      </c>
      <c r="UE9" s="4" t="s">
        <v>15</v>
      </c>
      <c r="UF9" s="4" t="s">
        <v>16</v>
      </c>
      <c r="UG9" s="4" t="s">
        <v>17</v>
      </c>
      <c r="UH9" s="1"/>
      <c r="UI9" s="39" t="s">
        <v>11</v>
      </c>
      <c r="UJ9" s="40"/>
      <c r="UK9" s="39" t="s">
        <v>12</v>
      </c>
      <c r="UL9" s="40"/>
      <c r="UM9" s="4" t="s">
        <v>13</v>
      </c>
      <c r="UN9" s="4" t="s">
        <v>14</v>
      </c>
      <c r="UO9" s="4" t="s">
        <v>15</v>
      </c>
      <c r="UP9" s="4" t="s">
        <v>16</v>
      </c>
      <c r="UQ9" s="4" t="s">
        <v>17</v>
      </c>
      <c r="UR9" s="1"/>
      <c r="US9" s="39" t="s">
        <v>11</v>
      </c>
      <c r="UT9" s="40"/>
      <c r="UU9" s="39" t="s">
        <v>12</v>
      </c>
      <c r="UV9" s="40"/>
      <c r="UW9" s="4" t="s">
        <v>13</v>
      </c>
      <c r="UX9" s="4" t="s">
        <v>14</v>
      </c>
      <c r="UY9" s="4" t="s">
        <v>15</v>
      </c>
      <c r="UZ9" s="4" t="s">
        <v>16</v>
      </c>
      <c r="VA9" s="4" t="s">
        <v>17</v>
      </c>
      <c r="VB9" s="1"/>
      <c r="VC9" s="39" t="s">
        <v>11</v>
      </c>
      <c r="VD9" s="40"/>
      <c r="VE9" s="39" t="s">
        <v>12</v>
      </c>
      <c r="VF9" s="40"/>
      <c r="VG9" s="4" t="s">
        <v>13</v>
      </c>
      <c r="VH9" s="4" t="s">
        <v>14</v>
      </c>
      <c r="VI9" s="4" t="s">
        <v>15</v>
      </c>
      <c r="VJ9" s="4" t="s">
        <v>16</v>
      </c>
      <c r="VK9" s="4" t="s">
        <v>17</v>
      </c>
      <c r="VL9" s="1"/>
      <c r="VM9" s="39" t="s">
        <v>11</v>
      </c>
      <c r="VN9" s="40"/>
      <c r="VO9" s="39" t="s">
        <v>12</v>
      </c>
      <c r="VP9" s="40"/>
      <c r="VQ9" s="4" t="s">
        <v>13</v>
      </c>
      <c r="VR9" s="4" t="s">
        <v>14</v>
      </c>
      <c r="VS9" s="4" t="s">
        <v>15</v>
      </c>
      <c r="VT9" s="4" t="s">
        <v>16</v>
      </c>
      <c r="VU9" s="4" t="s">
        <v>17</v>
      </c>
      <c r="VV9" s="1"/>
      <c r="VW9" s="39" t="s">
        <v>11</v>
      </c>
      <c r="VX9" s="40"/>
      <c r="VY9" s="39" t="s">
        <v>12</v>
      </c>
      <c r="VZ9" s="40"/>
      <c r="WA9" s="4" t="s">
        <v>13</v>
      </c>
      <c r="WB9" s="4" t="s">
        <v>14</v>
      </c>
      <c r="WC9" s="4" t="s">
        <v>15</v>
      </c>
      <c r="WD9" s="4" t="s">
        <v>16</v>
      </c>
      <c r="WE9" s="4" t="s">
        <v>17</v>
      </c>
      <c r="WF9" s="1"/>
      <c r="WG9" s="39" t="s">
        <v>11</v>
      </c>
      <c r="WH9" s="40"/>
      <c r="WI9" s="39" t="s">
        <v>12</v>
      </c>
      <c r="WJ9" s="40"/>
      <c r="WK9" s="4" t="s">
        <v>13</v>
      </c>
      <c r="WL9" s="4" t="s">
        <v>14</v>
      </c>
      <c r="WM9" s="4" t="s">
        <v>15</v>
      </c>
      <c r="WN9" s="4" t="s">
        <v>16</v>
      </c>
      <c r="WO9" s="4" t="s">
        <v>17</v>
      </c>
      <c r="WP9" s="1"/>
      <c r="WQ9" s="39" t="s">
        <v>11</v>
      </c>
      <c r="WR9" s="40"/>
      <c r="WS9" s="39" t="s">
        <v>12</v>
      </c>
      <c r="WT9" s="40"/>
      <c r="WU9" s="4" t="s">
        <v>13</v>
      </c>
      <c r="WV9" s="4" t="s">
        <v>14</v>
      </c>
      <c r="WW9" s="4" t="s">
        <v>15</v>
      </c>
      <c r="WX9" s="4" t="s">
        <v>16</v>
      </c>
      <c r="WY9" s="4" t="s">
        <v>17</v>
      </c>
      <c r="WZ9" s="1"/>
      <c r="XA9" s="39" t="s">
        <v>11</v>
      </c>
      <c r="XB9" s="40"/>
      <c r="XC9" s="39" t="s">
        <v>12</v>
      </c>
      <c r="XD9" s="40"/>
      <c r="XE9" s="4" t="s">
        <v>13</v>
      </c>
      <c r="XF9" s="4" t="s">
        <v>14</v>
      </c>
      <c r="XG9" s="4" t="s">
        <v>15</v>
      </c>
      <c r="XH9" s="4" t="s">
        <v>16</v>
      </c>
      <c r="XI9" s="4" t="s">
        <v>17</v>
      </c>
      <c r="XJ9" s="1"/>
      <c r="XK9" s="39" t="s">
        <v>11</v>
      </c>
      <c r="XL9" s="40"/>
      <c r="XM9" s="39" t="s">
        <v>12</v>
      </c>
      <c r="XN9" s="40"/>
      <c r="XO9" s="4" t="s">
        <v>13</v>
      </c>
      <c r="XP9" s="4" t="s">
        <v>14</v>
      </c>
      <c r="XQ9" s="4" t="s">
        <v>15</v>
      </c>
      <c r="XR9" s="4" t="s">
        <v>16</v>
      </c>
      <c r="XS9" s="4" t="s">
        <v>17</v>
      </c>
      <c r="XT9" s="1"/>
      <c r="XU9" s="39" t="s">
        <v>11</v>
      </c>
      <c r="XV9" s="40"/>
      <c r="XW9" s="39" t="s">
        <v>12</v>
      </c>
      <c r="XX9" s="40"/>
      <c r="XY9" s="4" t="s">
        <v>13</v>
      </c>
      <c r="XZ9" s="4" t="s">
        <v>14</v>
      </c>
      <c r="YA9" s="4" t="s">
        <v>15</v>
      </c>
      <c r="YB9" s="4" t="s">
        <v>16</v>
      </c>
      <c r="YC9" s="4" t="s">
        <v>17</v>
      </c>
      <c r="YD9" s="1"/>
      <c r="YE9" s="39" t="s">
        <v>11</v>
      </c>
      <c r="YF9" s="40"/>
      <c r="YG9" s="39" t="s">
        <v>12</v>
      </c>
      <c r="YH9" s="40"/>
      <c r="YI9" s="4" t="s">
        <v>13</v>
      </c>
      <c r="YJ9" s="4" t="s">
        <v>14</v>
      </c>
      <c r="YK9" s="4" t="s">
        <v>15</v>
      </c>
      <c r="YL9" s="4" t="s">
        <v>16</v>
      </c>
      <c r="YM9" s="4" t="s">
        <v>17</v>
      </c>
      <c r="YN9" s="1"/>
      <c r="YO9" s="39" t="s">
        <v>11</v>
      </c>
      <c r="YP9" s="40"/>
      <c r="YQ9" s="39" t="s">
        <v>12</v>
      </c>
      <c r="YR9" s="40"/>
      <c r="YS9" s="4" t="s">
        <v>13</v>
      </c>
      <c r="YT9" s="4" t="s">
        <v>14</v>
      </c>
      <c r="YU9" s="4" t="s">
        <v>15</v>
      </c>
      <c r="YV9" s="4" t="s">
        <v>16</v>
      </c>
      <c r="YW9" s="4" t="s">
        <v>17</v>
      </c>
      <c r="YX9" s="1"/>
      <c r="YY9" s="39" t="s">
        <v>11</v>
      </c>
      <c r="YZ9" s="40"/>
      <c r="ZA9" s="39" t="s">
        <v>12</v>
      </c>
      <c r="ZB9" s="40"/>
      <c r="ZC9" s="4" t="s">
        <v>13</v>
      </c>
      <c r="ZD9" s="4" t="s">
        <v>14</v>
      </c>
      <c r="ZE9" s="4" t="s">
        <v>15</v>
      </c>
      <c r="ZF9" s="4" t="s">
        <v>16</v>
      </c>
      <c r="ZG9" s="4" t="s">
        <v>17</v>
      </c>
      <c r="ZH9" s="1"/>
      <c r="ZI9" s="39" t="s">
        <v>11</v>
      </c>
      <c r="ZJ9" s="40"/>
      <c r="ZK9" s="39" t="s">
        <v>12</v>
      </c>
      <c r="ZL9" s="40"/>
      <c r="ZM9" s="4" t="s">
        <v>13</v>
      </c>
      <c r="ZN9" s="4" t="s">
        <v>14</v>
      </c>
      <c r="ZO9" s="4" t="s">
        <v>15</v>
      </c>
      <c r="ZP9" s="4" t="s">
        <v>16</v>
      </c>
      <c r="ZQ9" s="4" t="s">
        <v>17</v>
      </c>
      <c r="ZR9" s="1"/>
      <c r="ZS9" s="39" t="s">
        <v>11</v>
      </c>
      <c r="ZT9" s="40"/>
      <c r="ZU9" s="39" t="s">
        <v>12</v>
      </c>
      <c r="ZV9" s="40"/>
      <c r="ZW9" s="4" t="s">
        <v>13</v>
      </c>
      <c r="ZX9" s="4" t="s">
        <v>14</v>
      </c>
      <c r="ZY9" s="4" t="s">
        <v>15</v>
      </c>
      <c r="ZZ9" s="4" t="s">
        <v>16</v>
      </c>
      <c r="AAA9" s="4" t="s">
        <v>17</v>
      </c>
      <c r="AAB9" s="1"/>
      <c r="AAC9" s="39" t="s">
        <v>11</v>
      </c>
      <c r="AAD9" s="40"/>
      <c r="AAE9" s="39" t="s">
        <v>12</v>
      </c>
      <c r="AAF9" s="40"/>
      <c r="AAG9" s="4" t="s">
        <v>13</v>
      </c>
      <c r="AAH9" s="4" t="s">
        <v>14</v>
      </c>
      <c r="AAI9" s="4" t="s">
        <v>15</v>
      </c>
      <c r="AAJ9" s="4" t="s">
        <v>16</v>
      </c>
      <c r="AAK9" s="4" t="s">
        <v>17</v>
      </c>
      <c r="AAL9" s="1"/>
      <c r="AAM9" s="39" t="s">
        <v>11</v>
      </c>
      <c r="AAN9" s="40"/>
      <c r="AAO9" s="39" t="s">
        <v>12</v>
      </c>
      <c r="AAP9" s="40"/>
      <c r="AAQ9" s="4" t="s">
        <v>13</v>
      </c>
      <c r="AAR9" s="4" t="s">
        <v>14</v>
      </c>
      <c r="AAS9" s="4" t="s">
        <v>15</v>
      </c>
      <c r="AAT9" s="4" t="s">
        <v>16</v>
      </c>
      <c r="AAU9" s="4" t="s">
        <v>17</v>
      </c>
      <c r="AAV9" s="1"/>
      <c r="AAW9" s="39" t="s">
        <v>11</v>
      </c>
      <c r="AAX9" s="40"/>
      <c r="AAY9" s="39" t="s">
        <v>12</v>
      </c>
      <c r="AAZ9" s="40"/>
      <c r="ABA9" s="4" t="s">
        <v>13</v>
      </c>
      <c r="ABB9" s="4" t="s">
        <v>14</v>
      </c>
      <c r="ABC9" s="4" t="s">
        <v>15</v>
      </c>
      <c r="ABD9" s="4" t="s">
        <v>16</v>
      </c>
      <c r="ABE9" s="4" t="s">
        <v>17</v>
      </c>
      <c r="ABF9" s="1"/>
      <c r="ABG9" s="39" t="s">
        <v>11</v>
      </c>
      <c r="ABH9" s="40"/>
      <c r="ABI9" s="39" t="s">
        <v>12</v>
      </c>
      <c r="ABJ9" s="40"/>
      <c r="ABK9" s="4" t="s">
        <v>13</v>
      </c>
      <c r="ABL9" s="4" t="s">
        <v>14</v>
      </c>
      <c r="ABM9" s="4" t="s">
        <v>15</v>
      </c>
      <c r="ABN9" s="4" t="s">
        <v>16</v>
      </c>
      <c r="ABO9" s="4" t="s">
        <v>17</v>
      </c>
      <c r="ABP9" s="1"/>
      <c r="ABQ9" s="39" t="s">
        <v>11</v>
      </c>
      <c r="ABR9" s="40"/>
      <c r="ABS9" s="39" t="s">
        <v>12</v>
      </c>
      <c r="ABT9" s="40"/>
      <c r="ABU9" s="4" t="s">
        <v>13</v>
      </c>
      <c r="ABV9" s="4" t="s">
        <v>14</v>
      </c>
      <c r="ABW9" s="4" t="s">
        <v>15</v>
      </c>
      <c r="ABX9" s="4" t="s">
        <v>16</v>
      </c>
      <c r="ABY9" s="4" t="s">
        <v>17</v>
      </c>
      <c r="ABZ9" s="1"/>
      <c r="ACA9" s="39" t="s">
        <v>11</v>
      </c>
      <c r="ACB9" s="40"/>
      <c r="ACC9" s="39" t="s">
        <v>12</v>
      </c>
      <c r="ACD9" s="40"/>
      <c r="ACE9" s="4" t="s">
        <v>13</v>
      </c>
      <c r="ACF9" s="4" t="s">
        <v>14</v>
      </c>
      <c r="ACG9" s="4" t="s">
        <v>15</v>
      </c>
      <c r="ACH9" s="4" t="s">
        <v>16</v>
      </c>
      <c r="ACI9" s="4" t="s">
        <v>17</v>
      </c>
      <c r="ACJ9" s="1"/>
      <c r="ACK9" s="39" t="s">
        <v>11</v>
      </c>
      <c r="ACL9" s="40"/>
      <c r="ACM9" s="39" t="s">
        <v>12</v>
      </c>
      <c r="ACN9" s="40"/>
      <c r="ACO9" s="4" t="s">
        <v>13</v>
      </c>
      <c r="ACP9" s="4" t="s">
        <v>14</v>
      </c>
      <c r="ACQ9" s="4" t="s">
        <v>15</v>
      </c>
      <c r="ACR9" s="4" t="s">
        <v>16</v>
      </c>
      <c r="ACS9" s="4" t="s">
        <v>17</v>
      </c>
      <c r="ACT9" s="1"/>
      <c r="ACU9" s="39" t="s">
        <v>11</v>
      </c>
      <c r="ACV9" s="40"/>
      <c r="ACW9" s="39" t="s">
        <v>12</v>
      </c>
      <c r="ACX9" s="40"/>
      <c r="ACY9" s="4" t="s">
        <v>13</v>
      </c>
      <c r="ACZ9" s="4" t="s">
        <v>14</v>
      </c>
      <c r="ADA9" s="4" t="s">
        <v>15</v>
      </c>
      <c r="ADB9" s="4" t="s">
        <v>16</v>
      </c>
      <c r="ADC9" s="4" t="s">
        <v>17</v>
      </c>
      <c r="ADD9" s="1"/>
      <c r="ADE9" s="39" t="s">
        <v>11</v>
      </c>
      <c r="ADF9" s="40"/>
      <c r="ADG9" s="39" t="s">
        <v>12</v>
      </c>
      <c r="ADH9" s="40"/>
      <c r="ADI9" s="4" t="s">
        <v>13</v>
      </c>
      <c r="ADJ9" s="4" t="s">
        <v>14</v>
      </c>
      <c r="ADK9" s="4" t="s">
        <v>15</v>
      </c>
      <c r="ADL9" s="4" t="s">
        <v>16</v>
      </c>
      <c r="ADM9" s="4" t="s">
        <v>17</v>
      </c>
      <c r="ADN9" s="1"/>
      <c r="ADO9" s="39" t="s">
        <v>11</v>
      </c>
      <c r="ADP9" s="40"/>
      <c r="ADQ9" s="39" t="s">
        <v>12</v>
      </c>
      <c r="ADR9" s="40"/>
      <c r="ADS9" s="4" t="s">
        <v>13</v>
      </c>
      <c r="ADT9" s="4" t="s">
        <v>14</v>
      </c>
      <c r="ADU9" s="4" t="s">
        <v>15</v>
      </c>
      <c r="ADV9" s="4" t="s">
        <v>16</v>
      </c>
      <c r="ADW9" s="4" t="s">
        <v>17</v>
      </c>
      <c r="ADX9" s="1"/>
      <c r="ADY9" s="39" t="s">
        <v>11</v>
      </c>
      <c r="ADZ9" s="40"/>
      <c r="AEA9" s="39" t="s">
        <v>12</v>
      </c>
      <c r="AEB9" s="40"/>
      <c r="AEC9" s="4" t="s">
        <v>13</v>
      </c>
      <c r="AED9" s="4" t="s">
        <v>14</v>
      </c>
      <c r="AEE9" s="4" t="s">
        <v>15</v>
      </c>
      <c r="AEF9" s="4" t="s">
        <v>16</v>
      </c>
      <c r="AEG9" s="4" t="s">
        <v>17</v>
      </c>
      <c r="AEH9" s="1"/>
      <c r="AEI9" s="39" t="s">
        <v>11</v>
      </c>
      <c r="AEJ9" s="40"/>
      <c r="AEK9" s="39" t="s">
        <v>12</v>
      </c>
      <c r="AEL9" s="40"/>
      <c r="AEM9" s="4" t="s">
        <v>13</v>
      </c>
      <c r="AEN9" s="4" t="s">
        <v>14</v>
      </c>
      <c r="AEO9" s="4" t="s">
        <v>15</v>
      </c>
      <c r="AEP9" s="4" t="s">
        <v>16</v>
      </c>
      <c r="AEQ9" s="4" t="s">
        <v>17</v>
      </c>
      <c r="AER9" s="1"/>
      <c r="AES9" s="39" t="s">
        <v>11</v>
      </c>
      <c r="AET9" s="40"/>
      <c r="AEU9" s="39" t="s">
        <v>12</v>
      </c>
      <c r="AEV9" s="40"/>
      <c r="AEW9" s="4" t="s">
        <v>13</v>
      </c>
      <c r="AEX9" s="4" t="s">
        <v>14</v>
      </c>
      <c r="AEY9" s="4" t="s">
        <v>15</v>
      </c>
      <c r="AEZ9" s="4" t="s">
        <v>16</v>
      </c>
      <c r="AFA9" s="4" t="s">
        <v>17</v>
      </c>
      <c r="AFB9" s="1"/>
      <c r="AFC9" s="39" t="s">
        <v>11</v>
      </c>
      <c r="AFD9" s="40"/>
      <c r="AFE9" s="39" t="s">
        <v>12</v>
      </c>
      <c r="AFF9" s="40"/>
      <c r="AFG9" s="4" t="s">
        <v>13</v>
      </c>
      <c r="AFH9" s="4" t="s">
        <v>14</v>
      </c>
      <c r="AFI9" s="4" t="s">
        <v>15</v>
      </c>
      <c r="AFJ9" s="4" t="s">
        <v>16</v>
      </c>
      <c r="AFK9" s="4" t="s">
        <v>17</v>
      </c>
      <c r="AFL9" s="1"/>
      <c r="AFM9" s="39" t="s">
        <v>11</v>
      </c>
      <c r="AFN9" s="40"/>
      <c r="AFO9" s="39" t="s">
        <v>12</v>
      </c>
      <c r="AFP9" s="40"/>
      <c r="AFQ9" s="4" t="s">
        <v>13</v>
      </c>
      <c r="AFR9" s="4" t="s">
        <v>14</v>
      </c>
      <c r="AFS9" s="4" t="s">
        <v>15</v>
      </c>
      <c r="AFT9" s="4" t="s">
        <v>16</v>
      </c>
      <c r="AFU9" s="4" t="s">
        <v>17</v>
      </c>
      <c r="AFV9" s="1"/>
      <c r="AFW9" s="39" t="s">
        <v>11</v>
      </c>
      <c r="AFX9" s="40"/>
      <c r="AFY9" s="39" t="s">
        <v>12</v>
      </c>
      <c r="AFZ9" s="40"/>
      <c r="AGA9" s="4" t="s">
        <v>13</v>
      </c>
      <c r="AGB9" s="4" t="s">
        <v>14</v>
      </c>
      <c r="AGC9" s="4" t="s">
        <v>15</v>
      </c>
      <c r="AGD9" s="4" t="s">
        <v>16</v>
      </c>
      <c r="AGE9" s="4" t="s">
        <v>17</v>
      </c>
      <c r="AGF9" s="1"/>
      <c r="AGG9" s="39" t="s">
        <v>11</v>
      </c>
      <c r="AGH9" s="40"/>
      <c r="AGI9" s="39" t="s">
        <v>12</v>
      </c>
      <c r="AGJ9" s="40"/>
      <c r="AGK9" s="4" t="s">
        <v>13</v>
      </c>
      <c r="AGL9" s="4" t="s">
        <v>14</v>
      </c>
      <c r="AGM9" s="4" t="s">
        <v>15</v>
      </c>
      <c r="AGN9" s="4" t="s">
        <v>16</v>
      </c>
      <c r="AGO9" s="4" t="s">
        <v>17</v>
      </c>
      <c r="AGP9" s="1"/>
      <c r="AGQ9" s="39" t="s">
        <v>11</v>
      </c>
      <c r="AGR9" s="40"/>
      <c r="AGS9" s="39" t="s">
        <v>12</v>
      </c>
      <c r="AGT9" s="40"/>
      <c r="AGU9" s="4" t="s">
        <v>13</v>
      </c>
      <c r="AGV9" s="4" t="s">
        <v>14</v>
      </c>
      <c r="AGW9" s="4" t="s">
        <v>15</v>
      </c>
      <c r="AGX9" s="4" t="s">
        <v>16</v>
      </c>
      <c r="AGY9" s="4" t="s">
        <v>17</v>
      </c>
      <c r="AGZ9" s="1"/>
      <c r="AHA9" s="39" t="s">
        <v>11</v>
      </c>
      <c r="AHB9" s="40"/>
      <c r="AHC9" s="39" t="s">
        <v>12</v>
      </c>
      <c r="AHD9" s="40"/>
      <c r="AHE9" s="4" t="s">
        <v>13</v>
      </c>
      <c r="AHF9" s="4" t="s">
        <v>14</v>
      </c>
      <c r="AHG9" s="4" t="s">
        <v>15</v>
      </c>
      <c r="AHH9" s="4" t="s">
        <v>16</v>
      </c>
      <c r="AHI9" s="4" t="s">
        <v>17</v>
      </c>
      <c r="AHJ9" s="1"/>
      <c r="AHK9" s="39" t="s">
        <v>11</v>
      </c>
      <c r="AHL9" s="40"/>
      <c r="AHM9" s="39" t="s">
        <v>12</v>
      </c>
      <c r="AHN9" s="40"/>
      <c r="AHO9" s="4" t="s">
        <v>13</v>
      </c>
      <c r="AHP9" s="4" t="s">
        <v>14</v>
      </c>
      <c r="AHQ9" s="4" t="s">
        <v>15</v>
      </c>
      <c r="AHR9" s="4" t="s">
        <v>16</v>
      </c>
      <c r="AHS9" s="4" t="s">
        <v>17</v>
      </c>
      <c r="AHT9" s="1"/>
      <c r="AHU9" s="39" t="s">
        <v>11</v>
      </c>
      <c r="AHV9" s="40"/>
      <c r="AHW9" s="39" t="s">
        <v>12</v>
      </c>
      <c r="AHX9" s="40"/>
      <c r="AHY9" s="4" t="s">
        <v>13</v>
      </c>
      <c r="AHZ9" s="4" t="s">
        <v>14</v>
      </c>
      <c r="AIA9" s="4" t="s">
        <v>15</v>
      </c>
      <c r="AIB9" s="4" t="s">
        <v>16</v>
      </c>
      <c r="AIC9" s="4" t="s">
        <v>17</v>
      </c>
      <c r="AID9" s="1"/>
      <c r="AIE9" s="39" t="s">
        <v>11</v>
      </c>
      <c r="AIF9" s="40"/>
      <c r="AIG9" s="39" t="s">
        <v>12</v>
      </c>
      <c r="AIH9" s="40"/>
      <c r="AII9" s="4" t="s">
        <v>13</v>
      </c>
      <c r="AIJ9" s="4" t="s">
        <v>14</v>
      </c>
      <c r="AIK9" s="4" t="s">
        <v>15</v>
      </c>
      <c r="AIL9" s="4" t="s">
        <v>16</v>
      </c>
      <c r="AIM9" s="4" t="s">
        <v>17</v>
      </c>
      <c r="AIN9" s="1"/>
      <c r="AIO9" s="39" t="s">
        <v>11</v>
      </c>
      <c r="AIP9" s="40"/>
      <c r="AIQ9" s="39" t="s">
        <v>12</v>
      </c>
      <c r="AIR9" s="40"/>
      <c r="AIS9" s="4" t="s">
        <v>13</v>
      </c>
      <c r="AIT9" s="4" t="s">
        <v>14</v>
      </c>
      <c r="AIU9" s="4" t="s">
        <v>15</v>
      </c>
      <c r="AIV9" s="4" t="s">
        <v>16</v>
      </c>
      <c r="AIW9" s="4" t="s">
        <v>17</v>
      </c>
      <c r="AIX9" s="1"/>
      <c r="AIY9" s="39" t="s">
        <v>11</v>
      </c>
      <c r="AIZ9" s="40"/>
      <c r="AJA9" s="39" t="s">
        <v>12</v>
      </c>
      <c r="AJB9" s="40"/>
      <c r="AJC9" s="4" t="s">
        <v>13</v>
      </c>
      <c r="AJD9" s="4" t="s">
        <v>14</v>
      </c>
      <c r="AJE9" s="4" t="s">
        <v>15</v>
      </c>
      <c r="AJF9" s="4" t="s">
        <v>16</v>
      </c>
      <c r="AJG9" s="4" t="s">
        <v>17</v>
      </c>
      <c r="AJH9" s="1"/>
      <c r="AJI9" s="39" t="s">
        <v>11</v>
      </c>
      <c r="AJJ9" s="40"/>
      <c r="AJK9" s="39" t="s">
        <v>12</v>
      </c>
      <c r="AJL9" s="40"/>
      <c r="AJM9" s="4" t="s">
        <v>13</v>
      </c>
      <c r="AJN9" s="4" t="s">
        <v>14</v>
      </c>
      <c r="AJO9" s="4" t="s">
        <v>15</v>
      </c>
      <c r="AJP9" s="4" t="s">
        <v>16</v>
      </c>
      <c r="AJQ9" s="4" t="s">
        <v>17</v>
      </c>
      <c r="AJR9" s="1"/>
      <c r="AJS9" s="39" t="s">
        <v>11</v>
      </c>
      <c r="AJT9" s="40"/>
      <c r="AJU9" s="39" t="s">
        <v>12</v>
      </c>
      <c r="AJV9" s="40"/>
      <c r="AJW9" s="4" t="s">
        <v>13</v>
      </c>
      <c r="AJX9" s="4" t="s">
        <v>14</v>
      </c>
      <c r="AJY9" s="4" t="s">
        <v>15</v>
      </c>
      <c r="AJZ9" s="4" t="s">
        <v>16</v>
      </c>
      <c r="AKA9" s="4" t="s">
        <v>17</v>
      </c>
      <c r="AKB9" s="1"/>
      <c r="AKC9" s="39" t="s">
        <v>11</v>
      </c>
      <c r="AKD9" s="40"/>
      <c r="AKE9" s="39" t="s">
        <v>12</v>
      </c>
      <c r="AKF9" s="40"/>
      <c r="AKG9" s="4" t="s">
        <v>13</v>
      </c>
      <c r="AKH9" s="4" t="s">
        <v>14</v>
      </c>
      <c r="AKI9" s="4" t="s">
        <v>15</v>
      </c>
      <c r="AKJ9" s="4" t="s">
        <v>16</v>
      </c>
      <c r="AKK9" s="4" t="s">
        <v>17</v>
      </c>
      <c r="AKL9" s="1"/>
      <c r="AKM9" s="39" t="s">
        <v>11</v>
      </c>
      <c r="AKN9" s="40"/>
      <c r="AKO9" s="39" t="s">
        <v>12</v>
      </c>
      <c r="AKP9" s="40"/>
      <c r="AKQ9" s="4" t="s">
        <v>13</v>
      </c>
      <c r="AKR9" s="4" t="s">
        <v>14</v>
      </c>
      <c r="AKS9" s="4" t="s">
        <v>15</v>
      </c>
      <c r="AKT9" s="4" t="s">
        <v>16</v>
      </c>
      <c r="AKU9" s="4" t="s">
        <v>17</v>
      </c>
      <c r="AKV9" s="1"/>
      <c r="AKW9" s="39" t="s">
        <v>11</v>
      </c>
      <c r="AKX9" s="40"/>
      <c r="AKY9" s="39" t="s">
        <v>12</v>
      </c>
      <c r="AKZ9" s="40"/>
      <c r="ALA9" s="4" t="s">
        <v>13</v>
      </c>
      <c r="ALB9" s="4" t="s">
        <v>14</v>
      </c>
      <c r="ALC9" s="4" t="s">
        <v>15</v>
      </c>
      <c r="ALD9" s="4" t="s">
        <v>16</v>
      </c>
      <c r="ALE9" s="4" t="s">
        <v>17</v>
      </c>
      <c r="ALF9" s="1"/>
      <c r="ALG9" s="39" t="s">
        <v>11</v>
      </c>
      <c r="ALH9" s="40"/>
      <c r="ALI9" s="39" t="s">
        <v>12</v>
      </c>
      <c r="ALJ9" s="40"/>
      <c r="ALK9" s="4" t="s">
        <v>13</v>
      </c>
      <c r="ALL9" s="4" t="s">
        <v>14</v>
      </c>
      <c r="ALM9" s="4" t="s">
        <v>15</v>
      </c>
      <c r="ALN9" s="4" t="s">
        <v>16</v>
      </c>
      <c r="ALO9" s="4" t="s">
        <v>17</v>
      </c>
      <c r="ALP9" s="1"/>
      <c r="ALQ9" s="39" t="s">
        <v>11</v>
      </c>
      <c r="ALR9" s="40"/>
      <c r="ALS9" s="39" t="s">
        <v>12</v>
      </c>
      <c r="ALT9" s="40"/>
      <c r="ALU9" s="4" t="s">
        <v>13</v>
      </c>
      <c r="ALV9" s="4" t="s">
        <v>14</v>
      </c>
      <c r="ALW9" s="4" t="s">
        <v>15</v>
      </c>
      <c r="ALX9" s="4" t="s">
        <v>16</v>
      </c>
      <c r="ALY9" s="4" t="s">
        <v>17</v>
      </c>
      <c r="ALZ9" s="1"/>
      <c r="AMA9" s="39" t="s">
        <v>11</v>
      </c>
      <c r="AMB9" s="40"/>
      <c r="AMC9" s="39" t="s">
        <v>12</v>
      </c>
      <c r="AMD9" s="40"/>
      <c r="AME9" s="4" t="s">
        <v>13</v>
      </c>
      <c r="AMF9" s="4" t="s">
        <v>14</v>
      </c>
      <c r="AMG9" s="4" t="s">
        <v>15</v>
      </c>
      <c r="AMH9" s="4" t="s">
        <v>16</v>
      </c>
      <c r="AMI9" s="4" t="s">
        <v>17</v>
      </c>
      <c r="AMJ9" s="1"/>
      <c r="AMK9" s="39" t="s">
        <v>11</v>
      </c>
      <c r="AML9" s="40"/>
      <c r="AMM9" s="39" t="s">
        <v>12</v>
      </c>
      <c r="AMN9" s="40"/>
      <c r="AMO9" s="4" t="s">
        <v>13</v>
      </c>
      <c r="AMP9" s="4" t="s">
        <v>14</v>
      </c>
      <c r="AMQ9" s="4" t="s">
        <v>15</v>
      </c>
      <c r="AMR9" s="4" t="s">
        <v>16</v>
      </c>
      <c r="AMS9" s="4" t="s">
        <v>17</v>
      </c>
      <c r="AMT9" s="1"/>
      <c r="AMU9" s="39" t="s">
        <v>11</v>
      </c>
      <c r="AMV9" s="40"/>
      <c r="AMW9" s="39" t="s">
        <v>12</v>
      </c>
      <c r="AMX9" s="40"/>
      <c r="AMY9" s="4" t="s">
        <v>13</v>
      </c>
      <c r="AMZ9" s="4" t="s">
        <v>14</v>
      </c>
      <c r="ANA9" s="4" t="s">
        <v>15</v>
      </c>
      <c r="ANB9" s="4" t="s">
        <v>16</v>
      </c>
      <c r="ANC9" s="4" t="s">
        <v>17</v>
      </c>
      <c r="AND9" s="1"/>
      <c r="ANE9" s="39" t="s">
        <v>11</v>
      </c>
      <c r="ANF9" s="40"/>
      <c r="ANG9" s="39" t="s">
        <v>12</v>
      </c>
      <c r="ANH9" s="40"/>
      <c r="ANI9" s="4" t="s">
        <v>13</v>
      </c>
      <c r="ANJ9" s="4" t="s">
        <v>14</v>
      </c>
      <c r="ANK9" s="4" t="s">
        <v>15</v>
      </c>
      <c r="ANL9" s="4" t="s">
        <v>16</v>
      </c>
      <c r="ANM9" s="4" t="s">
        <v>17</v>
      </c>
      <c r="ANN9" s="1"/>
      <c r="ANO9" s="39" t="s">
        <v>11</v>
      </c>
      <c r="ANP9" s="40"/>
      <c r="ANQ9" s="39" t="s">
        <v>12</v>
      </c>
      <c r="ANR9" s="40"/>
      <c r="ANS9" s="4" t="s">
        <v>13</v>
      </c>
      <c r="ANT9" s="4" t="s">
        <v>14</v>
      </c>
      <c r="ANU9" s="4" t="s">
        <v>15</v>
      </c>
      <c r="ANV9" s="4" t="s">
        <v>16</v>
      </c>
      <c r="ANW9" s="4" t="s">
        <v>17</v>
      </c>
      <c r="ANX9" s="1"/>
      <c r="ANY9" s="39" t="s">
        <v>11</v>
      </c>
      <c r="ANZ9" s="40"/>
      <c r="AOA9" s="39" t="s">
        <v>12</v>
      </c>
      <c r="AOB9" s="40"/>
      <c r="AOC9" s="4" t="s">
        <v>13</v>
      </c>
      <c r="AOD9" s="4" t="s">
        <v>14</v>
      </c>
      <c r="AOE9" s="4" t="s">
        <v>15</v>
      </c>
      <c r="AOF9" s="4" t="s">
        <v>16</v>
      </c>
      <c r="AOG9" s="4" t="s">
        <v>17</v>
      </c>
      <c r="AOH9" s="1"/>
      <c r="AOI9" s="39" t="s">
        <v>11</v>
      </c>
      <c r="AOJ9" s="40"/>
      <c r="AOK9" s="39" t="s">
        <v>12</v>
      </c>
      <c r="AOL9" s="40"/>
      <c r="AOM9" s="4" t="s">
        <v>13</v>
      </c>
      <c r="AON9" s="4" t="s">
        <v>14</v>
      </c>
      <c r="AOO9" s="4" t="s">
        <v>15</v>
      </c>
      <c r="AOP9" s="4" t="s">
        <v>16</v>
      </c>
      <c r="AOQ9" s="4" t="s">
        <v>17</v>
      </c>
      <c r="AOR9" s="1"/>
      <c r="AOS9" s="39" t="s">
        <v>11</v>
      </c>
      <c r="AOT9" s="40"/>
      <c r="AOU9" s="39" t="s">
        <v>12</v>
      </c>
      <c r="AOV9" s="40"/>
      <c r="AOW9" s="4" t="s">
        <v>13</v>
      </c>
      <c r="AOX9" s="4" t="s">
        <v>14</v>
      </c>
      <c r="AOY9" s="4" t="s">
        <v>15</v>
      </c>
      <c r="AOZ9" s="4" t="s">
        <v>16</v>
      </c>
      <c r="APA9" s="4" t="s">
        <v>17</v>
      </c>
      <c r="APB9" s="1"/>
      <c r="APC9" s="39" t="s">
        <v>11</v>
      </c>
      <c r="APD9" s="40"/>
      <c r="APE9" s="39" t="s">
        <v>12</v>
      </c>
      <c r="APF9" s="40"/>
      <c r="APG9" s="4" t="s">
        <v>13</v>
      </c>
      <c r="APH9" s="4" t="s">
        <v>14</v>
      </c>
      <c r="API9" s="4" t="s">
        <v>15</v>
      </c>
      <c r="APJ9" s="4" t="s">
        <v>16</v>
      </c>
      <c r="APK9" s="4" t="s">
        <v>17</v>
      </c>
      <c r="APL9" s="1"/>
      <c r="APM9" s="39" t="s">
        <v>11</v>
      </c>
      <c r="APN9" s="40"/>
      <c r="APO9" s="39" t="s">
        <v>12</v>
      </c>
      <c r="APP9" s="40"/>
      <c r="APQ9" s="4" t="s">
        <v>13</v>
      </c>
      <c r="APR9" s="4" t="s">
        <v>14</v>
      </c>
      <c r="APS9" s="4" t="s">
        <v>15</v>
      </c>
      <c r="APT9" s="4" t="s">
        <v>16</v>
      </c>
      <c r="APU9" s="4" t="s">
        <v>17</v>
      </c>
      <c r="APV9" s="1"/>
      <c r="APW9" s="60" t="s">
        <v>11</v>
      </c>
      <c r="APX9" s="61"/>
      <c r="APY9" s="60" t="s">
        <v>12</v>
      </c>
      <c r="APZ9" s="61"/>
      <c r="AQA9" s="4" t="s">
        <v>13</v>
      </c>
      <c r="AQB9" s="4" t="s">
        <v>14</v>
      </c>
      <c r="AQC9" s="4" t="s">
        <v>15</v>
      </c>
      <c r="AQD9" s="4" t="s">
        <v>16</v>
      </c>
      <c r="AQE9" s="4" t="s">
        <v>17</v>
      </c>
    </row>
    <row r="10" spans="1:1123" ht="11.25" x14ac:dyDescent="0.2">
      <c r="A10" s="22" t="s">
        <v>27</v>
      </c>
      <c r="B10" s="14">
        <v>0.25</v>
      </c>
      <c r="C10" s="23">
        <v>1.5</v>
      </c>
      <c r="E10" s="24"/>
      <c r="F10" s="6" t="s">
        <v>20</v>
      </c>
      <c r="G10" s="24">
        <v>1.7</v>
      </c>
      <c r="H10" s="6" t="s">
        <v>20</v>
      </c>
      <c r="I10" s="5">
        <f t="shared" ref="I10:I12" si="463">IF(OR(ISNUMBER(E10), ISNUMBER(G10)), IF(ISNUMBER(E10), E10, 0) + IF(ISNUMBER(G10), G10, 0), "")</f>
        <v>1.7</v>
      </c>
      <c r="J10" s="3"/>
      <c r="K10" s="10"/>
      <c r="L10" s="5"/>
      <c r="M10" s="10" t="str">
        <f t="shared" ref="M10:M12" si="464">IF(ISNUMBER(L10), L10-K10, "")</f>
        <v/>
      </c>
      <c r="O10" s="24"/>
      <c r="P10" s="6" t="s">
        <v>20</v>
      </c>
      <c r="Q10" s="24">
        <v>0.9</v>
      </c>
      <c r="R10" s="6" t="s">
        <v>20</v>
      </c>
      <c r="S10" s="5">
        <f t="shared" ref="S10:S12" si="465">IF(OR(ISNUMBER(O10), ISNUMBER(Q10)), IF(ISNUMBER(O10), O10, 0) + IF(ISNUMBER(Q10), Q10, 0), "")</f>
        <v>0.9</v>
      </c>
      <c r="T10" s="3"/>
      <c r="U10" s="7">
        <f t="shared" ref="U10:U12" si="466">IF(ISNUMBER(S10), (I10+J10)-S10, "")</f>
        <v>0.79999999999999993</v>
      </c>
      <c r="V10" s="5">
        <v>0.33</v>
      </c>
      <c r="W10" s="7">
        <f t="shared" ref="W10:W12" si="467">IF(ISNUMBER(V10), V10-U10, "")</f>
        <v>-0.46999999999999992</v>
      </c>
      <c r="Y10" s="24">
        <v>0</v>
      </c>
      <c r="Z10" s="6" t="s">
        <v>20</v>
      </c>
      <c r="AA10" s="24">
        <v>0.5</v>
      </c>
      <c r="AB10" s="6" t="s">
        <v>20</v>
      </c>
      <c r="AC10" s="5">
        <f t="shared" ref="AC10:AC12" si="468">IF(OR(ISNUMBER(Y10), ISNUMBER(AA10)), IF(ISNUMBER(Y10), Y10, 0) + IF(ISNUMBER(AA10), AA10, 0), "")</f>
        <v>0.5</v>
      </c>
      <c r="AD10" s="3"/>
      <c r="AE10" s="10">
        <f t="shared" ref="AE10:AE12" si="469">IF(ISNUMBER(AC10), (S10+T10)-AC10, "")</f>
        <v>0.4</v>
      </c>
      <c r="AF10" s="5">
        <v>0.28999999999999998</v>
      </c>
      <c r="AG10" s="10">
        <f t="shared" ref="AG10:AG12" si="470">IF(ISNUMBER(AF10), AF10-AE10, "")</f>
        <v>-0.11000000000000004</v>
      </c>
      <c r="AI10" s="24">
        <v>0</v>
      </c>
      <c r="AJ10" s="6" t="s">
        <v>20</v>
      </c>
      <c r="AK10" s="24">
        <v>0.9</v>
      </c>
      <c r="AL10" s="6" t="s">
        <v>20</v>
      </c>
      <c r="AM10" s="5">
        <f t="shared" ref="AM10:AM12" si="471">IF(OR(ISNUMBER(AI10), ISNUMBER(AK10)), IF(ISNUMBER(AI10), AI10, 0) + IF(ISNUMBER(AK10), AK10, 0), "")</f>
        <v>0.9</v>
      </c>
      <c r="AN10" s="3">
        <v>2</v>
      </c>
      <c r="AO10" s="10">
        <f t="shared" ref="AO10:AO12" si="472">IF(ISNUMBER(AM10), (AC10+AD10)-AM10, "")</f>
        <v>-0.4</v>
      </c>
      <c r="AP10" s="5">
        <v>0.26</v>
      </c>
      <c r="AQ10" s="10">
        <f t="shared" ref="AQ10:AQ12" si="473">IF(ISNUMBER(AP10), AP10-AO10, "")</f>
        <v>0.66</v>
      </c>
      <c r="AS10" s="24">
        <v>1</v>
      </c>
      <c r="AT10" s="6" t="s">
        <v>20</v>
      </c>
      <c r="AU10" s="24">
        <v>0.7</v>
      </c>
      <c r="AV10" s="6" t="s">
        <v>20</v>
      </c>
      <c r="AW10" s="5">
        <f t="shared" ref="AW10:AW12" si="474">IF(OR(ISNUMBER(AS10), ISNUMBER(AU10)), IF(ISNUMBER(AS10), AS10, 0) + IF(ISNUMBER(AU10), AU10, 0), "")</f>
        <v>1.7</v>
      </c>
      <c r="AX10" s="3"/>
      <c r="AY10" s="10">
        <f t="shared" ref="AY10:AY12" si="475">IF(ISNUMBER(AW10), (AM10+AN10)-AW10, "")</f>
        <v>1.2</v>
      </c>
      <c r="AZ10" s="5">
        <v>0.28999999999999998</v>
      </c>
      <c r="BA10" s="10">
        <f t="shared" ref="BA10:BA12" si="476">IF(ISNUMBER(AZ10), AZ10-AY10, "")</f>
        <v>-0.90999999999999992</v>
      </c>
      <c r="BC10" s="2">
        <v>1</v>
      </c>
      <c r="BD10" s="6" t="s">
        <v>20</v>
      </c>
      <c r="BE10" s="2">
        <v>0.6</v>
      </c>
      <c r="BF10" s="6" t="s">
        <v>20</v>
      </c>
      <c r="BG10" s="5">
        <f t="shared" ref="BG10:BG12" si="477">IF(OR(ISNUMBER(BC10), ISNUMBER(BE10)), IF(ISNUMBER(BC10), BC10, 0) + IF(ISNUMBER(BE10), BE10, 0), "")</f>
        <v>1.6</v>
      </c>
      <c r="BH10" s="3"/>
      <c r="BI10" s="10">
        <f t="shared" ref="BI10:BI12" si="478">IF(ISNUMBER(BG10), (AW10+AX10)-BG10, "")</f>
        <v>9.9999999999999867E-2</v>
      </c>
      <c r="BJ10" s="5">
        <v>0.27</v>
      </c>
      <c r="BK10" s="10">
        <f t="shared" ref="BK10:BK12" si="479">IF(ISNUMBER(BJ10), BJ10-BI10, "")</f>
        <v>0.17000000000000015</v>
      </c>
      <c r="BM10" s="2">
        <v>1</v>
      </c>
      <c r="BN10" s="6" t="s">
        <v>20</v>
      </c>
      <c r="BO10" s="2">
        <v>0.5</v>
      </c>
      <c r="BP10" s="6" t="s">
        <v>20</v>
      </c>
      <c r="BQ10" s="5">
        <f t="shared" ref="BQ10:BQ12" si="480">IF(OR(ISNUMBER(BM10), ISNUMBER(BO10)), IF(ISNUMBER(BM10), BM10, 0) + IF(ISNUMBER(BO10), BO10, 0), "")</f>
        <v>1.5</v>
      </c>
      <c r="BR10" s="3"/>
      <c r="BS10" s="10">
        <f t="shared" ref="BS10:BS12" si="481">IF(ISNUMBER(BQ10), (BG10+BH10)-BQ10, "")</f>
        <v>0.10000000000000009</v>
      </c>
      <c r="BT10" s="5">
        <v>0.09</v>
      </c>
      <c r="BU10" s="10">
        <f t="shared" ref="BU10:BU12" si="482">IF(ISNUMBER(BT10), BT10-BS10, "")</f>
        <v>-1.0000000000000092E-2</v>
      </c>
      <c r="BW10" s="24">
        <v>0</v>
      </c>
      <c r="BX10" s="6" t="s">
        <v>20</v>
      </c>
      <c r="BY10" s="24">
        <v>1</v>
      </c>
      <c r="BZ10" s="6" t="s">
        <v>20</v>
      </c>
      <c r="CA10" s="5">
        <f t="shared" ref="CA10:CA12" si="483">IF(OR(ISNUMBER(BW10), ISNUMBER(BY10)), IF(ISNUMBER(BW10), BW10, 0) + IF(ISNUMBER(BY10), BY10, 0), "")</f>
        <v>1</v>
      </c>
      <c r="CB10" s="3"/>
      <c r="CC10" s="10">
        <f t="shared" ref="CC10:CC12" si="484">IF(ISNUMBER(CA10), (BQ10+BR10)-CA10, "")</f>
        <v>0.5</v>
      </c>
      <c r="CD10" s="5">
        <v>0.41</v>
      </c>
      <c r="CE10" s="10">
        <f t="shared" ref="CE10:CE12" si="485">IF(ISNUMBER(CD10), CD10-CC10, "")</f>
        <v>-9.0000000000000024E-2</v>
      </c>
      <c r="CG10" s="24">
        <v>0</v>
      </c>
      <c r="CH10" s="6" t="s">
        <v>20</v>
      </c>
      <c r="CI10" s="24">
        <v>0.7</v>
      </c>
      <c r="CJ10" s="6" t="s">
        <v>20</v>
      </c>
      <c r="CK10" s="5">
        <f t="shared" ref="CK10:CK12" si="486">IF(OR(ISNUMBER(CG10), ISNUMBER(CI10)), IF(ISNUMBER(CG10), CG10, 0) + IF(ISNUMBER(CI10), CI10, 0), "")</f>
        <v>0.7</v>
      </c>
      <c r="CL10" s="3">
        <v>1</v>
      </c>
      <c r="CM10" s="10">
        <f t="shared" ref="CM10:CM12" si="487">IF(ISNUMBER(CK10), (CA10+CB10)-CK10, "")</f>
        <v>0.30000000000000004</v>
      </c>
      <c r="CN10" s="5">
        <v>0.31</v>
      </c>
      <c r="CO10" s="10">
        <f t="shared" ref="CO10:CO12" si="488">IF(ISNUMBER(CN10), CN10-CM10, "")</f>
        <v>9.9999999999999534E-3</v>
      </c>
      <c r="CQ10" s="24">
        <v>1</v>
      </c>
      <c r="CR10" s="6" t="s">
        <v>20</v>
      </c>
      <c r="CS10" s="24">
        <v>1</v>
      </c>
      <c r="CT10" s="6" t="s">
        <v>20</v>
      </c>
      <c r="CU10" s="5">
        <f t="shared" ref="CU10:CU12" si="489">IF(OR(ISNUMBER(CQ10), ISNUMBER(CS10)), IF(ISNUMBER(CQ10), CQ10, 0) + IF(ISNUMBER(CS10), CS10, 0), "")</f>
        <v>2</v>
      </c>
      <c r="CV10" s="3"/>
      <c r="CW10" s="10">
        <f t="shared" ref="CW10:CW12" si="490">IF(ISNUMBER(CU10), (CK10+CL10)-CU10, "")</f>
        <v>-0.30000000000000004</v>
      </c>
      <c r="CX10" s="5">
        <v>0.28999999999999998</v>
      </c>
      <c r="CY10" s="10">
        <f t="shared" ref="CY10:CY12" si="491">IF(ISNUMBER(CX10), CX10-CW10, "")</f>
        <v>0.59000000000000008</v>
      </c>
      <c r="DA10" s="24">
        <v>1</v>
      </c>
      <c r="DB10" s="6" t="s">
        <v>20</v>
      </c>
      <c r="DC10" s="24">
        <v>0.9</v>
      </c>
      <c r="DD10" s="6" t="s">
        <v>20</v>
      </c>
      <c r="DE10" s="5">
        <f t="shared" ref="DE10:DE12" si="492">IF(OR(ISNUMBER(DA10), ISNUMBER(DC10)), IF(ISNUMBER(DA10), DA10, 0) + IF(ISNUMBER(DC10), DC10, 0), "")</f>
        <v>1.9</v>
      </c>
      <c r="DF10" s="3"/>
      <c r="DG10" s="10">
        <f t="shared" ref="DG10:DG12" si="493">IF(ISNUMBER(DE10), (CU10+CV10)-DE10, "")</f>
        <v>0.10000000000000009</v>
      </c>
      <c r="DH10" s="5">
        <v>0.15</v>
      </c>
      <c r="DI10" s="10">
        <f t="shared" ref="DI10:DI12" si="494">IF(ISNUMBER(DH10), DH10-DG10, "")</f>
        <v>4.9999999999999906E-2</v>
      </c>
      <c r="DK10" s="24">
        <v>1</v>
      </c>
      <c r="DL10" s="6" t="s">
        <v>20</v>
      </c>
      <c r="DM10" s="24">
        <v>0.3</v>
      </c>
      <c r="DN10" s="6" t="s">
        <v>20</v>
      </c>
      <c r="DO10" s="5">
        <f t="shared" ref="DO10:DO12" si="495">IF(OR(ISNUMBER(DK10), ISNUMBER(DM10)), IF(ISNUMBER(DK10), DK10, 0) + IF(ISNUMBER(DM10), DM10, 0), "")</f>
        <v>1.3</v>
      </c>
      <c r="DP10" s="3"/>
      <c r="DQ10" s="10">
        <f t="shared" ref="DQ10:DQ12" si="496">IF(ISNUMBER(DO10), (DE10+DF10)-DO10, "")</f>
        <v>0.59999999999999987</v>
      </c>
      <c r="DR10" s="5">
        <v>7.0000000000000007E-2</v>
      </c>
      <c r="DS10" s="10">
        <f t="shared" ref="DS10:DS12" si="497">IF(ISNUMBER(DR10), DR10-DQ10, "")</f>
        <v>-0.5299999999999998</v>
      </c>
      <c r="DU10" s="24">
        <v>0</v>
      </c>
      <c r="DV10" s="6" t="s">
        <v>20</v>
      </c>
      <c r="DW10" s="24">
        <v>0.7</v>
      </c>
      <c r="DX10" s="6" t="s">
        <v>20</v>
      </c>
      <c r="DY10" s="5">
        <f t="shared" ref="DY10:DY12" si="498">IF(OR(ISNUMBER(DU10), ISNUMBER(DW10)), IF(ISNUMBER(DU10), DU10, 0) + IF(ISNUMBER(DW10), DW10, 0), "")</f>
        <v>0.7</v>
      </c>
      <c r="DZ10" s="3">
        <v>1</v>
      </c>
      <c r="EA10" s="10">
        <f t="shared" ref="EA10:EA12" si="499">IF(ISNUMBER(DY10), (DO10+DP10)-DY10, "")</f>
        <v>0.60000000000000009</v>
      </c>
      <c r="EB10" s="5">
        <v>0.38</v>
      </c>
      <c r="EC10" s="10">
        <f t="shared" ref="EC10:EC12" si="500">IF(ISNUMBER(EB10), EB10-EA10, "")</f>
        <v>-0.22000000000000008</v>
      </c>
      <c r="EE10" s="24">
        <v>1</v>
      </c>
      <c r="EF10" s="6" t="s">
        <v>20</v>
      </c>
      <c r="EG10" s="24">
        <v>0.5</v>
      </c>
      <c r="EH10" s="6" t="s">
        <v>20</v>
      </c>
      <c r="EI10" s="5">
        <f t="shared" ref="EI10:EI12" si="501">IF(OR(ISNUMBER(EE10), ISNUMBER(EG10)), IF(ISNUMBER(EE10), EE10, 0) + IF(ISNUMBER(EG10), EG10, 0), "")</f>
        <v>1.5</v>
      </c>
      <c r="EJ10" s="3"/>
      <c r="EK10" s="10">
        <f t="shared" ref="EK10:EK12" si="502">IF(ISNUMBER(EI10), (DY10+DZ10)-EI10, "")</f>
        <v>0.19999999999999996</v>
      </c>
      <c r="EL10" s="5">
        <v>0.19</v>
      </c>
      <c r="EM10" s="10">
        <f t="shared" ref="EM10:EM12" si="503">IF(ISNUMBER(EL10), EL10-EK10, "")</f>
        <v>-9.9999999999999534E-3</v>
      </c>
      <c r="EO10" s="24">
        <v>1</v>
      </c>
      <c r="EP10" s="6" t="s">
        <v>20</v>
      </c>
      <c r="EQ10" s="24">
        <v>0.1</v>
      </c>
      <c r="ER10" s="6" t="s">
        <v>20</v>
      </c>
      <c r="ES10" s="5">
        <f t="shared" ref="ES10:ES12" si="504">IF(OR(ISNUMBER(EO10), ISNUMBER(EQ10)), IF(ISNUMBER(EO10), EO10, 0) + IF(ISNUMBER(EQ10), EQ10, 0), "")</f>
        <v>1.1000000000000001</v>
      </c>
      <c r="ET10" s="3"/>
      <c r="EU10" s="10">
        <f t="shared" ref="EU10:EU12" si="505">IF(ISNUMBER(ES10), (EI10+EJ10)-ES10, "")</f>
        <v>0.39999999999999991</v>
      </c>
      <c r="EV10" s="5">
        <v>7.0000000000000007E-2</v>
      </c>
      <c r="EW10" s="10">
        <f t="shared" ref="EW10:EW12" si="506">IF(ISNUMBER(EV10), EV10-EU10, "")</f>
        <v>-0.3299999999999999</v>
      </c>
      <c r="EY10" s="24">
        <v>1</v>
      </c>
      <c r="EZ10" s="6" t="s">
        <v>20</v>
      </c>
      <c r="FA10" s="24">
        <v>0.1</v>
      </c>
      <c r="FB10" s="6" t="s">
        <v>20</v>
      </c>
      <c r="FC10" s="5">
        <f t="shared" ref="FC10:FC12" si="507">IF(OR(ISNUMBER(EY10), ISNUMBER(FA10)), IF(ISNUMBER(EY10), EY10, 0) + IF(ISNUMBER(FA10), FA10, 0), "")</f>
        <v>1.1000000000000001</v>
      </c>
      <c r="FD10" s="3"/>
      <c r="FE10" s="10">
        <f t="shared" ref="FE10:FE12" si="508">IF(ISNUMBER(FC10), (ES10+ET10)-FC10, "")</f>
        <v>0</v>
      </c>
      <c r="FF10" s="5">
        <v>7.0000000000000007E-2</v>
      </c>
      <c r="FG10" s="10">
        <f t="shared" ref="FG10:FG12" si="509">IF(ISNUMBER(FF10), FF10-FE10, "")</f>
        <v>7.0000000000000007E-2</v>
      </c>
      <c r="FI10" s="24">
        <v>0</v>
      </c>
      <c r="FJ10" s="6" t="s">
        <v>20</v>
      </c>
      <c r="FK10" s="24">
        <v>0.7</v>
      </c>
      <c r="FL10" s="6" t="s">
        <v>20</v>
      </c>
      <c r="FM10" s="5">
        <f t="shared" ref="FM10:FM12" si="510">IF(OR(ISNUMBER(FI10), ISNUMBER(FK10)), IF(ISNUMBER(FI10), FI10, 0) + IF(ISNUMBER(FK10), FK10, 0), "")</f>
        <v>0.7</v>
      </c>
      <c r="FN10" s="3"/>
      <c r="FO10" s="10">
        <f t="shared" ref="FO10:FO12" si="511">IF(ISNUMBER(FM10), (FC10+FD10)-FM10, "")</f>
        <v>0.40000000000000013</v>
      </c>
      <c r="FP10" s="5">
        <v>0.24</v>
      </c>
      <c r="FQ10" s="10">
        <f t="shared" ref="FQ10:FQ12" si="512">IF(ISNUMBER(FP10), FP10-FO10, "")</f>
        <v>-0.16000000000000014</v>
      </c>
      <c r="FS10" s="24">
        <v>0</v>
      </c>
      <c r="FT10" s="6" t="s">
        <v>20</v>
      </c>
      <c r="FU10" s="24">
        <v>0.5</v>
      </c>
      <c r="FV10" s="6" t="s">
        <v>20</v>
      </c>
      <c r="FW10" s="5">
        <f t="shared" ref="FW10:FW12" si="513">IF(OR(ISNUMBER(FS10), ISNUMBER(FU10)), IF(ISNUMBER(FS10), FS10, 0) + IF(ISNUMBER(FU10), FU10, 0), "")</f>
        <v>0.5</v>
      </c>
      <c r="FX10" s="3">
        <v>1</v>
      </c>
      <c r="FY10" s="10">
        <f t="shared" ref="FY10:FY12" si="514">IF(ISNUMBER(FW10), (FM10+FN10)-FW10, "")</f>
        <v>0.19999999999999996</v>
      </c>
      <c r="FZ10" s="5">
        <v>0.22</v>
      </c>
      <c r="GA10" s="10">
        <f t="shared" ref="GA10:GA12" si="515">IF(ISNUMBER(FZ10), FZ10-FY10, "")</f>
        <v>2.0000000000000046E-2</v>
      </c>
      <c r="GC10" s="24">
        <v>1</v>
      </c>
      <c r="GD10" s="6" t="s">
        <v>20</v>
      </c>
      <c r="GE10" s="24">
        <v>0.5</v>
      </c>
      <c r="GF10" s="6" t="s">
        <v>20</v>
      </c>
      <c r="GG10" s="5">
        <f t="shared" ref="GG10:GG12" si="516">IF(OR(ISNUMBER(GC10), ISNUMBER(GE10)), IF(ISNUMBER(GC10), GC10, 0) + IF(ISNUMBER(GE10), GE10, 0), "")</f>
        <v>1.5</v>
      </c>
      <c r="GH10" s="3"/>
      <c r="GI10" s="10">
        <f t="shared" ref="GI10:GI12" si="517">IF(ISNUMBER(GG10), (FW10+FX10)-GG10, "")</f>
        <v>0</v>
      </c>
      <c r="GJ10" s="5">
        <v>0.17</v>
      </c>
      <c r="GK10" s="10">
        <f t="shared" ref="GK10:GK12" si="518">IF(ISNUMBER(GJ10), GJ10-GI10, "")</f>
        <v>0.17</v>
      </c>
      <c r="GM10" s="24">
        <v>0</v>
      </c>
      <c r="GN10" s="6" t="s">
        <v>20</v>
      </c>
      <c r="GO10" s="24">
        <v>1</v>
      </c>
      <c r="GP10" s="6" t="s">
        <v>20</v>
      </c>
      <c r="GQ10" s="5">
        <f t="shared" ref="GQ10:GQ12" si="519">IF(OR(ISNUMBER(GM10), ISNUMBER(GO10)), IF(ISNUMBER(GM10), GM10, 0) + IF(ISNUMBER(GO10), GO10, 0), "")</f>
        <v>1</v>
      </c>
      <c r="GR10" s="3"/>
      <c r="GS10" s="10">
        <f t="shared" ref="GS10:GS12" si="520">IF(ISNUMBER(GQ10), (GG10+GH10)-GQ10, "")</f>
        <v>0.5</v>
      </c>
      <c r="GT10" s="5">
        <v>0.17</v>
      </c>
      <c r="GU10" s="10">
        <f t="shared" ref="GU10:GU12" si="521">IF(ISNUMBER(GT10), GT10-GS10, "")</f>
        <v>-0.32999999999999996</v>
      </c>
      <c r="GW10" s="24">
        <v>0</v>
      </c>
      <c r="GX10" s="6" t="s">
        <v>20</v>
      </c>
      <c r="GY10" s="24">
        <v>0.9</v>
      </c>
      <c r="GZ10" s="6" t="s">
        <v>20</v>
      </c>
      <c r="HA10" s="5">
        <f t="shared" ref="HA10:HA12" si="522">IF(OR(ISNUMBER(GW10), ISNUMBER(GY10)), IF(ISNUMBER(GW10), GW10, 0) + IF(ISNUMBER(GY10), GY10, 0), "")</f>
        <v>0.9</v>
      </c>
      <c r="HB10" s="3"/>
      <c r="HC10" s="10">
        <f t="shared" ref="HC10:HC12" si="523">IF(ISNUMBER(HA10), (GQ10+GR10)-HA10, "")</f>
        <v>9.9999999999999978E-2</v>
      </c>
      <c r="HD10" s="5">
        <v>0.15</v>
      </c>
      <c r="HE10" s="10">
        <f t="shared" ref="HE10:HE12" si="524">IF(ISNUMBER(HD10), HD10-HC10, "")</f>
        <v>5.0000000000000017E-2</v>
      </c>
      <c r="HG10" s="24">
        <v>0</v>
      </c>
      <c r="HH10" s="6" t="s">
        <v>20</v>
      </c>
      <c r="HI10" s="24">
        <v>0</v>
      </c>
      <c r="HJ10" s="6" t="s">
        <v>20</v>
      </c>
      <c r="HK10" s="5">
        <f t="shared" ref="HK10:HK12" si="525">IF(OR(ISNUMBER(HG10), ISNUMBER(HI10)), IF(ISNUMBER(HG10), HG10, 0) + IF(ISNUMBER(HI10), HI10, 0), "")</f>
        <v>0</v>
      </c>
      <c r="HL10" s="3"/>
      <c r="HM10" s="10">
        <f t="shared" ref="HM10:HM12" si="526">IF(ISNUMBER(HK10), (HA10+HB10)-HK10, "")</f>
        <v>0.9</v>
      </c>
      <c r="HN10" s="5">
        <v>0.19</v>
      </c>
      <c r="HO10" s="10">
        <f t="shared" ref="HO10:HO12" si="527">IF(ISNUMBER(HN10), HN10-HM10, "")</f>
        <v>-0.71</v>
      </c>
      <c r="HQ10" s="24">
        <v>0</v>
      </c>
      <c r="HR10" s="6" t="s">
        <v>20</v>
      </c>
      <c r="HS10" s="24">
        <v>0.5</v>
      </c>
      <c r="HT10" s="6" t="s">
        <v>20</v>
      </c>
      <c r="HU10" s="5">
        <f t="shared" ref="HU10:HU12" si="528">IF(OR(ISNUMBER(HQ10), ISNUMBER(HS10)), IF(ISNUMBER(HQ10), HQ10, 0) + IF(ISNUMBER(HS10), HS10, 0), "")</f>
        <v>0.5</v>
      </c>
      <c r="HV10" s="3">
        <v>0</v>
      </c>
      <c r="HW10" s="10">
        <f t="shared" ref="HW10:HW12" si="529">IF(ISNUMBER(HU10), (HK10+HL10)-HU10, "")</f>
        <v>-0.5</v>
      </c>
      <c r="HX10" s="5">
        <v>0.14000000000000001</v>
      </c>
      <c r="HY10" s="10">
        <f t="shared" ref="HY10:HY12" si="530">IF(ISNUMBER(HX10), HX10-HW10, "")</f>
        <v>0.64</v>
      </c>
      <c r="IA10" s="24">
        <v>0</v>
      </c>
      <c r="IB10" s="6" t="s">
        <v>20</v>
      </c>
      <c r="IC10" s="24">
        <v>0</v>
      </c>
      <c r="ID10" s="6" t="s">
        <v>20</v>
      </c>
      <c r="IE10" s="5">
        <f t="shared" ref="IE10:IE12" si="531">IF(OR(ISNUMBER(IA10), ISNUMBER(IC10)), IF(ISNUMBER(IA10), IA10, 0) + IF(ISNUMBER(IC10), IC10, 0), "")</f>
        <v>0</v>
      </c>
      <c r="IF10" s="3"/>
      <c r="IG10" s="10">
        <f t="shared" ref="IG10:IG12" si="532">IF(ISNUMBER(IE10), (HU10+HV10)-IE10, "")</f>
        <v>0.5</v>
      </c>
      <c r="IH10" s="5">
        <v>0.31</v>
      </c>
      <c r="II10" s="10">
        <f t="shared" ref="II10:II12" si="533">IF(ISNUMBER(IH10), IH10-IG10, "")</f>
        <v>-0.19</v>
      </c>
      <c r="IK10" s="24">
        <v>0</v>
      </c>
      <c r="IL10" s="6" t="s">
        <v>20</v>
      </c>
      <c r="IM10" s="24">
        <v>0</v>
      </c>
      <c r="IN10" s="6" t="s">
        <v>20</v>
      </c>
      <c r="IO10" s="5">
        <f t="shared" ref="IO10:IO12" si="534">IF(OR(ISNUMBER(IK10), ISNUMBER(IM10)), IF(ISNUMBER(IK10), IK10, 0) + IF(ISNUMBER(IM10), IM10, 0), "")</f>
        <v>0</v>
      </c>
      <c r="IP10" s="3">
        <v>2</v>
      </c>
      <c r="IQ10" s="10">
        <f t="shared" ref="IQ10:IQ12" si="535">IF(ISNUMBER(IO10), (IE10+IF10)-IO10, "")</f>
        <v>0</v>
      </c>
      <c r="IR10" s="5"/>
      <c r="IS10" s="10" t="str">
        <f t="shared" ref="IS10:IS12" si="536">IF(ISNUMBER(IR10), IR10-IQ10, "")</f>
        <v/>
      </c>
      <c r="IU10" s="24">
        <v>1</v>
      </c>
      <c r="IV10" s="6" t="s">
        <v>20</v>
      </c>
      <c r="IW10" s="24">
        <v>0.7</v>
      </c>
      <c r="IX10" s="6" t="s">
        <v>20</v>
      </c>
      <c r="IY10" s="5">
        <f t="shared" ref="IY10:IY12" si="537">IF(OR(ISNUMBER(IU10), ISNUMBER(IW10)), IF(ISNUMBER(IU10), IU10, 0) + IF(ISNUMBER(IW10), IW10, 0), "")</f>
        <v>1.7</v>
      </c>
      <c r="IZ10" s="3"/>
      <c r="JA10" s="10">
        <f t="shared" ref="JA10:JA12" si="538">IF(ISNUMBER(IY10), (IO10+IP10)-IY10, "")</f>
        <v>0.30000000000000004</v>
      </c>
      <c r="JB10" s="5">
        <v>0.1</v>
      </c>
      <c r="JC10" s="10">
        <f t="shared" ref="JC10:JC12" si="539">IF(ISNUMBER(JB10), JB10-JA10, "")</f>
        <v>-0.20000000000000004</v>
      </c>
      <c r="JE10" s="24">
        <v>0</v>
      </c>
      <c r="JF10" s="6" t="s">
        <v>20</v>
      </c>
      <c r="JG10" s="24">
        <v>1</v>
      </c>
      <c r="JH10" s="6" t="s">
        <v>20</v>
      </c>
      <c r="JI10" s="5">
        <f t="shared" ref="JI10:JI12" si="540">IF(OR(ISNUMBER(JE10), ISNUMBER(JG10)), IF(ISNUMBER(JE10), JE10, 0) + IF(ISNUMBER(JG10), JG10, 0), "")</f>
        <v>1</v>
      </c>
      <c r="JJ10" s="3">
        <v>1</v>
      </c>
      <c r="JK10" s="10">
        <f t="shared" ref="JK10:JK12" si="541">IF(ISNUMBER(JI10), (IY10+IZ10)-JI10, "")</f>
        <v>0.7</v>
      </c>
      <c r="JL10" s="5">
        <v>0.48</v>
      </c>
      <c r="JM10" s="10">
        <f t="shared" ref="JM10:JM12" si="542">IF(ISNUMBER(JL10), JL10-JK10, "")</f>
        <v>-0.21999999999999997</v>
      </c>
      <c r="JO10" s="24">
        <v>1</v>
      </c>
      <c r="JP10" s="6" t="s">
        <v>20</v>
      </c>
      <c r="JQ10" s="24">
        <v>1</v>
      </c>
      <c r="JR10" s="6" t="s">
        <v>20</v>
      </c>
      <c r="JS10" s="5">
        <f t="shared" ref="JS10:JS12" si="543">IF(OR(ISNUMBER(JO10), ISNUMBER(JQ10)), IF(ISNUMBER(JO10), JO10, 0) + IF(ISNUMBER(JQ10), JQ10, 0), "")</f>
        <v>2</v>
      </c>
      <c r="JT10" s="3"/>
      <c r="JU10" s="10">
        <f t="shared" ref="JU10:JU12" si="544">IF(ISNUMBER(JS10), (JI10+JJ10)-JS10, "")</f>
        <v>0</v>
      </c>
      <c r="JV10" s="5">
        <v>0.19</v>
      </c>
      <c r="JW10" s="10">
        <f t="shared" ref="JW10:JW12" si="545">IF(ISNUMBER(JV10), JV10-JU10, "")</f>
        <v>0.19</v>
      </c>
      <c r="JY10" s="24">
        <v>1</v>
      </c>
      <c r="JZ10" s="6" t="s">
        <v>20</v>
      </c>
      <c r="KA10" s="24">
        <v>0.1</v>
      </c>
      <c r="KB10" s="6" t="s">
        <v>20</v>
      </c>
      <c r="KC10" s="5">
        <f t="shared" ref="KC10:KC12" si="546">IF(OR(ISNUMBER(JY10), ISNUMBER(KA10)), IF(ISNUMBER(JY10), JY10, 0) + IF(ISNUMBER(KA10), KA10, 0), "")</f>
        <v>1.1000000000000001</v>
      </c>
      <c r="KD10" s="3">
        <v>1</v>
      </c>
      <c r="KE10" s="10">
        <f t="shared" ref="KE10:KE12" si="547">IF(ISNUMBER(KC10), (JS10+JT10)-KC10, "")</f>
        <v>0.89999999999999991</v>
      </c>
      <c r="KF10" s="5">
        <v>0.77</v>
      </c>
      <c r="KG10" s="10">
        <f t="shared" ref="KG10:KG12" si="548">IF(ISNUMBER(KF10), KF10-KE10, "")</f>
        <v>-0.12999999999999989</v>
      </c>
      <c r="KI10" s="24">
        <v>1</v>
      </c>
      <c r="KJ10" s="6" t="s">
        <v>20</v>
      </c>
      <c r="KK10" s="24">
        <v>0.7</v>
      </c>
      <c r="KL10" s="6" t="s">
        <v>20</v>
      </c>
      <c r="KM10" s="5">
        <f t="shared" ref="KM10:KM12" si="549">IF(OR(ISNUMBER(KI10), ISNUMBER(KK10)), IF(ISNUMBER(KI10), KI10, 0) + IF(ISNUMBER(KK10), KK10, 0), "")</f>
        <v>1.7</v>
      </c>
      <c r="KN10" s="3"/>
      <c r="KO10" s="10">
        <f t="shared" ref="KO10:KO12" si="550">IF(ISNUMBER(KM10), (KC10+KD10)-KM10, "")</f>
        <v>0.40000000000000013</v>
      </c>
      <c r="KP10" s="5">
        <v>0.57999999999999996</v>
      </c>
      <c r="KQ10" s="10">
        <f t="shared" ref="KQ10:KQ12" si="551">IF(ISNUMBER(KP10), KP10-KO10, "")</f>
        <v>0.17999999999999983</v>
      </c>
      <c r="KS10" s="24">
        <v>1</v>
      </c>
      <c r="KT10" s="6" t="s">
        <v>20</v>
      </c>
      <c r="KU10" s="24">
        <v>0.1</v>
      </c>
      <c r="KV10" s="6" t="s">
        <v>20</v>
      </c>
      <c r="KW10" s="5">
        <f t="shared" ref="KW10:KW12" si="552">IF(OR(ISNUMBER(KS10), ISNUMBER(KU10)), IF(ISNUMBER(KS10), KS10, 0) + IF(ISNUMBER(KU10), KU10, 0), "")</f>
        <v>1.1000000000000001</v>
      </c>
      <c r="KX10" s="3">
        <v>1</v>
      </c>
      <c r="KY10" s="10">
        <f t="shared" ref="KY10:KY12" si="553">IF(ISNUMBER(KW10), (KM10+KN10)-KW10, "")</f>
        <v>0.59999999999999987</v>
      </c>
      <c r="KZ10" s="5">
        <v>0.36</v>
      </c>
      <c r="LA10" s="10">
        <f t="shared" ref="LA10:LA12" si="554">IF(ISNUMBER(KZ10), KZ10-KY10, "")</f>
        <v>-0.23999999999999988</v>
      </c>
      <c r="LC10" s="24">
        <v>2</v>
      </c>
      <c r="LD10" s="6" t="s">
        <v>20</v>
      </c>
      <c r="LE10" s="24">
        <v>0</v>
      </c>
      <c r="LF10" s="6" t="s">
        <v>20</v>
      </c>
      <c r="LG10" s="5">
        <f t="shared" ref="LG10:LG12" si="555">IF(OR(ISNUMBER(LC10), ISNUMBER(LE10)), IF(ISNUMBER(LC10), LC10, 0) + IF(ISNUMBER(LE10), LE10, 0), "")</f>
        <v>2</v>
      </c>
      <c r="LH10" s="3"/>
      <c r="LI10" s="10">
        <f t="shared" ref="LI10:LI12" si="556">IF(ISNUMBER(LG10), (KW10+KX10)-LG10, "")</f>
        <v>0.10000000000000009</v>
      </c>
      <c r="LJ10" s="5">
        <v>0.21</v>
      </c>
      <c r="LK10" s="10">
        <f t="shared" ref="LK10:LK12" si="557">IF(ISNUMBER(LJ10), LJ10-LI10, "")</f>
        <v>0.1099999999999999</v>
      </c>
      <c r="LM10" s="24">
        <v>1</v>
      </c>
      <c r="LN10" s="6" t="s">
        <v>20</v>
      </c>
      <c r="LO10" s="24">
        <v>0.1</v>
      </c>
      <c r="LP10" s="6" t="s">
        <v>20</v>
      </c>
      <c r="LQ10" s="5">
        <f t="shared" ref="LQ10:LQ12" si="558">IF(OR(ISNUMBER(LM10), ISNUMBER(LO10)), IF(ISNUMBER(LM10), LM10, 0) + IF(ISNUMBER(LO10), LO10, 0), "")</f>
        <v>1.1000000000000001</v>
      </c>
      <c r="LR10" s="3">
        <v>1</v>
      </c>
      <c r="LS10" s="10">
        <f t="shared" ref="LS10:LS12" si="559">IF(ISNUMBER(LQ10), (LG10+LH10)-LQ10, "")</f>
        <v>0.89999999999999991</v>
      </c>
      <c r="LT10" s="5">
        <v>0.38</v>
      </c>
      <c r="LU10" s="10">
        <f t="shared" ref="LU10:LU12" si="560">IF(ISNUMBER(LT10), LT10-LS10, "")</f>
        <v>-0.51999999999999991</v>
      </c>
      <c r="LW10" s="24">
        <v>2</v>
      </c>
      <c r="LX10" s="6" t="s">
        <v>20</v>
      </c>
      <c r="LY10" s="24">
        <v>0.1</v>
      </c>
      <c r="LZ10" s="6" t="s">
        <v>20</v>
      </c>
      <c r="MA10" s="5">
        <f t="shared" ref="MA10:MA12" si="561">IF(OR(ISNUMBER(LW10), ISNUMBER(LY10)), IF(ISNUMBER(LW10), LW10, 0) + IF(ISNUMBER(LY10), LY10, 0), "")</f>
        <v>2.1</v>
      </c>
      <c r="MB10" s="3"/>
      <c r="MC10" s="10">
        <f t="shared" ref="MC10:MC12" si="562">IF(ISNUMBER(MA10), (LQ10+LR10)-MA10, "")</f>
        <v>0</v>
      </c>
      <c r="MD10" s="5">
        <v>0.12</v>
      </c>
      <c r="ME10" s="10">
        <f t="shared" ref="ME10:ME12" si="563">IF(ISNUMBER(MD10), MD10-MC10, "")</f>
        <v>0.12</v>
      </c>
      <c r="MG10" s="24">
        <v>1</v>
      </c>
      <c r="MH10" s="6" t="s">
        <v>20</v>
      </c>
      <c r="MI10" s="24">
        <v>0.9</v>
      </c>
      <c r="MJ10" s="6" t="s">
        <v>20</v>
      </c>
      <c r="MK10" s="5">
        <f t="shared" ref="MK10:MK12" si="564">IF(OR(ISNUMBER(MG10), ISNUMBER(MI10)), IF(ISNUMBER(MG10), MG10, 0) + IF(ISNUMBER(MI10), MI10, 0), "")</f>
        <v>1.9</v>
      </c>
      <c r="ML10" s="3"/>
      <c r="MM10" s="10">
        <f t="shared" ref="MM10:MM12" si="565">IF(ISNUMBER(MK10), (MA10+MB10)-MK10, "")</f>
        <v>0.20000000000000018</v>
      </c>
      <c r="MN10" s="5">
        <v>0.28999999999999998</v>
      </c>
      <c r="MO10" s="10">
        <f t="shared" ref="MO10:MO12" si="566">IF(ISNUMBER(MN10), MN10-MM10, "")</f>
        <v>8.9999999999999802E-2</v>
      </c>
      <c r="MQ10" s="2">
        <v>1</v>
      </c>
      <c r="MR10" s="6" t="s">
        <v>20</v>
      </c>
      <c r="MS10" s="2">
        <v>0.1</v>
      </c>
      <c r="MT10" s="6" t="s">
        <v>20</v>
      </c>
      <c r="MU10" s="5">
        <f t="shared" ref="MU10:MU12" si="567">IF(OR(ISNUMBER(MQ10), ISNUMBER(MS10)), IF(ISNUMBER(MQ10), MQ10, 0) + IF(ISNUMBER(MS10), MS10, 0), "")</f>
        <v>1.1000000000000001</v>
      </c>
      <c r="MV10" s="3"/>
      <c r="MW10" s="10">
        <f t="shared" ref="MW10:MW12" si="568">IF(ISNUMBER(MU10), (MK10+ML10)-MU10, "")</f>
        <v>0.79999999999999982</v>
      </c>
      <c r="MX10" s="5">
        <v>0.65</v>
      </c>
      <c r="MY10" s="10">
        <f t="shared" ref="MY10:MY12" si="569">IF(ISNUMBER(MX10), MX10-MW10, "")</f>
        <v>-0.1499999999999998</v>
      </c>
      <c r="NA10" s="24">
        <v>0</v>
      </c>
      <c r="NB10" s="6" t="s">
        <v>20</v>
      </c>
      <c r="NC10" s="24">
        <v>0.9</v>
      </c>
      <c r="ND10" s="6" t="s">
        <v>20</v>
      </c>
      <c r="NE10" s="5">
        <f t="shared" ref="NE10:NE12" si="570">IF(OR(ISNUMBER(NA10), ISNUMBER(NC10)), IF(ISNUMBER(NA10), NA10, 0) + IF(ISNUMBER(NC10), NC10, 0), "")</f>
        <v>0.9</v>
      </c>
      <c r="NF10" s="3">
        <v>2</v>
      </c>
      <c r="NG10" s="10">
        <f t="shared" ref="NG10:NG12" si="571">IF(ISNUMBER(NE10), (MU10+MV10)-NE10, "")</f>
        <v>0.20000000000000007</v>
      </c>
      <c r="NH10" s="5">
        <v>0.39</v>
      </c>
      <c r="NI10" s="10">
        <f t="shared" ref="NI10:NI12" si="572">IF(ISNUMBER(NH10), NH10-NG10, "")</f>
        <v>0.18999999999999995</v>
      </c>
      <c r="NK10" s="24">
        <v>1</v>
      </c>
      <c r="NL10" s="6" t="s">
        <v>20</v>
      </c>
      <c r="NM10" s="24">
        <v>1</v>
      </c>
      <c r="NN10" s="6" t="s">
        <v>20</v>
      </c>
      <c r="NO10" s="5">
        <f t="shared" ref="NO10:NO12" si="573">IF(OR(ISNUMBER(NK10), ISNUMBER(NM10)), IF(ISNUMBER(NK10), NK10, 0) + IF(ISNUMBER(NM10), NM10, 0), "")</f>
        <v>2</v>
      </c>
      <c r="NP10" s="3"/>
      <c r="NQ10" s="10">
        <f t="shared" ref="NQ10:NQ12" si="574">IF(ISNUMBER(NO10), (NE10+NF10)-NO10, "")</f>
        <v>0.89999999999999991</v>
      </c>
      <c r="NR10" s="5">
        <v>0.56999999999999995</v>
      </c>
      <c r="NS10" s="10">
        <f t="shared" ref="NS10:NS12" si="575">IF(ISNUMBER(NR10), NR10-NQ10, "")</f>
        <v>-0.32999999999999996</v>
      </c>
      <c r="NU10" s="24">
        <v>1</v>
      </c>
      <c r="NV10" s="6" t="s">
        <v>20</v>
      </c>
      <c r="NW10" s="24">
        <v>0.7</v>
      </c>
      <c r="NX10" s="6" t="s">
        <v>20</v>
      </c>
      <c r="NY10" s="5">
        <f t="shared" ref="NY10:NY12" si="576">IF(OR(ISNUMBER(NU10), ISNUMBER(NW10)), IF(ISNUMBER(NU10), NU10, 0) + IF(ISNUMBER(NW10), NW10, 0), "")</f>
        <v>1.7</v>
      </c>
      <c r="NZ10" s="3"/>
      <c r="OA10" s="10">
        <f t="shared" ref="OA10:OA12" si="577">IF(ISNUMBER(NY10), (NO10+NP10)-NY10, "")</f>
        <v>0.30000000000000004</v>
      </c>
      <c r="OB10" s="5">
        <v>0.24</v>
      </c>
      <c r="OC10" s="10">
        <f t="shared" ref="OC10:OC12" si="578">IF(ISNUMBER(OB10), OB10-OA10, "")</f>
        <v>-6.0000000000000053E-2</v>
      </c>
      <c r="OE10" s="2">
        <v>0</v>
      </c>
      <c r="OF10" s="6" t="s">
        <v>20</v>
      </c>
      <c r="OG10" s="2">
        <v>1</v>
      </c>
      <c r="OH10" s="6" t="s">
        <v>20</v>
      </c>
      <c r="OI10" s="5">
        <f t="shared" ref="OI10:OI12" si="579">IF(OR(ISNUMBER(OE10), ISNUMBER(OG10)), IF(ISNUMBER(OE10), OE10, 0) + IF(ISNUMBER(OG10), OG10, 0), "")</f>
        <v>1</v>
      </c>
      <c r="OJ10" s="3"/>
      <c r="OK10" s="10">
        <f t="shared" ref="OK10:OK12" si="580">IF(ISNUMBER(OI10), (NY10+NZ10)-OI10, "")</f>
        <v>0.7</v>
      </c>
      <c r="OL10" s="5">
        <v>0.33</v>
      </c>
      <c r="OM10" s="10">
        <f t="shared" ref="OM10:OM12" si="581">IF(ISNUMBER(OL10), OL10-OK10, "")</f>
        <v>-0.36999999999999994</v>
      </c>
      <c r="OO10" s="24">
        <v>0</v>
      </c>
      <c r="OP10" s="6" t="s">
        <v>20</v>
      </c>
      <c r="OQ10" s="24">
        <v>0</v>
      </c>
      <c r="OR10" s="6" t="s">
        <v>20</v>
      </c>
      <c r="OS10" s="5">
        <f t="shared" ref="OS10:OS12" si="582">IF(OR(ISNUMBER(OO10), ISNUMBER(OQ10)), IF(ISNUMBER(OO10), OO10, 0) + IF(ISNUMBER(OQ10), OQ10, 0), "")</f>
        <v>0</v>
      </c>
      <c r="OT10" s="3">
        <v>2</v>
      </c>
      <c r="OU10" s="10">
        <f t="shared" ref="OU10:OU12" si="583">IF(ISNUMBER(OS10), (OI10+OJ10)-OS10, "")</f>
        <v>1</v>
      </c>
      <c r="OV10" s="5">
        <v>0.74</v>
      </c>
      <c r="OW10" s="10">
        <f t="shared" ref="OW10:OW12" si="584">IF(ISNUMBER(OV10), OV10-OU10, "")</f>
        <v>-0.26</v>
      </c>
      <c r="OY10" s="24">
        <v>1</v>
      </c>
      <c r="OZ10" s="6" t="s">
        <v>20</v>
      </c>
      <c r="PA10" s="24">
        <v>0.9</v>
      </c>
      <c r="PB10" s="6" t="s">
        <v>20</v>
      </c>
      <c r="PC10" s="5">
        <f t="shared" ref="PC10:PC12" si="585">IF(OR(ISNUMBER(OY10), ISNUMBER(PA10)), IF(ISNUMBER(OY10), OY10, 0) + IF(ISNUMBER(PA10), PA10, 0), "")</f>
        <v>1.9</v>
      </c>
      <c r="PD10" s="3"/>
      <c r="PE10" s="10">
        <f t="shared" ref="PE10:PE12" si="586">IF(ISNUMBER(PC10), (OS10+OT10)-PC10, "")</f>
        <v>0.10000000000000009</v>
      </c>
      <c r="PF10" s="5">
        <v>0.17</v>
      </c>
      <c r="PG10" s="10">
        <f t="shared" ref="PG10:PG12" si="587">IF(ISNUMBER(PF10), PF10-PE10, "")</f>
        <v>6.9999999999999923E-2</v>
      </c>
      <c r="PI10" s="24">
        <v>1</v>
      </c>
      <c r="PJ10" s="6" t="s">
        <v>20</v>
      </c>
      <c r="PK10" s="24">
        <v>0.5</v>
      </c>
      <c r="PL10" s="6" t="s">
        <v>20</v>
      </c>
      <c r="PM10" s="5">
        <f t="shared" ref="PM10:PM12" si="588">IF(OR(ISNUMBER(PI10), ISNUMBER(PK10)), IF(ISNUMBER(PI10), PI10, 0) + IF(ISNUMBER(PK10), PK10, 0), "")</f>
        <v>1.5</v>
      </c>
      <c r="PN10" s="3"/>
      <c r="PO10" s="10">
        <f t="shared" ref="PO10:PO12" si="589">IF(ISNUMBER(PM10), (PC10+PD10)-PM10, "")</f>
        <v>0.39999999999999991</v>
      </c>
      <c r="PP10" s="5">
        <v>0.28999999999999998</v>
      </c>
      <c r="PQ10" s="10">
        <f t="shared" ref="PQ10:PQ12" si="590">IF(ISNUMBER(PP10), PP10-PO10, "")</f>
        <v>-0.10999999999999993</v>
      </c>
      <c r="PS10" s="2">
        <v>1</v>
      </c>
      <c r="PT10" s="6" t="s">
        <v>20</v>
      </c>
      <c r="PU10" s="2">
        <v>0.3</v>
      </c>
      <c r="PV10" s="6" t="s">
        <v>20</v>
      </c>
      <c r="PW10" s="5">
        <f t="shared" ref="PW10:PW12" si="591">IF(OR(ISNUMBER(PS10), ISNUMBER(PU10)), IF(ISNUMBER(PS10), PS10, 0) + IF(ISNUMBER(PU10), PU10, 0), "")</f>
        <v>1.3</v>
      </c>
      <c r="PX10" s="3"/>
      <c r="PY10" s="10">
        <f t="shared" ref="PY10:PY12" si="592">IF(ISNUMBER(PW10), (PM10+PN10)-PW10, "")</f>
        <v>0.19999999999999996</v>
      </c>
      <c r="PZ10" s="5">
        <v>0.17</v>
      </c>
      <c r="QA10" s="10">
        <f t="shared" ref="QA10:QA12" si="593">IF(ISNUMBER(PZ10), PZ10-PY10, "")</f>
        <v>-2.9999999999999943E-2</v>
      </c>
      <c r="QC10" s="24">
        <v>1</v>
      </c>
      <c r="QD10" s="6" t="s">
        <v>20</v>
      </c>
      <c r="QE10" s="24">
        <v>0</v>
      </c>
      <c r="QF10" s="6" t="s">
        <v>20</v>
      </c>
      <c r="QG10" s="5">
        <f t="shared" ref="QG10:QG12" si="594">IF(OR(ISNUMBER(QC10), ISNUMBER(QE10)), IF(ISNUMBER(QC10), QC10, 0) + IF(ISNUMBER(QE10), QE10, 0), "")</f>
        <v>1</v>
      </c>
      <c r="QH10" s="3">
        <v>1</v>
      </c>
      <c r="QI10" s="10">
        <f t="shared" ref="QI10:QI12" si="595">IF(ISNUMBER(QG10), (PW10+PX10)-QG10, "")</f>
        <v>0.30000000000000004</v>
      </c>
      <c r="QJ10" s="5">
        <v>0.15</v>
      </c>
      <c r="QK10" s="10">
        <f t="shared" ref="QK10:QK12" si="596">IF(ISNUMBER(QJ10), QJ10-QI10, "")</f>
        <v>-0.15000000000000005</v>
      </c>
      <c r="QM10" s="24">
        <v>1</v>
      </c>
      <c r="QN10" s="6" t="s">
        <v>20</v>
      </c>
      <c r="QO10" s="24">
        <v>0.9</v>
      </c>
      <c r="QP10" s="6" t="s">
        <v>20</v>
      </c>
      <c r="QQ10" s="5">
        <f t="shared" ref="QQ10:QQ12" si="597">IF(OR(ISNUMBER(QM10), ISNUMBER(QO10)), IF(ISNUMBER(QM10), QM10, 0) + IF(ISNUMBER(QO10), QO10, 0), "")</f>
        <v>1.9</v>
      </c>
      <c r="QR10" s="3"/>
      <c r="QS10" s="10">
        <f t="shared" ref="QS10:QS12" si="598">IF(ISNUMBER(QQ10), (QG10+QH10)-QQ10, "")</f>
        <v>0.10000000000000009</v>
      </c>
      <c r="QT10" s="5">
        <v>0.14000000000000001</v>
      </c>
      <c r="QU10" s="10">
        <f t="shared" ref="QU10:QU12" si="599">IF(ISNUMBER(QT10), QT10-QS10, "")</f>
        <v>3.9999999999999925E-2</v>
      </c>
      <c r="QW10" s="24">
        <v>1</v>
      </c>
      <c r="QX10" s="6" t="s">
        <v>20</v>
      </c>
      <c r="QY10" s="24">
        <v>0.4</v>
      </c>
      <c r="QZ10" s="6" t="s">
        <v>20</v>
      </c>
      <c r="RA10" s="5">
        <f t="shared" ref="RA10:RA12" si="600">IF(OR(ISNUMBER(QW10), ISNUMBER(QY10)), IF(ISNUMBER(QW10), QW10, 0) + IF(ISNUMBER(QY10), QY10, 0), "")</f>
        <v>1.4</v>
      </c>
      <c r="RB10" s="3"/>
      <c r="RC10" s="10">
        <f t="shared" ref="RC10:RC12" si="601">IF(ISNUMBER(RA10), (QQ10+QR10)-RA10, "")</f>
        <v>0.5</v>
      </c>
      <c r="RD10" s="5">
        <v>0.28999999999999998</v>
      </c>
      <c r="RE10" s="10">
        <f t="shared" ref="RE10:RE12" si="602">IF(ISNUMBER(RD10), RD10-RC10, "")</f>
        <v>-0.21000000000000002</v>
      </c>
      <c r="RG10" s="24">
        <v>1</v>
      </c>
      <c r="RH10" s="6" t="s">
        <v>20</v>
      </c>
      <c r="RI10" s="24">
        <v>0.3</v>
      </c>
      <c r="RJ10" s="6" t="s">
        <v>20</v>
      </c>
      <c r="RK10" s="5">
        <f t="shared" ref="RK10:RK12" si="603">IF(OR(ISNUMBER(RG10), ISNUMBER(RI10)), IF(ISNUMBER(RG10), RG10, 0) + IF(ISNUMBER(RI10), RI10, 0), "")</f>
        <v>1.3</v>
      </c>
      <c r="RL10" s="3"/>
      <c r="RM10" s="10">
        <f t="shared" ref="RM10:RM12" si="604">IF(ISNUMBER(RK10), (RA10+RB10)-RK10, "")</f>
        <v>9.9999999999999867E-2</v>
      </c>
      <c r="RN10" s="5">
        <v>0.1</v>
      </c>
      <c r="RO10" s="10">
        <f t="shared" ref="RO10:RO12" si="605">IF(ISNUMBER(RN10), RN10-RM10, "")</f>
        <v>1.3877787807814457E-16</v>
      </c>
      <c r="RQ10" s="24">
        <v>1</v>
      </c>
      <c r="RR10" s="6" t="s">
        <v>20</v>
      </c>
      <c r="RS10" s="24">
        <v>0.1</v>
      </c>
      <c r="RT10" s="6" t="s">
        <v>20</v>
      </c>
      <c r="RU10" s="5">
        <f t="shared" ref="RU10:RU12" si="606">IF(OR(ISNUMBER(RQ10), ISNUMBER(RS10)), IF(ISNUMBER(RQ10), RQ10, 0) + IF(ISNUMBER(RS10), RS10, 0), "")</f>
        <v>1.1000000000000001</v>
      </c>
      <c r="RV10" s="3"/>
      <c r="RW10" s="10">
        <f t="shared" ref="RW10:RW12" si="607">IF(ISNUMBER(RU10), (RK10+RL10)-RU10, "")</f>
        <v>0.19999999999999996</v>
      </c>
      <c r="RX10" s="5">
        <v>0.12</v>
      </c>
      <c r="RY10" s="10">
        <f t="shared" ref="RY10:RY12" si="608">IF(ISNUMBER(RX10), RX10-RW10, "")</f>
        <v>-7.999999999999996E-2</v>
      </c>
      <c r="SA10" s="2">
        <v>0</v>
      </c>
      <c r="SB10" s="6" t="s">
        <v>20</v>
      </c>
      <c r="SC10" s="2">
        <v>0.9</v>
      </c>
      <c r="SD10" s="6" t="s">
        <v>20</v>
      </c>
      <c r="SE10" s="5">
        <f t="shared" ref="SE10:SE12" si="609">IF(OR(ISNUMBER(SA10), ISNUMBER(SC10)), IF(ISNUMBER(SA10), SA10, 0) + IF(ISNUMBER(SC10), SC10, 0), "")</f>
        <v>0.9</v>
      </c>
      <c r="SF10" s="3"/>
      <c r="SG10" s="10">
        <f t="shared" ref="SG10:SG12" si="610">IF(ISNUMBER(SE10), (RU10+RV10)-SE10, "")</f>
        <v>0.20000000000000007</v>
      </c>
      <c r="SH10" s="5">
        <v>0.33</v>
      </c>
      <c r="SI10" s="10">
        <f t="shared" ref="SI10:SI12" si="611">IF(ISNUMBER(SH10), SH10-SG10, "")</f>
        <v>0.12999999999999995</v>
      </c>
      <c r="SK10" s="24">
        <v>0</v>
      </c>
      <c r="SL10" s="6" t="s">
        <v>20</v>
      </c>
      <c r="SM10" s="24">
        <v>0.7</v>
      </c>
      <c r="SN10" s="6" t="s">
        <v>20</v>
      </c>
      <c r="SO10" s="5">
        <f t="shared" ref="SO10:SO12" si="612">IF(OR(ISNUMBER(SK10), ISNUMBER(SM10)), IF(ISNUMBER(SK10), SK10, 0) + IF(ISNUMBER(SM10), SM10, 0), "")</f>
        <v>0.7</v>
      </c>
      <c r="SP10" s="3">
        <v>1</v>
      </c>
      <c r="SQ10" s="10">
        <f t="shared" ref="SQ10:SQ12" si="613">IF(ISNUMBER(SO10), (SE10+SF10)-SO10, "")</f>
        <v>0.20000000000000007</v>
      </c>
      <c r="SR10" s="5">
        <v>0.26</v>
      </c>
      <c r="SS10" s="10">
        <f t="shared" ref="SS10:SS12" si="614">IF(ISNUMBER(SR10), SR10-SQ10, "")</f>
        <v>5.9999999999999942E-2</v>
      </c>
      <c r="SU10" s="24">
        <v>0</v>
      </c>
      <c r="SV10" s="6" t="s">
        <v>20</v>
      </c>
      <c r="SW10" s="24">
        <v>0.7</v>
      </c>
      <c r="SX10" s="6" t="s">
        <v>20</v>
      </c>
      <c r="SY10" s="36">
        <f t="shared" ref="SY10:SY12" si="615">IF(OR(ISNUMBER(SU10), ISNUMBER(SW10)), IF(ISNUMBER(SU10), SU10, 0) + IF(ISNUMBER(SW10), SW10, 0), "")</f>
        <v>0.7</v>
      </c>
      <c r="SZ10" s="3"/>
      <c r="TA10" s="10">
        <f t="shared" ref="TA10:TA12" si="616">IF(ISNUMBER(SY10), (SO10+SP10)-SY10, "")</f>
        <v>1</v>
      </c>
      <c r="TB10" s="5">
        <v>0.39</v>
      </c>
      <c r="TC10" s="10">
        <f t="shared" ref="TC10:TC12" si="617">IF(ISNUMBER(TB10), TB10-TA10, "")</f>
        <v>-0.61</v>
      </c>
      <c r="TE10" s="24">
        <v>0</v>
      </c>
      <c r="TF10" s="6" t="s">
        <v>20</v>
      </c>
      <c r="TG10" s="24">
        <v>0.3</v>
      </c>
      <c r="TH10" s="6" t="s">
        <v>20</v>
      </c>
      <c r="TI10" s="5">
        <f t="shared" ref="TI10:TI12" si="618">IF(OR(ISNUMBER(TE10), ISNUMBER(TG10)), IF(ISNUMBER(TE10), TE10, 0) + IF(ISNUMBER(TG10), TG10, 0), "")</f>
        <v>0.3</v>
      </c>
      <c r="TJ10" s="3">
        <v>1</v>
      </c>
      <c r="TK10" s="10">
        <f t="shared" ref="TK10:TK12" si="619">IF(ISNUMBER(TI10), (SY10+SZ10)-TI10, "")</f>
        <v>0.39999999999999997</v>
      </c>
      <c r="TL10" s="5">
        <v>0.12</v>
      </c>
      <c r="TM10" s="10">
        <f t="shared" ref="TM10:TM12" si="620">IF(ISNUMBER(TL10), TL10-TK10, "")</f>
        <v>-0.27999999999999997</v>
      </c>
      <c r="TO10" s="24">
        <v>1</v>
      </c>
      <c r="TP10" s="6" t="s">
        <v>20</v>
      </c>
      <c r="TQ10" s="24">
        <v>0.1</v>
      </c>
      <c r="TR10" s="6" t="s">
        <v>20</v>
      </c>
      <c r="TS10" s="5">
        <f t="shared" ref="TS10:TS12" si="621">IF(OR(ISNUMBER(TO10), ISNUMBER(TQ10)), IF(ISNUMBER(TO10), TO10, 0) + IF(ISNUMBER(TQ10), TQ10, 0), "")</f>
        <v>1.1000000000000001</v>
      </c>
      <c r="TT10" s="3"/>
      <c r="TU10" s="10">
        <f t="shared" ref="TU10:TU12" si="622">IF(ISNUMBER(TS10), (TI10+TJ10)-TS10, "")</f>
        <v>0.19999999999999996</v>
      </c>
      <c r="TV10" s="5">
        <v>0.1</v>
      </c>
      <c r="TW10" s="10">
        <f t="shared" ref="TW10:TW12" si="623">IF(ISNUMBER(TV10), TV10-TU10, "")</f>
        <v>-9.999999999999995E-2</v>
      </c>
      <c r="TY10" s="24">
        <v>1</v>
      </c>
      <c r="TZ10" s="6" t="s">
        <v>20</v>
      </c>
      <c r="UA10" s="24">
        <v>0</v>
      </c>
      <c r="UB10" s="6" t="s">
        <v>20</v>
      </c>
      <c r="UC10" s="5">
        <f t="shared" ref="UC10:UC12" si="624">IF(OR(ISNUMBER(TY10), ISNUMBER(UA10)), IF(ISNUMBER(TY10), TY10, 0) + IF(ISNUMBER(UA10), UA10, 0), "")</f>
        <v>1</v>
      </c>
      <c r="UD10" s="3">
        <v>1</v>
      </c>
      <c r="UE10" s="10">
        <f t="shared" ref="UE10:UE12" si="625">IF(ISNUMBER(UC10), (TS10+TT10)-UC10, "")</f>
        <v>0.10000000000000009</v>
      </c>
      <c r="UF10" s="5">
        <v>0.15</v>
      </c>
      <c r="UG10" s="10">
        <f t="shared" ref="UG10:UG12" si="626">IF(ISNUMBER(UF10), UF10-UE10, "")</f>
        <v>4.9999999999999906E-2</v>
      </c>
      <c r="UI10" s="2">
        <v>1</v>
      </c>
      <c r="UJ10" s="6" t="s">
        <v>20</v>
      </c>
      <c r="UK10" s="2">
        <v>0.5</v>
      </c>
      <c r="UL10" s="6" t="s">
        <v>20</v>
      </c>
      <c r="UM10" s="5">
        <f t="shared" ref="UM10:UM12" si="627">IF(OR(ISNUMBER(UI10), ISNUMBER(UK10)), IF(ISNUMBER(UI10), UI10, 0) + IF(ISNUMBER(UK10), UK10, 0), "")</f>
        <v>1.5</v>
      </c>
      <c r="UN10" s="3"/>
      <c r="UO10" s="10">
        <f t="shared" ref="UO10:UO12" si="628">IF(ISNUMBER(UM10), (UC10+UD10)-UM10, "")</f>
        <v>0.5</v>
      </c>
      <c r="UP10" s="5">
        <v>0.53</v>
      </c>
      <c r="UQ10" s="10">
        <f t="shared" ref="UQ10:UQ12" si="629">IF(ISNUMBER(UP10), UP10-UO10, "")</f>
        <v>3.0000000000000027E-2</v>
      </c>
      <c r="US10" s="24">
        <v>0</v>
      </c>
      <c r="UT10" s="6" t="s">
        <v>20</v>
      </c>
      <c r="UU10" s="24">
        <v>0.5</v>
      </c>
      <c r="UV10" s="6" t="s">
        <v>20</v>
      </c>
      <c r="UW10" s="5">
        <f t="shared" ref="UW10:UW12" si="630">IF(OR(ISNUMBER(US10), ISNUMBER(UU10)), IF(ISNUMBER(US10), US10, 0) + IF(ISNUMBER(UU10), UU10, 0), "")</f>
        <v>0.5</v>
      </c>
      <c r="UX10" s="3">
        <v>1</v>
      </c>
      <c r="UY10" s="10">
        <f t="shared" ref="UY10:UY12" si="631">IF(ISNUMBER(UW10), (UM10+UN10)-UW10, "")</f>
        <v>1</v>
      </c>
      <c r="UZ10" s="5">
        <v>0.39</v>
      </c>
      <c r="VA10" s="10">
        <f t="shared" ref="VA10:VA12" si="632">IF(ISNUMBER(UZ10), UZ10-UY10, "")</f>
        <v>-0.61</v>
      </c>
      <c r="VC10" s="2">
        <v>1</v>
      </c>
      <c r="VD10" s="6" t="s">
        <v>20</v>
      </c>
      <c r="VE10" s="2">
        <v>0.3</v>
      </c>
      <c r="VF10" s="6" t="s">
        <v>20</v>
      </c>
      <c r="VG10" s="5">
        <f t="shared" ref="VG10:VG12" si="633">IF(OR(ISNUMBER(VC10), ISNUMBER(VE10)), IF(ISNUMBER(VC10), VC10, 0) + IF(ISNUMBER(VE10), VE10, 0), "")</f>
        <v>1.3</v>
      </c>
      <c r="VH10" s="3"/>
      <c r="VI10" s="10">
        <f t="shared" ref="VI10:VI12" si="634">IF(ISNUMBER(VG10), (UW10+UX10)-VG10, "")</f>
        <v>0.19999999999999996</v>
      </c>
      <c r="VJ10" s="5">
        <v>0.17</v>
      </c>
      <c r="VK10" s="10">
        <f t="shared" ref="VK10:VK12" si="635">IF(ISNUMBER(VJ10), VJ10-VI10, "")</f>
        <v>-2.9999999999999943E-2</v>
      </c>
      <c r="VM10" s="24">
        <v>1</v>
      </c>
      <c r="VN10" s="6" t="s">
        <v>20</v>
      </c>
      <c r="VO10" s="24">
        <v>0.1</v>
      </c>
      <c r="VP10" s="6" t="s">
        <v>20</v>
      </c>
      <c r="VQ10" s="5">
        <f t="shared" ref="VQ10:VQ12" si="636">IF(OR(ISNUMBER(VM10), ISNUMBER(VO10)), IF(ISNUMBER(VM10), VM10, 0) + IF(ISNUMBER(VO10), VO10, 0), "")</f>
        <v>1.1000000000000001</v>
      </c>
      <c r="VR10" s="3">
        <v>1</v>
      </c>
      <c r="VS10" s="10">
        <f t="shared" ref="VS10:VS12" si="637">IF(ISNUMBER(VQ10), (VG10+VH10)-VQ10, "")</f>
        <v>0.19999999999999996</v>
      </c>
      <c r="VT10" s="5">
        <v>0.22</v>
      </c>
      <c r="VU10" s="10">
        <f t="shared" ref="VU10:VU12" si="638">IF(ISNUMBER(VT10), VT10-VS10, "")</f>
        <v>2.0000000000000046E-2</v>
      </c>
      <c r="VW10" s="2">
        <v>2</v>
      </c>
      <c r="VX10" s="6" t="s">
        <v>20</v>
      </c>
      <c r="VY10" s="2">
        <v>0.1</v>
      </c>
      <c r="VZ10" s="6" t="s">
        <v>20</v>
      </c>
      <c r="WA10" s="5">
        <f t="shared" ref="WA10:WA12" si="639">IF(OR(ISNUMBER(VW10), ISNUMBER(VY10)), IF(ISNUMBER(VW10), VW10, 0) + IF(ISNUMBER(VY10), VY10, 0), "")</f>
        <v>2.1</v>
      </c>
      <c r="WB10" s="3"/>
      <c r="WC10" s="10">
        <f t="shared" ref="WC10:WC12" si="640">IF(ISNUMBER(WA10), (VQ10+VR10)-WA10, "")</f>
        <v>0</v>
      </c>
      <c r="WD10" s="5">
        <v>0.14000000000000001</v>
      </c>
      <c r="WE10" s="10">
        <f t="shared" ref="WE10:WE12" si="641">IF(ISNUMBER(WD10), WD10-WC10, "")</f>
        <v>0.14000000000000001</v>
      </c>
      <c r="WG10" s="2">
        <v>1</v>
      </c>
      <c r="WH10" s="6" t="s">
        <v>20</v>
      </c>
      <c r="WI10" s="2">
        <v>0.4</v>
      </c>
      <c r="WJ10" s="6" t="s">
        <v>20</v>
      </c>
      <c r="WK10" s="36">
        <f t="shared" ref="WK10:WK12" si="642">IF(OR(ISNUMBER(WG10), ISNUMBER(WI10)), IF(ISNUMBER(WG10), WG10, 0) + IF(ISNUMBER(WI10), WI10, 0), "")</f>
        <v>1.4</v>
      </c>
      <c r="WL10" s="3"/>
      <c r="WM10" s="10">
        <f t="shared" ref="WM10:WM12" si="643">IF(ISNUMBER(WK10), (WA10+WB10)-WK10, "")</f>
        <v>0.70000000000000018</v>
      </c>
      <c r="WN10" s="5">
        <v>0.45</v>
      </c>
      <c r="WO10" s="10">
        <f t="shared" ref="WO10:WO12" si="644">IF(ISNUMBER(WN10), WN10-WM10, "")</f>
        <v>-0.25000000000000017</v>
      </c>
      <c r="WQ10" s="2">
        <v>0</v>
      </c>
      <c r="WR10" s="6" t="s">
        <v>20</v>
      </c>
      <c r="WS10" s="2">
        <v>0.7</v>
      </c>
      <c r="WT10" s="6" t="s">
        <v>20</v>
      </c>
      <c r="WU10" s="5">
        <f t="shared" ref="WU10:WU12" si="645">IF(OR(ISNUMBER(WQ10), ISNUMBER(WS10)), IF(ISNUMBER(WQ10), WQ10, 0) + IF(ISNUMBER(WS10), WS10, 0), "")</f>
        <v>0.7</v>
      </c>
      <c r="WV10" s="3"/>
      <c r="WW10" s="10">
        <f t="shared" ref="WW10:WW12" si="646">IF(ISNUMBER(WU10), (WK10+WL10)-WU10, "")</f>
        <v>0.7</v>
      </c>
      <c r="WX10" s="5">
        <v>0.75</v>
      </c>
      <c r="WY10" s="10">
        <f t="shared" ref="WY10:WY12" si="647">IF(ISNUMBER(WX10), WX10-WW10, "")</f>
        <v>5.0000000000000044E-2</v>
      </c>
      <c r="XA10" s="24">
        <v>0</v>
      </c>
      <c r="XB10" s="6" t="s">
        <v>20</v>
      </c>
      <c r="XC10" s="24">
        <v>0</v>
      </c>
      <c r="XD10" s="6" t="s">
        <v>20</v>
      </c>
      <c r="XE10" s="5">
        <f t="shared" ref="XE10:XE12" si="648">IF(OR(ISNUMBER(XA10), ISNUMBER(XC10)), IF(ISNUMBER(XA10), XA10, 0) + IF(ISNUMBER(XC10), XC10, 0), "")</f>
        <v>0</v>
      </c>
      <c r="XF10" s="3">
        <v>2</v>
      </c>
      <c r="XG10" s="10">
        <f t="shared" ref="XG10:XG12" si="649">IF(ISNUMBER(XE10), (WU10+WV10)-XE10, "")</f>
        <v>0.7</v>
      </c>
      <c r="XH10" s="5">
        <v>0.26</v>
      </c>
      <c r="XI10" s="10">
        <f t="shared" ref="XI10:XI12" si="650">IF(ISNUMBER(XH10), XH10-XG10, "")</f>
        <v>-0.43999999999999995</v>
      </c>
      <c r="XK10" s="24">
        <v>1</v>
      </c>
      <c r="XL10" s="6" t="s">
        <v>20</v>
      </c>
      <c r="XM10" s="24">
        <v>0.9</v>
      </c>
      <c r="XN10" s="6" t="s">
        <v>20</v>
      </c>
      <c r="XO10" s="5">
        <f t="shared" ref="XO10:XO12" si="651">IF(OR(ISNUMBER(XK10), ISNUMBER(XM10)), IF(ISNUMBER(XK10), XK10, 0) + IF(ISNUMBER(XM10), XM10, 0), "")</f>
        <v>1.9</v>
      </c>
      <c r="XP10" s="3"/>
      <c r="XQ10" s="10">
        <f t="shared" ref="XQ10:XQ12" si="652">IF(ISNUMBER(XO10), (XE10+XF10)-XO10, "")</f>
        <v>0.10000000000000009</v>
      </c>
      <c r="XR10" s="5">
        <v>0.27</v>
      </c>
      <c r="XS10" s="10">
        <f t="shared" ref="XS10:XS12" si="653">IF(ISNUMBER(XR10), XR10-XQ10, "")</f>
        <v>0.16999999999999993</v>
      </c>
      <c r="XU10" s="24">
        <v>1</v>
      </c>
      <c r="XV10" s="6" t="s">
        <v>20</v>
      </c>
      <c r="XW10" s="24">
        <v>0.7</v>
      </c>
      <c r="XX10" s="6" t="s">
        <v>20</v>
      </c>
      <c r="XY10" s="5">
        <f t="shared" ref="XY10:XY12" si="654">IF(OR(ISNUMBER(XU10), ISNUMBER(XW10)), IF(ISNUMBER(XU10), XU10, 0) + IF(ISNUMBER(XW10), XW10, 0), "")</f>
        <v>1.7</v>
      </c>
      <c r="XZ10" s="3"/>
      <c r="YA10" s="10">
        <f t="shared" ref="YA10:YA12" si="655">IF(ISNUMBER(XY10), (XO10+XP10)-XY10, "")</f>
        <v>0.19999999999999996</v>
      </c>
      <c r="YB10" s="5">
        <v>0.33</v>
      </c>
      <c r="YC10" s="10">
        <f t="shared" ref="YC10:YC12" si="656">IF(ISNUMBER(YB10), YB10-YA10, "")</f>
        <v>0.13000000000000006</v>
      </c>
      <c r="YE10" s="24">
        <v>1</v>
      </c>
      <c r="YF10" s="6" t="s">
        <v>20</v>
      </c>
      <c r="YG10" s="24">
        <v>0.5</v>
      </c>
      <c r="YH10" s="6" t="s">
        <v>20</v>
      </c>
      <c r="YI10" s="5">
        <f t="shared" ref="YI10:YI12" si="657">IF(OR(ISNUMBER(YE10), ISNUMBER(YG10)), IF(ISNUMBER(YE10), YE10, 0) + IF(ISNUMBER(YG10), YG10, 0), "")</f>
        <v>1.5</v>
      </c>
      <c r="YJ10" s="3"/>
      <c r="YK10" s="10">
        <f t="shared" ref="YK10:YK12" si="658">IF(ISNUMBER(YI10), (XY10+XZ10)-YI10, "")</f>
        <v>0.19999999999999996</v>
      </c>
      <c r="YL10" s="5">
        <v>0.19</v>
      </c>
      <c r="YM10" s="10">
        <f t="shared" ref="YM10:YM12" si="659">IF(ISNUMBER(YL10), YL10-YK10, "")</f>
        <v>-9.9999999999999534E-3</v>
      </c>
      <c r="YO10" s="24"/>
      <c r="YP10" s="6" t="s">
        <v>20</v>
      </c>
      <c r="YQ10" s="24">
        <v>0.6</v>
      </c>
      <c r="YR10" s="6" t="s">
        <v>20</v>
      </c>
      <c r="YS10" s="5">
        <f t="shared" ref="YS10:YS12" si="660">IF(OR(ISNUMBER(YO10), ISNUMBER(YQ10)), IF(ISNUMBER(YO10), YO10, 0) + IF(ISNUMBER(YQ10), YQ10, 0), "")</f>
        <v>0.6</v>
      </c>
      <c r="YT10" s="3">
        <v>1</v>
      </c>
      <c r="YU10" s="10">
        <f t="shared" ref="YU10:YU12" si="661">IF(ISNUMBER(YS10), (YI10+YJ10)-YS10, "")</f>
        <v>0.9</v>
      </c>
      <c r="YV10" s="5">
        <v>0.38</v>
      </c>
      <c r="YW10" s="10">
        <f t="shared" ref="YW10:YW12" si="662">IF(ISNUMBER(YV10), YV10-YU10, "")</f>
        <v>-0.52</v>
      </c>
      <c r="YY10" s="24">
        <v>1</v>
      </c>
      <c r="YZ10" s="6" t="s">
        <v>20</v>
      </c>
      <c r="ZA10" s="24">
        <v>0.1</v>
      </c>
      <c r="ZB10" s="6" t="s">
        <v>20</v>
      </c>
      <c r="ZC10" s="5">
        <f t="shared" ref="ZC10:ZC12" si="663">IF(OR(ISNUMBER(YY10), ISNUMBER(ZA10)), IF(ISNUMBER(YY10), YY10, 0) + IF(ISNUMBER(ZA10), ZA10, 0), "")</f>
        <v>1.1000000000000001</v>
      </c>
      <c r="ZD10" s="3"/>
      <c r="ZE10" s="10">
        <f t="shared" ref="ZE10:ZE12" si="664">IF(ISNUMBER(ZC10), (YS10+YT10)-ZC10, "")</f>
        <v>0.5</v>
      </c>
      <c r="ZF10" s="5">
        <v>0.48</v>
      </c>
      <c r="ZG10" s="10">
        <f t="shared" ref="ZG10:ZG12" si="665">IF(ISNUMBER(ZF10), ZF10-ZE10, "")</f>
        <v>-2.0000000000000018E-2</v>
      </c>
      <c r="ZI10" s="24"/>
      <c r="ZJ10" s="6" t="s">
        <v>20</v>
      </c>
      <c r="ZK10" s="24">
        <v>0.7</v>
      </c>
      <c r="ZL10" s="6" t="s">
        <v>20</v>
      </c>
      <c r="ZM10" s="5">
        <f t="shared" ref="ZM10:ZM12" si="666">IF(OR(ISNUMBER(ZI10), ISNUMBER(ZK10)), IF(ISNUMBER(ZI10), ZI10, 0) + IF(ISNUMBER(ZK10), ZK10, 0), "")</f>
        <v>0.7</v>
      </c>
      <c r="ZN10" s="3"/>
      <c r="ZO10" s="10">
        <f t="shared" ref="ZO10:ZO12" si="667">IF(ISNUMBER(ZM10), (ZC10+ZD10)-ZM10, "")</f>
        <v>0.40000000000000013</v>
      </c>
      <c r="ZP10" s="5">
        <v>0.19</v>
      </c>
      <c r="ZQ10" s="10">
        <f t="shared" ref="ZQ10:ZQ12" si="668">IF(ISNUMBER(ZP10), ZP10-ZO10, "")</f>
        <v>-0.21000000000000013</v>
      </c>
      <c r="ZS10" s="24"/>
      <c r="ZT10" s="6" t="s">
        <v>20</v>
      </c>
      <c r="ZU10" s="24">
        <v>0.5</v>
      </c>
      <c r="ZV10" s="6" t="s">
        <v>20</v>
      </c>
      <c r="ZW10" s="5">
        <f t="shared" ref="ZW10:ZW12" si="669">IF(OR(ISNUMBER(ZS10), ISNUMBER(ZU10)), IF(ISNUMBER(ZS10), ZS10, 0) + IF(ISNUMBER(ZU10), ZU10, 0), "")</f>
        <v>0.5</v>
      </c>
      <c r="ZX10" s="3">
        <v>2</v>
      </c>
      <c r="ZY10" s="10">
        <f t="shared" ref="ZY10:ZY12" si="670">IF(ISNUMBER(ZW10), (ZM10+ZN10)-ZW10, "")</f>
        <v>0.19999999999999996</v>
      </c>
      <c r="ZZ10" s="5">
        <v>0.38</v>
      </c>
      <c r="AAA10" s="10">
        <f t="shared" ref="AAA10:AAA12" si="671">IF(ISNUMBER(ZZ10), ZZ10-ZY10, "")</f>
        <v>0.18000000000000005</v>
      </c>
      <c r="AAC10" s="24">
        <v>2</v>
      </c>
      <c r="AAD10" s="6" t="s">
        <v>20</v>
      </c>
      <c r="AAE10" s="24">
        <v>0.2</v>
      </c>
      <c r="AAF10" s="6" t="s">
        <v>20</v>
      </c>
      <c r="AAG10" s="5">
        <f t="shared" ref="AAG10:AAG12" si="672">IF(OR(ISNUMBER(AAC10), ISNUMBER(AAE10)), IF(ISNUMBER(AAC10), AAC10, 0) + IF(ISNUMBER(AAE10), AAE10, 0), "")</f>
        <v>2.2000000000000002</v>
      </c>
      <c r="AAH10" s="3"/>
      <c r="AAI10" s="10">
        <f t="shared" ref="AAI10:AAI12" si="673">IF(ISNUMBER(AAG10), (ZW10+ZX10)-AAG10, "")</f>
        <v>0.29999999999999982</v>
      </c>
      <c r="AAJ10" s="5">
        <v>0.34</v>
      </c>
      <c r="AAK10" s="10">
        <f t="shared" ref="AAK10:AAK12" si="674">IF(ISNUMBER(AAJ10), AAJ10-AAI10, "")</f>
        <v>4.0000000000000202E-2</v>
      </c>
      <c r="AAM10" s="2">
        <v>1</v>
      </c>
      <c r="AAN10" s="6" t="s">
        <v>20</v>
      </c>
      <c r="AAO10" s="2">
        <v>0.7</v>
      </c>
      <c r="AAP10" s="6" t="s">
        <v>20</v>
      </c>
      <c r="AAQ10" s="5">
        <f t="shared" ref="AAQ10:AAQ12" si="675">IF(OR(ISNUMBER(AAM10), ISNUMBER(AAO10)), IF(ISNUMBER(AAM10), AAM10, 0) + IF(ISNUMBER(AAO10), AAO10, 0), "")</f>
        <v>1.7</v>
      </c>
      <c r="AAR10" s="3"/>
      <c r="AAS10" s="10">
        <f t="shared" ref="AAS10:AAS12" si="676">IF(ISNUMBER(AAQ10), (AAG10+AAH10)-AAQ10, "")</f>
        <v>0.50000000000000022</v>
      </c>
      <c r="AAT10" s="5">
        <v>0.53</v>
      </c>
      <c r="AAU10" s="10">
        <f t="shared" ref="AAU10:AAU12" si="677">IF(ISNUMBER(AAT10), AAT10-AAS10, "")</f>
        <v>2.9999999999999805E-2</v>
      </c>
      <c r="AAW10" s="2">
        <v>1</v>
      </c>
      <c r="AAX10" s="6" t="s">
        <v>20</v>
      </c>
      <c r="AAY10" s="2">
        <v>0.1</v>
      </c>
      <c r="AAZ10" s="6" t="s">
        <v>20</v>
      </c>
      <c r="ABA10" s="5">
        <f t="shared" ref="ABA10:ABA12" si="678">IF(OR(ISNUMBER(AAW10), ISNUMBER(AAY10)), IF(ISNUMBER(AAW10), AAW10, 0) + IF(ISNUMBER(AAY10), AAY10, 0), "")</f>
        <v>1.1000000000000001</v>
      </c>
      <c r="ABB10" s="3">
        <v>1</v>
      </c>
      <c r="ABC10" s="10">
        <f t="shared" ref="ABC10:ABC12" si="679">IF(ISNUMBER(ABA10), (AAQ10+AAR10)-ABA10, "")</f>
        <v>0.59999999999999987</v>
      </c>
      <c r="ABD10" s="5">
        <v>0.46</v>
      </c>
      <c r="ABE10" s="10">
        <f t="shared" ref="ABE10:ABE12" si="680">IF(ISNUMBER(ABD10), ABD10-ABC10, "")</f>
        <v>-0.13999999999999985</v>
      </c>
      <c r="ABG10" s="24">
        <v>1</v>
      </c>
      <c r="ABH10" s="6" t="s">
        <v>20</v>
      </c>
      <c r="ABI10" s="24">
        <v>0.7</v>
      </c>
      <c r="ABJ10" s="6" t="s">
        <v>20</v>
      </c>
      <c r="ABK10" s="5">
        <f t="shared" ref="ABK10:ABK12" si="681">IF(OR(ISNUMBER(ABG10), ISNUMBER(ABI10)), IF(ISNUMBER(ABG10), ABG10, 0) + IF(ISNUMBER(ABI10), ABI10, 0), "")</f>
        <v>1.7</v>
      </c>
      <c r="ABL10" s="3"/>
      <c r="ABM10" s="10">
        <f t="shared" ref="ABM10:ABM12" si="682">IF(ISNUMBER(ABK10), (ABA10+ABB10)-ABK10, "")</f>
        <v>0.40000000000000013</v>
      </c>
      <c r="ABN10" s="5">
        <v>0.38</v>
      </c>
      <c r="ABO10" s="10">
        <f t="shared" ref="ABO10:ABO12" si="683">IF(ISNUMBER(ABN10), ABN10-ABM10, "")</f>
        <v>-2.0000000000000129E-2</v>
      </c>
      <c r="ABQ10" s="2">
        <v>1</v>
      </c>
      <c r="ABR10" s="6" t="s">
        <v>20</v>
      </c>
      <c r="ABS10" s="2">
        <v>0.1</v>
      </c>
      <c r="ABT10" s="6" t="s">
        <v>20</v>
      </c>
      <c r="ABU10" s="5">
        <f t="shared" ref="ABU10:ABU12" si="684">IF(OR(ISNUMBER(ABQ10), ISNUMBER(ABS10)), IF(ISNUMBER(ABQ10), ABQ10, 0) + IF(ISNUMBER(ABS10), ABS10, 0), "")</f>
        <v>1.1000000000000001</v>
      </c>
      <c r="ABV10" s="3">
        <v>1</v>
      </c>
      <c r="ABW10" s="10">
        <f>IF(ISNUMBER(ABU10), (ABK10+ABL10)-ABU10, "")</f>
        <v>0.59999999999999987</v>
      </c>
      <c r="ABX10" s="5">
        <v>0.53</v>
      </c>
      <c r="ABY10" s="10">
        <f t="shared" ref="ABY10:ABY12" si="685">IF(ISNUMBER(ABX10), ABX10-ABW10, "")</f>
        <v>-6.999999999999984E-2</v>
      </c>
      <c r="ACA10" s="24">
        <v>1</v>
      </c>
      <c r="ACB10" s="6" t="s">
        <v>20</v>
      </c>
      <c r="ACC10" s="24">
        <v>0.7</v>
      </c>
      <c r="ACD10" s="6" t="s">
        <v>20</v>
      </c>
      <c r="ACE10" s="5">
        <f>IF(OR(ISNUMBER(ACA10), ISNUMBER(ACC10)), IF(ISNUMBER(ACA10), ACA10, 0) + IF(ISNUMBER(ACC10), ACC10, 0), "")</f>
        <v>1.7</v>
      </c>
      <c r="ACF10" s="3"/>
      <c r="ACG10" s="10">
        <f>IF(ISNUMBER(ACE10), (ABU10+ABV10)-ACE10, "")</f>
        <v>0.40000000000000013</v>
      </c>
      <c r="ACH10" s="5">
        <v>0.39</v>
      </c>
      <c r="ACI10" s="10">
        <f>IF(ISNUMBER(ACH10), ACH10-ACG10, "")</f>
        <v>-1.000000000000012E-2</v>
      </c>
      <c r="ACK10" s="24">
        <v>1</v>
      </c>
      <c r="ACL10" s="6" t="s">
        <v>20</v>
      </c>
      <c r="ACM10" s="24">
        <v>0.3</v>
      </c>
      <c r="ACN10" s="6" t="s">
        <v>20</v>
      </c>
      <c r="ACO10" s="5">
        <f t="shared" ref="ACO10:ACO12" si="686">IF(OR(ISNUMBER(ACK10), ISNUMBER(ACM10)), IF(ISNUMBER(ACK10), ACK10, 0) + IF(ISNUMBER(ACM10), ACM10, 0), "")</f>
        <v>1.3</v>
      </c>
      <c r="ACP10" s="3"/>
      <c r="ACQ10" s="10">
        <f>IF(ISNUMBER(ACO10), (ACE10+ACF10)-ACO10, "")</f>
        <v>0.39999999999999991</v>
      </c>
      <c r="ACR10" s="5">
        <v>0.36</v>
      </c>
      <c r="ACS10" s="10">
        <f t="shared" ref="ACS10:ACS12" si="687">IF(ISNUMBER(ACR10), ACR10-ACQ10, "")</f>
        <v>-3.9999999999999925E-2</v>
      </c>
      <c r="ACU10" s="24">
        <v>0</v>
      </c>
      <c r="ACV10" s="6" t="s">
        <v>20</v>
      </c>
      <c r="ACW10" s="24">
        <v>0.7</v>
      </c>
      <c r="ACX10" s="6" t="s">
        <v>20</v>
      </c>
      <c r="ACY10" s="5">
        <f t="shared" ref="ACY10:ACY12" si="688">IF(OR(ISNUMBER(ACU10), ISNUMBER(ACW10)), IF(ISNUMBER(ACU10), ACU10, 0) + IF(ISNUMBER(ACW10), ACW10, 0), "")</f>
        <v>0.7</v>
      </c>
      <c r="ACZ10" s="3"/>
      <c r="ADA10" s="10">
        <f>IF(ISNUMBER(ACY10), (ACO10+ACP10)-ACY10, "")</f>
        <v>0.60000000000000009</v>
      </c>
      <c r="ADB10" s="5">
        <v>0.59</v>
      </c>
      <c r="ADC10" s="10">
        <f t="shared" ref="ADC10:ADC12" si="689">IF(ISNUMBER(ADB10), ADB10-ADA10, "")</f>
        <v>-1.000000000000012E-2</v>
      </c>
      <c r="ADE10" s="24">
        <v>0</v>
      </c>
      <c r="ADF10" s="6" t="s">
        <v>20</v>
      </c>
      <c r="ADG10" s="24">
        <v>0.5</v>
      </c>
      <c r="ADH10" s="6" t="s">
        <v>20</v>
      </c>
      <c r="ADI10" s="5">
        <f t="shared" ref="ADI10:ADI12" si="690">IF(OR(ISNUMBER(ADE10), ISNUMBER(ADG10)), IF(ISNUMBER(ADE10), ADE10, 0) + IF(ISNUMBER(ADG10), ADG10, 0), "")</f>
        <v>0.5</v>
      </c>
      <c r="ADJ10" s="3">
        <v>1</v>
      </c>
      <c r="ADK10" s="10">
        <f>IF(ISNUMBER(ADI10), (ACY10+ACZ10)-ADI10, "")</f>
        <v>0.19999999999999996</v>
      </c>
      <c r="ADL10" s="5">
        <v>0.27</v>
      </c>
      <c r="ADM10" s="10">
        <f t="shared" ref="ADM10:ADM12" si="691">IF(ISNUMBER(ADL10), ADL10-ADK10, "")</f>
        <v>7.0000000000000062E-2</v>
      </c>
      <c r="ADO10" s="2">
        <v>0</v>
      </c>
      <c r="ADP10" s="6" t="s">
        <v>20</v>
      </c>
      <c r="ADQ10" s="2">
        <v>0.7</v>
      </c>
      <c r="ADR10" s="6" t="s">
        <v>20</v>
      </c>
      <c r="ADS10" s="5">
        <f t="shared" ref="ADS10:ADS12" si="692">IF(OR(ISNUMBER(ADO10), ISNUMBER(ADQ10)), IF(ISNUMBER(ADO10), ADO10, 0) + IF(ISNUMBER(ADQ10), ADQ10, 0), "")</f>
        <v>0.7</v>
      </c>
      <c r="ADT10" s="3"/>
      <c r="ADU10" s="10">
        <f>IF(ISNUMBER(ADS10), (ADI10+ADJ10)-ADS10, "")</f>
        <v>0.8</v>
      </c>
      <c r="ADV10" s="5">
        <v>0.38</v>
      </c>
      <c r="ADW10" s="10">
        <f t="shared" ref="ADW10:ADW12" si="693">IF(ISNUMBER(ADV10), ADV10-ADU10, "")</f>
        <v>-0.42000000000000004</v>
      </c>
      <c r="ADY10" s="24">
        <v>0</v>
      </c>
      <c r="ADZ10" s="6" t="s">
        <v>20</v>
      </c>
      <c r="AEA10" s="24">
        <v>0.3</v>
      </c>
      <c r="AEB10" s="6" t="s">
        <v>20</v>
      </c>
      <c r="AEC10" s="5">
        <f t="shared" ref="AEC10:AEC12" si="694">IF(OR(ISNUMBER(ADY10), ISNUMBER(AEA10)), IF(ISNUMBER(ADY10), ADY10, 0) + IF(ISNUMBER(AEA10), AEA10, 0), "")</f>
        <v>0.3</v>
      </c>
      <c r="AED10" s="3">
        <v>1</v>
      </c>
      <c r="AEE10" s="10">
        <f>IF(ISNUMBER(AEC10), (ADS10+ADT10)-AEC10, "")</f>
        <v>0.39999999999999997</v>
      </c>
      <c r="AEF10" s="5">
        <v>0.41</v>
      </c>
      <c r="AEG10" s="10">
        <f t="shared" ref="AEG10:AEG12" si="695">IF(ISNUMBER(AEF10), AEF10-AEE10, "")</f>
        <v>1.0000000000000009E-2</v>
      </c>
      <c r="AEI10" s="2">
        <v>0</v>
      </c>
      <c r="AEJ10" s="6" t="s">
        <v>20</v>
      </c>
      <c r="AEK10" s="2">
        <v>0.7</v>
      </c>
      <c r="AEL10" s="6" t="s">
        <v>20</v>
      </c>
      <c r="AEM10" s="5">
        <f t="shared" ref="AEM10:AEM12" si="696">IF(OR(ISNUMBER(AEI10), ISNUMBER(AEK10)), IF(ISNUMBER(AEI10), AEI10, 0) + IF(ISNUMBER(AEK10), AEK10, 0), "")</f>
        <v>0.7</v>
      </c>
      <c r="AEN10" s="3"/>
      <c r="AEO10" s="10">
        <f>IF(ISNUMBER(AEM10), (AEC10+AED10)-AEM10, "")</f>
        <v>0.60000000000000009</v>
      </c>
      <c r="AEP10" s="5">
        <v>0.57999999999999996</v>
      </c>
      <c r="AEQ10" s="10">
        <f t="shared" ref="AEQ10:AEQ12" si="697">IF(ISNUMBER(AEP10), AEP10-AEO10, "")</f>
        <v>-2.0000000000000129E-2</v>
      </c>
      <c r="AES10" s="24">
        <v>0</v>
      </c>
      <c r="AET10" s="6" t="s">
        <v>20</v>
      </c>
      <c r="AEU10" s="24">
        <v>0.1</v>
      </c>
      <c r="AEV10" s="6" t="s">
        <v>20</v>
      </c>
      <c r="AEW10" s="5">
        <f t="shared" ref="AEW10:AEW12" si="698">IF(OR(ISNUMBER(AES10), ISNUMBER(AEU10)), IF(ISNUMBER(AES10), AES10, 0) + IF(ISNUMBER(AEU10), AEU10, 0), "")</f>
        <v>0.1</v>
      </c>
      <c r="AEX10" s="3">
        <v>2</v>
      </c>
      <c r="AEY10" s="10">
        <f>IF(ISNUMBER(AEW10), (AEM10+AEN10)-AEW10, "")</f>
        <v>0.6</v>
      </c>
      <c r="AEZ10" s="5">
        <v>0.55000000000000004</v>
      </c>
      <c r="AFA10" s="10">
        <f t="shared" ref="AFA10:AFA12" si="699">IF(ISNUMBER(AEZ10), AEZ10-AEY10, "")</f>
        <v>-4.9999999999999933E-2</v>
      </c>
      <c r="AFC10" s="2">
        <v>1</v>
      </c>
      <c r="AFD10" s="6" t="s">
        <v>20</v>
      </c>
      <c r="AFE10" s="2">
        <v>0.6</v>
      </c>
      <c r="AFF10" s="6" t="s">
        <v>20</v>
      </c>
      <c r="AFG10" s="5">
        <f t="shared" ref="AFG10:AFG12" si="700">IF(OR(ISNUMBER(AFC10), ISNUMBER(AFE10)), IF(ISNUMBER(AFC10), AFC10, 0) + IF(ISNUMBER(AFE10), AFE10, 0), "")</f>
        <v>1.6</v>
      </c>
      <c r="AFH10" s="3"/>
      <c r="AFI10" s="10">
        <f>IF(ISNUMBER(AFG10), (AEW10+AEX10)-AFG10, "")</f>
        <v>0.5</v>
      </c>
      <c r="AFJ10" s="5">
        <v>0.24</v>
      </c>
      <c r="AFK10" s="10">
        <f t="shared" ref="AFK10:AFK12" si="701">IF(ISNUMBER(AFJ10), AFJ10-AFI10, "")</f>
        <v>-0.26</v>
      </c>
      <c r="AFM10" s="2">
        <v>1</v>
      </c>
      <c r="AFN10" s="6" t="s">
        <v>20</v>
      </c>
      <c r="AFO10" s="2">
        <v>0.5</v>
      </c>
      <c r="AFP10" s="6" t="s">
        <v>20</v>
      </c>
      <c r="AFQ10" s="5">
        <f t="shared" ref="AFQ10:AFQ12" si="702">IF(OR(ISNUMBER(AFM10), ISNUMBER(AFO10)), IF(ISNUMBER(AFM10), AFM10, 0) + IF(ISNUMBER(AFO10), AFO10, 0), "")</f>
        <v>1.5</v>
      </c>
      <c r="AFR10" s="3">
        <v>1</v>
      </c>
      <c r="AFS10" s="10">
        <f>IF(ISNUMBER(AFQ10), (AFG10+AFH10)-AFQ10, "")</f>
        <v>0.10000000000000009</v>
      </c>
      <c r="AFT10" s="5">
        <v>0.15</v>
      </c>
      <c r="AFU10" s="10">
        <f t="shared" ref="AFU10:AFU12" si="703">IF(ISNUMBER(AFT10), AFT10-AFS10, "")</f>
        <v>4.9999999999999906E-2</v>
      </c>
      <c r="AFW10" s="24">
        <v>2</v>
      </c>
      <c r="AFX10" s="6" t="s">
        <v>20</v>
      </c>
      <c r="AFY10" s="24">
        <v>0.1</v>
      </c>
      <c r="AFZ10" s="6" t="s">
        <v>20</v>
      </c>
      <c r="AGA10" s="5">
        <f t="shared" ref="AGA10:AGA12" si="704">IF(OR(ISNUMBER(AFW10), ISNUMBER(AFY10)), IF(ISNUMBER(AFW10), AFW10, 0) + IF(ISNUMBER(AFY10), AFY10, 0), "")</f>
        <v>2.1</v>
      </c>
      <c r="AGB10" s="3"/>
      <c r="AGC10" s="10">
        <f>IF(ISNUMBER(AGA10), (AFQ10+AFR10)-AGA10, "")</f>
        <v>0.39999999999999991</v>
      </c>
      <c r="AGD10" s="5">
        <v>0.38</v>
      </c>
      <c r="AGE10" s="10">
        <f t="shared" ref="AGE10:AGE12" si="705">IF(ISNUMBER(AGD10), AGD10-AGC10, "")</f>
        <v>-1.9999999999999907E-2</v>
      </c>
      <c r="AGG10" s="24">
        <v>1</v>
      </c>
      <c r="AGH10" s="6" t="s">
        <v>20</v>
      </c>
      <c r="AGI10" s="24">
        <v>0.9</v>
      </c>
      <c r="AGJ10" s="6" t="s">
        <v>20</v>
      </c>
      <c r="AGK10" s="5">
        <f t="shared" ref="AGK10:AGK12" si="706">IF(OR(ISNUMBER(AGG10), ISNUMBER(AGI10)), IF(ISNUMBER(AGG10), AGG10, 0) + IF(ISNUMBER(AGI10), AGI10, 0), "")</f>
        <v>1.9</v>
      </c>
      <c r="AGL10" s="3"/>
      <c r="AGM10" s="10">
        <f>IF(ISNUMBER(AGK10), (AGA10+AGB10)-AGK10, "")</f>
        <v>0.20000000000000018</v>
      </c>
      <c r="AGN10" s="5">
        <v>0.34</v>
      </c>
      <c r="AGO10" s="10">
        <f t="shared" ref="AGO10:AGO12" si="707">IF(ISNUMBER(AGN10), AGN10-AGM10, "")</f>
        <v>0.13999999999999985</v>
      </c>
      <c r="AGQ10" s="24">
        <v>1</v>
      </c>
      <c r="AGR10" s="6" t="s">
        <v>20</v>
      </c>
      <c r="AGS10" s="24">
        <v>0.1</v>
      </c>
      <c r="AGT10" s="6" t="s">
        <v>20</v>
      </c>
      <c r="AGU10" s="5">
        <f t="shared" ref="AGU10:AGU12" si="708">IF(OR(ISNUMBER(AGQ10), ISNUMBER(AGS10)), IF(ISNUMBER(AGQ10), AGQ10, 0) + IF(ISNUMBER(AGS10), AGS10, 0), "")</f>
        <v>1.1000000000000001</v>
      </c>
      <c r="AGV10" s="3"/>
      <c r="AGW10" s="10">
        <f>IF(ISNUMBER(AGU10), (AGK10+AGL10)-AGU10, "")</f>
        <v>0.79999999999999982</v>
      </c>
      <c r="AGX10" s="5">
        <v>0.46</v>
      </c>
      <c r="AGY10" s="10">
        <f t="shared" ref="AGY10:AGY12" si="709">IF(ISNUMBER(AGX10), AGX10-AGW10, "")</f>
        <v>-0.3399999999999998</v>
      </c>
      <c r="AHA10" s="24">
        <v>0</v>
      </c>
      <c r="AHB10" s="6" t="s">
        <v>20</v>
      </c>
      <c r="AHC10" s="24">
        <v>0.5</v>
      </c>
      <c r="AHD10" s="6" t="s">
        <v>20</v>
      </c>
      <c r="AHE10" s="5">
        <f t="shared" ref="AHE10:AHE12" si="710">IF(OR(ISNUMBER(AHA10), ISNUMBER(AHC10)), IF(ISNUMBER(AHA10), AHA10, 0) + IF(ISNUMBER(AHC10), AHC10, 0), "")</f>
        <v>0.5</v>
      </c>
      <c r="AHF10" s="3">
        <v>2</v>
      </c>
      <c r="AHG10" s="10">
        <f>IF(ISNUMBER(AHE10), (AGU10+AGV10)-AHE10, "")</f>
        <v>0.60000000000000009</v>
      </c>
      <c r="AHH10" s="5">
        <v>0.6</v>
      </c>
      <c r="AHI10" s="10">
        <f t="shared" ref="AHI10:AHI12" si="711">IF(ISNUMBER(AHH10), AHH10-AHG10, "")</f>
        <v>-1.1102230246251565E-16</v>
      </c>
      <c r="AHK10" s="2">
        <v>2</v>
      </c>
      <c r="AHL10" s="6" t="s">
        <v>20</v>
      </c>
      <c r="AHM10" s="2">
        <v>0.2</v>
      </c>
      <c r="AHN10" s="6" t="s">
        <v>20</v>
      </c>
      <c r="AHO10" s="5">
        <f t="shared" ref="AHO10:AHO12" si="712">IF(OR(ISNUMBER(AHK10), ISNUMBER(AHM10)), IF(ISNUMBER(AHK10), AHK10, 0) + IF(ISNUMBER(AHM10), AHM10, 0), "")</f>
        <v>2.2000000000000002</v>
      </c>
      <c r="AHP10" s="3"/>
      <c r="AHQ10" s="10">
        <f>IF(ISNUMBER(AHO10), (AHE10+AHF10)-AHO10, "")</f>
        <v>0.29999999999999982</v>
      </c>
      <c r="AHR10" s="5">
        <v>0.33</v>
      </c>
      <c r="AHS10" s="10">
        <f t="shared" ref="AHS10:AHS12" si="713">IF(ISNUMBER(AHR10), AHR10-AHQ10, "")</f>
        <v>3.0000000000000193E-2</v>
      </c>
      <c r="AHU10" s="2">
        <v>2</v>
      </c>
      <c r="AHV10" s="6" t="s">
        <v>20</v>
      </c>
      <c r="AHW10" s="2">
        <v>0.1</v>
      </c>
      <c r="AHX10" s="6" t="s">
        <v>20</v>
      </c>
      <c r="AHY10" s="5">
        <f t="shared" ref="AHY10:AHY12" si="714">IF(OR(ISNUMBER(AHU10), ISNUMBER(AHW10)), IF(ISNUMBER(AHU10), AHU10, 0) + IF(ISNUMBER(AHW10), AHW10, 0), "")</f>
        <v>2.1</v>
      </c>
      <c r="AHZ10" s="3"/>
      <c r="AIA10" s="10">
        <f>IF(ISNUMBER(AHY10), (AHO10+AHP10)-AHY10, "")</f>
        <v>0.10000000000000009</v>
      </c>
      <c r="AIB10" s="5">
        <v>0.21</v>
      </c>
      <c r="AIC10" s="10">
        <f t="shared" ref="AIC10:AIC12" si="715">IF(ISNUMBER(AIB10), AIB10-AIA10, "")</f>
        <v>0.1099999999999999</v>
      </c>
      <c r="AIE10" s="24">
        <v>1</v>
      </c>
      <c r="AIF10" s="6" t="s">
        <v>20</v>
      </c>
      <c r="AIG10" s="24">
        <v>1.1000000000000001</v>
      </c>
      <c r="AIH10" s="6" t="s">
        <v>20</v>
      </c>
      <c r="AII10" s="5">
        <f t="shared" ref="AII10:AII12" si="716">IF(OR(ISNUMBER(AIE10), ISNUMBER(AIG10)), IF(ISNUMBER(AIE10), AIE10, 0) + IF(ISNUMBER(AIG10), AIG10, 0), "")</f>
        <v>2.1</v>
      </c>
      <c r="AIJ10" s="3"/>
      <c r="AIK10" s="10">
        <f>IF(ISNUMBER(AII10), (AHY10+AHZ10)-AII10, "")</f>
        <v>0</v>
      </c>
      <c r="AIL10" s="5">
        <v>0.38</v>
      </c>
      <c r="AIM10" s="10">
        <f t="shared" ref="AIM10:AIM12" si="717">IF(ISNUMBER(AIL10), AIL10-AIK10, "")</f>
        <v>0.38</v>
      </c>
      <c r="AIO10" s="24">
        <v>1</v>
      </c>
      <c r="AIP10" s="6" t="s">
        <v>20</v>
      </c>
      <c r="AIQ10" s="24">
        <v>1.1000000000000001</v>
      </c>
      <c r="AIR10" s="6" t="s">
        <v>20</v>
      </c>
      <c r="AIS10" s="5">
        <f t="shared" ref="AIS10:AIS12" si="718">IF(OR(ISNUMBER(AIO10), ISNUMBER(AIQ10)), IF(ISNUMBER(AIO10), AIO10, 0) + IF(ISNUMBER(AIQ10), AIQ10, 0), "")</f>
        <v>2.1</v>
      </c>
      <c r="AIT10" s="3"/>
      <c r="AIU10" s="10">
        <f>IF(ISNUMBER(AIS10), (AII10+AIJ10)-AIS10, "")</f>
        <v>0</v>
      </c>
      <c r="AIV10" s="5">
        <v>0.17</v>
      </c>
      <c r="AIW10" s="10">
        <f t="shared" ref="AIW10:AIW12" si="719">IF(ISNUMBER(AIV10), AIV10-AIU10, "")</f>
        <v>0.17</v>
      </c>
      <c r="AIY10" s="24">
        <v>1</v>
      </c>
      <c r="AIZ10" s="6" t="s">
        <v>20</v>
      </c>
      <c r="AJA10" s="24">
        <v>0.5</v>
      </c>
      <c r="AJB10" s="6" t="s">
        <v>20</v>
      </c>
      <c r="AJC10" s="5">
        <f t="shared" ref="AJC10:AJC12" si="720">IF(OR(ISNUMBER(AIY10), ISNUMBER(AJA10)), IF(ISNUMBER(AIY10), AIY10, 0) + IF(ISNUMBER(AJA10), AJA10, 0), "")</f>
        <v>1.5</v>
      </c>
      <c r="AJD10" s="3"/>
      <c r="AJE10" s="10">
        <f>IF(ISNUMBER(AJC10), (AIS10+AIT10)-AJC10, "")</f>
        <v>0.60000000000000009</v>
      </c>
      <c r="AJF10" s="5">
        <v>0.24</v>
      </c>
      <c r="AJG10" s="10">
        <f t="shared" ref="AJG10:AJG12" si="721">IF(ISNUMBER(AJF10), AJF10-AJE10, "")</f>
        <v>-0.3600000000000001</v>
      </c>
      <c r="AJI10" s="2">
        <v>0</v>
      </c>
      <c r="AJJ10" s="6" t="s">
        <v>20</v>
      </c>
      <c r="AJK10" s="2">
        <v>0.9</v>
      </c>
      <c r="AJL10" s="6" t="s">
        <v>20</v>
      </c>
      <c r="AJM10" s="5">
        <f t="shared" ref="AJM10:AJM12" si="722">IF(OR(ISNUMBER(AJI10), ISNUMBER(AJK10)), IF(ISNUMBER(AJI10), AJI10, 0) + IF(ISNUMBER(AJK10), AJK10, 0), "")</f>
        <v>0.9</v>
      </c>
      <c r="AJN10" s="3">
        <v>1</v>
      </c>
      <c r="AJO10" s="10">
        <f>IF(ISNUMBER(AJM10), (AJC10+AJD10)-AJM10, "")</f>
        <v>0.6</v>
      </c>
      <c r="AJP10" s="5">
        <v>0.43</v>
      </c>
      <c r="AJQ10" s="10">
        <f t="shared" ref="AJQ10:AJQ12" si="723">IF(ISNUMBER(AJP10), AJP10-AJO10, "")</f>
        <v>-0.16999999999999998</v>
      </c>
      <c r="AJS10" s="24">
        <v>1</v>
      </c>
      <c r="AJT10" s="6" t="s">
        <v>20</v>
      </c>
      <c r="AJU10" s="24">
        <v>0.3</v>
      </c>
      <c r="AJV10" s="6" t="s">
        <v>20</v>
      </c>
      <c r="AJW10" s="5">
        <f t="shared" ref="AJW10:AJW12" si="724">IF(OR(ISNUMBER(AJS10), ISNUMBER(AJU10)), IF(ISNUMBER(AJS10), AJS10, 0) + IF(ISNUMBER(AJU10), AJU10, 0), "")</f>
        <v>1.3</v>
      </c>
      <c r="AJX10" s="3"/>
      <c r="AJY10" s="10">
        <f>IF(ISNUMBER(AJW10), (AJM10+AJN10)-AJW10, "")</f>
        <v>0.59999999999999987</v>
      </c>
      <c r="AJZ10" s="5">
        <v>0.31</v>
      </c>
      <c r="AKA10" s="10">
        <f t="shared" ref="AKA10:AKA12" si="725">IF(ISNUMBER(AJZ10), AJZ10-AJY10, "")</f>
        <v>-0.28999999999999987</v>
      </c>
      <c r="AKC10" s="2"/>
      <c r="AKD10" s="6" t="s">
        <v>20</v>
      </c>
      <c r="AKE10" s="2">
        <v>1</v>
      </c>
      <c r="AKF10" s="6" t="s">
        <v>20</v>
      </c>
      <c r="AKG10" s="5">
        <f t="shared" ref="AKG10:AKG12" si="726">IF(OR(ISNUMBER(AKC10), ISNUMBER(AKE10)), IF(ISNUMBER(AKC10), AKC10, 0) + IF(ISNUMBER(AKE10), AKE10, 0), "")</f>
        <v>1</v>
      </c>
      <c r="AKH10" s="3">
        <v>1</v>
      </c>
      <c r="AKI10" s="10">
        <f>IF(ISNUMBER(AKG10), (AJW10+AJX10)-AKG10, "")</f>
        <v>0.30000000000000004</v>
      </c>
      <c r="AKJ10" s="5">
        <v>0.19</v>
      </c>
      <c r="AKK10" s="10">
        <f t="shared" ref="AKK10:AKK12" si="727">IF(ISNUMBER(AKJ10), AKJ10-AKI10, "")</f>
        <v>-0.11000000000000004</v>
      </c>
      <c r="AKM10" s="24">
        <v>1</v>
      </c>
      <c r="AKN10" s="6" t="s">
        <v>20</v>
      </c>
      <c r="AKO10" s="24">
        <v>0.7</v>
      </c>
      <c r="AKP10" s="6" t="s">
        <v>20</v>
      </c>
      <c r="AKQ10" s="5">
        <f t="shared" ref="AKQ10:AKQ12" si="728">IF(OR(ISNUMBER(AKM10), ISNUMBER(AKO10)), IF(ISNUMBER(AKM10), AKM10, 0) + IF(ISNUMBER(AKO10), AKO10, 0), "")</f>
        <v>1.7</v>
      </c>
      <c r="AKR10" s="3"/>
      <c r="AKS10" s="10">
        <f>IF(ISNUMBER(AKQ10), (AKG10+AKH10)-AKQ10, "")</f>
        <v>0.30000000000000004</v>
      </c>
      <c r="AKT10" s="5">
        <v>0.17</v>
      </c>
      <c r="AKU10" s="10">
        <f t="shared" ref="AKU10:AKU12" si="729">IF(ISNUMBER(AKT10), AKT10-AKS10, "")</f>
        <v>-0.13000000000000003</v>
      </c>
      <c r="AKW10" s="2">
        <v>1</v>
      </c>
      <c r="AKX10" s="6" t="s">
        <v>20</v>
      </c>
      <c r="AKY10" s="2">
        <v>0.5</v>
      </c>
      <c r="AKZ10" s="6" t="s">
        <v>20</v>
      </c>
      <c r="ALA10" s="5">
        <f t="shared" ref="ALA10:ALA12" si="730">IF(OR(ISNUMBER(AKW10), ISNUMBER(AKY10)), IF(ISNUMBER(AKW10), AKW10, 0) + IF(ISNUMBER(AKY10), AKY10, 0), "")</f>
        <v>1.5</v>
      </c>
      <c r="ALB10" s="3"/>
      <c r="ALC10" s="10">
        <f>IF(ISNUMBER(ALA10), (AKQ10+AKR10)-ALA10, "")</f>
        <v>0.19999999999999996</v>
      </c>
      <c r="ALD10" s="5">
        <v>0.28999999999999998</v>
      </c>
      <c r="ALE10" s="10">
        <f t="shared" ref="ALE10:ALE12" si="731">IF(ISNUMBER(ALD10), ALD10-ALC10, "")</f>
        <v>9.0000000000000024E-2</v>
      </c>
      <c r="ALG10" s="2">
        <v>1</v>
      </c>
      <c r="ALH10" s="6" t="s">
        <v>20</v>
      </c>
      <c r="ALI10" s="2">
        <v>0.3</v>
      </c>
      <c r="ALJ10" s="6" t="s">
        <v>20</v>
      </c>
      <c r="ALK10" s="5">
        <f t="shared" ref="ALK10:ALK12" si="732">IF(OR(ISNUMBER(ALG10), ISNUMBER(ALI10)), IF(ISNUMBER(ALG10), ALG10, 0) + IF(ISNUMBER(ALI10), ALI10, 0), "")</f>
        <v>1.3</v>
      </c>
      <c r="ALL10" s="3"/>
      <c r="ALM10" s="10">
        <f>IF(ISNUMBER(ALK10), (ALA10+ALB10)-ALK10, "")</f>
        <v>0.19999999999999996</v>
      </c>
      <c r="ALN10" s="5">
        <v>0.1</v>
      </c>
      <c r="ALO10" s="10">
        <f t="shared" ref="ALO10:ALO12" si="733">IF(ISNUMBER(ALN10), ALN10-ALM10, "")</f>
        <v>-9.999999999999995E-2</v>
      </c>
      <c r="ALQ10" s="24">
        <v>1</v>
      </c>
      <c r="ALR10" s="6" t="s">
        <v>20</v>
      </c>
      <c r="ALS10" s="24">
        <v>0.1</v>
      </c>
      <c r="ALT10" s="6" t="s">
        <v>20</v>
      </c>
      <c r="ALU10" s="5">
        <f t="shared" ref="ALU10:ALU12" si="734">IF(OR(ISNUMBER(ALQ10), ISNUMBER(ALS10)), IF(ISNUMBER(ALQ10), ALQ10, 0) + IF(ISNUMBER(ALS10), ALS10, 0), "")</f>
        <v>1.1000000000000001</v>
      </c>
      <c r="ALV10" s="3"/>
      <c r="ALW10" s="10">
        <f>IF(ISNUMBER(ALU10), (ALK10+ALL10)-ALU10, "")</f>
        <v>0.19999999999999996</v>
      </c>
      <c r="ALX10" s="5">
        <v>0.22</v>
      </c>
      <c r="ALY10" s="10">
        <f t="shared" ref="ALY10:ALY12" si="735">IF(ISNUMBER(ALX10), ALX10-ALW10, "")</f>
        <v>2.0000000000000046E-2</v>
      </c>
      <c r="AMA10" s="24"/>
      <c r="AMB10" s="6" t="s">
        <v>20</v>
      </c>
      <c r="AMC10" s="24">
        <v>0.6</v>
      </c>
      <c r="AMD10" s="6" t="s">
        <v>20</v>
      </c>
      <c r="AME10" s="5">
        <f t="shared" ref="AME10:AME12" si="736">IF(OR(ISNUMBER(AMA10), ISNUMBER(AMC10)), IF(ISNUMBER(AMA10), AMA10, 0) + IF(ISNUMBER(AMC10), AMC10, 0), "")</f>
        <v>0.6</v>
      </c>
      <c r="AMF10" s="3"/>
      <c r="AMG10" s="10">
        <f>IF(ISNUMBER(AME10), (ALU10+ALV10)-AME10, "")</f>
        <v>0.50000000000000011</v>
      </c>
      <c r="AMH10" s="5">
        <v>0.26</v>
      </c>
      <c r="AMI10" s="10">
        <f t="shared" ref="AMI10:AMI12" si="737">IF(ISNUMBER(AMH10), AMH10-AMG10, "")</f>
        <v>-0.2400000000000001</v>
      </c>
      <c r="AMK10" s="24"/>
      <c r="AML10" s="6" t="s">
        <v>20</v>
      </c>
      <c r="AMM10" s="24">
        <v>0.3</v>
      </c>
      <c r="AMN10" s="6" t="s">
        <v>20</v>
      </c>
      <c r="AMO10" s="5">
        <f t="shared" ref="AMO10:AMO12" si="738">IF(OR(ISNUMBER(AMK10), ISNUMBER(AMM10)), IF(ISNUMBER(AMK10), AMK10, 0) + IF(ISNUMBER(AMM10), AMM10, 0), "")</f>
        <v>0.3</v>
      </c>
      <c r="AMP10" s="3">
        <v>1</v>
      </c>
      <c r="AMQ10" s="10">
        <f>IF(ISNUMBER(AMO10), (AME10+AMF10)-AMO10, "")</f>
        <v>0.3</v>
      </c>
      <c r="AMR10" s="5">
        <v>0.31</v>
      </c>
      <c r="AMS10" s="10">
        <f t="shared" ref="AMS10:AMS12" si="739">IF(ISNUMBER(AMR10), AMR10-AMQ10, "")</f>
        <v>1.0000000000000009E-2</v>
      </c>
      <c r="AMU10" s="2">
        <v>1</v>
      </c>
      <c r="AMV10" s="6" t="s">
        <v>20</v>
      </c>
      <c r="AMW10" s="2">
        <v>0.1</v>
      </c>
      <c r="AMX10" s="6" t="s">
        <v>20</v>
      </c>
      <c r="AMY10" s="5">
        <f t="shared" ref="AMY10:AMY12" si="740">IF(OR(ISNUMBER(AMU10), ISNUMBER(AMW10)), IF(ISNUMBER(AMU10), AMU10, 0) + IF(ISNUMBER(AMW10), AMW10, 0), "")</f>
        <v>1.1000000000000001</v>
      </c>
      <c r="AMZ10" s="3"/>
      <c r="ANA10" s="10">
        <f>IF(ISNUMBER(AMY10), (AMO10+AMP10)-AMY10, "")</f>
        <v>0.19999999999999996</v>
      </c>
      <c r="ANB10" s="5">
        <v>0.26</v>
      </c>
      <c r="ANC10" s="10">
        <f t="shared" ref="ANC10:ANC12" si="741">IF(ISNUMBER(ANB10), ANB10-ANA10, "")</f>
        <v>6.0000000000000053E-2</v>
      </c>
      <c r="ANE10" s="2"/>
      <c r="ANF10" s="6" t="s">
        <v>20</v>
      </c>
      <c r="ANG10" s="2">
        <v>0.9</v>
      </c>
      <c r="ANH10" s="6" t="s">
        <v>20</v>
      </c>
      <c r="ANI10" s="5">
        <f t="shared" ref="ANI10:ANI12" si="742">IF(OR(ISNUMBER(ANE10), ISNUMBER(ANG10)), IF(ISNUMBER(ANE10), ANE10, 0) + IF(ISNUMBER(ANG10), ANG10, 0), "")</f>
        <v>0.9</v>
      </c>
      <c r="ANJ10" s="3">
        <v>1</v>
      </c>
      <c r="ANK10" s="10">
        <f>IF(ISNUMBER(ANI10), (AMY10+AMZ10)-ANI10, "")</f>
        <v>0.20000000000000007</v>
      </c>
      <c r="ANL10" s="5">
        <v>0.22</v>
      </c>
      <c r="ANM10" s="10">
        <f t="shared" ref="ANM10:ANM12" si="743">IF(ISNUMBER(ANL10), ANL10-ANK10, "")</f>
        <v>1.9999999999999934E-2</v>
      </c>
      <c r="ANO10" s="24">
        <v>1</v>
      </c>
      <c r="ANP10" s="6" t="s">
        <v>20</v>
      </c>
      <c r="ANQ10" s="24">
        <v>0.5</v>
      </c>
      <c r="ANR10" s="6" t="s">
        <v>20</v>
      </c>
      <c r="ANS10" s="5">
        <f t="shared" ref="ANS10:ANS12" si="744">IF(OR(ISNUMBER(ANO10), ISNUMBER(ANQ10)), IF(ISNUMBER(ANO10), ANO10, 0) + IF(ISNUMBER(ANQ10), ANQ10, 0), "")</f>
        <v>1.5</v>
      </c>
      <c r="ANT10" s="3"/>
      <c r="ANU10" s="10">
        <f>IF(ISNUMBER(ANS10), (ANI10+ANJ10)-ANS10, "")</f>
        <v>0.39999999999999991</v>
      </c>
      <c r="ANV10" s="5">
        <v>0.17</v>
      </c>
      <c r="ANW10" s="10">
        <f t="shared" ref="ANW10:ANW12" si="745">IF(ISNUMBER(ANV10), ANV10-ANU10, "")</f>
        <v>-0.2299999999999999</v>
      </c>
      <c r="ANY10" s="24">
        <v>1</v>
      </c>
      <c r="ANZ10" s="6" t="s">
        <v>20</v>
      </c>
      <c r="AOA10" s="24">
        <v>0.3</v>
      </c>
      <c r="AOB10" s="6" t="s">
        <v>20</v>
      </c>
      <c r="AOC10" s="5">
        <f t="shared" ref="AOC10:AOC12" si="746">IF(OR(ISNUMBER(ANY10), ISNUMBER(AOA10)), IF(ISNUMBER(ANY10), ANY10, 0) + IF(ISNUMBER(AOA10), AOA10, 0), "")</f>
        <v>1.3</v>
      </c>
      <c r="AOD10" s="3"/>
      <c r="AOE10" s="10">
        <f>IF(ISNUMBER(AOC10), (ANS10+ANT10)-AOC10, "")</f>
        <v>0.19999999999999996</v>
      </c>
      <c r="AOF10" s="5">
        <v>0.19</v>
      </c>
      <c r="AOG10" s="10">
        <f t="shared" ref="AOG10:AOG12" si="747">IF(ISNUMBER(AOF10), AOF10-AOE10, "")</f>
        <v>-9.9999999999999534E-3</v>
      </c>
      <c r="AOI10" s="24">
        <v>1</v>
      </c>
      <c r="AOJ10" s="6" t="s">
        <v>20</v>
      </c>
      <c r="AOK10" s="24">
        <v>0.1</v>
      </c>
      <c r="AOL10" s="6" t="s">
        <v>20</v>
      </c>
      <c r="AOM10" s="5">
        <f t="shared" ref="AOM10:AOM12" si="748">IF(OR(ISNUMBER(AOI10), ISNUMBER(AOK10)), IF(ISNUMBER(AOI10), AOI10, 0) + IF(ISNUMBER(AOK10), AOK10, 0), "")</f>
        <v>1.1000000000000001</v>
      </c>
      <c r="AON10" s="3"/>
      <c r="AOO10" s="10">
        <f>IF(ISNUMBER(AOM10), (AOC10+AOD10)-AOM10, "")</f>
        <v>0.19999999999999996</v>
      </c>
      <c r="AOP10" s="5">
        <v>0.26</v>
      </c>
      <c r="AOQ10" s="10">
        <f t="shared" ref="AOQ10:AOQ12" si="749">IF(ISNUMBER(AOP10), AOP10-AOO10, "")</f>
        <v>6.0000000000000053E-2</v>
      </c>
      <c r="AOS10" s="24"/>
      <c r="AOT10" s="6" t="s">
        <v>20</v>
      </c>
      <c r="AOU10" s="24">
        <v>0.7</v>
      </c>
      <c r="AOV10" s="6" t="s">
        <v>20</v>
      </c>
      <c r="AOW10" s="5">
        <f t="shared" ref="AOW10:AOW12" si="750">IF(OR(ISNUMBER(AOS10), ISNUMBER(AOU10)), IF(ISNUMBER(AOS10), AOS10, 0) + IF(ISNUMBER(AOU10), AOU10, 0), "")</f>
        <v>0.7</v>
      </c>
      <c r="AOX10" s="3">
        <v>1</v>
      </c>
      <c r="AOY10" s="10">
        <f>IF(ISNUMBER(AOW10), (AOM10+AON10)-AOW10, "")</f>
        <v>0.40000000000000013</v>
      </c>
      <c r="AOZ10" s="5">
        <v>0.31</v>
      </c>
      <c r="APA10" s="10">
        <f t="shared" ref="APA10:APA12" si="751">IF(ISNUMBER(AOZ10), AOZ10-AOY10, "")</f>
        <v>-9.0000000000000135E-2</v>
      </c>
      <c r="APC10" s="24">
        <v>1</v>
      </c>
      <c r="APD10" s="6" t="s">
        <v>20</v>
      </c>
      <c r="APE10" s="24">
        <v>0.5</v>
      </c>
      <c r="APF10" s="6" t="s">
        <v>20</v>
      </c>
      <c r="APG10" s="5">
        <f t="shared" ref="APG10:APG12" si="752">IF(OR(ISNUMBER(APC10), ISNUMBER(APE10)), IF(ISNUMBER(APC10), APC10, 0) + IF(ISNUMBER(APE10), APE10, 0), "")</f>
        <v>1.5</v>
      </c>
      <c r="APH10" s="3"/>
      <c r="API10" s="10">
        <f>IF(ISNUMBER(APG10), (AOW10+AOX10)-APG10, "")</f>
        <v>0.19999999999999996</v>
      </c>
      <c r="APJ10" s="5">
        <v>0.24</v>
      </c>
      <c r="APK10" s="10">
        <f t="shared" ref="APK10:APK12" si="753">IF(ISNUMBER(APJ10), APJ10-API10, "")</f>
        <v>4.0000000000000036E-2</v>
      </c>
      <c r="APM10" s="24">
        <v>1</v>
      </c>
      <c r="APN10" s="6" t="s">
        <v>20</v>
      </c>
      <c r="APO10" s="24">
        <v>0.3</v>
      </c>
      <c r="APP10" s="6" t="s">
        <v>20</v>
      </c>
      <c r="APQ10" s="5">
        <f t="shared" ref="APQ10:APQ12" si="754">IF(OR(ISNUMBER(APM10), ISNUMBER(APO10)), IF(ISNUMBER(APM10), APM10, 0) + IF(ISNUMBER(APO10), APO10, 0), "")</f>
        <v>1.3</v>
      </c>
      <c r="APR10" s="3"/>
      <c r="APS10" s="10">
        <f>IF(ISNUMBER(APQ10), (APG10+APH10)-APQ10, "")</f>
        <v>0.19999999999999996</v>
      </c>
      <c r="APT10" s="5">
        <v>0.21</v>
      </c>
      <c r="APU10" s="10">
        <f t="shared" ref="APU10:APU12" si="755">IF(ISNUMBER(APT10), APT10-APS10, "")</f>
        <v>1.0000000000000037E-2</v>
      </c>
      <c r="APW10" s="2"/>
      <c r="APX10" s="6" t="s">
        <v>20</v>
      </c>
      <c r="APY10" s="2"/>
      <c r="APZ10" s="6" t="s">
        <v>20</v>
      </c>
      <c r="AQA10" s="5" t="str">
        <f t="shared" ref="AQA10:AQA12" si="756">IF(OR(ISNUMBER(APW10), ISNUMBER(APY10)), IF(ISNUMBER(APW10), APW10, 0) + IF(ISNUMBER(APY10), APY10, 0), "")</f>
        <v/>
      </c>
      <c r="AQB10" s="3"/>
      <c r="AQC10" s="10" t="str">
        <f>IF(ISNUMBER(AQA10), (APQ10+APR10)-AQA10, "")</f>
        <v/>
      </c>
      <c r="AQD10" s="5"/>
      <c r="AQE10" s="10" t="str">
        <f t="shared" ref="AQE10:AQE12" si="757">IF(ISNUMBER(AQD10), AQD10-AQC10, "")</f>
        <v/>
      </c>
    </row>
    <row r="11" spans="1:1123" ht="12.75" customHeight="1" x14ac:dyDescent="0.2">
      <c r="A11" s="22" t="s">
        <v>28</v>
      </c>
      <c r="B11" s="14">
        <v>0.25</v>
      </c>
      <c r="C11" s="23">
        <v>0.5</v>
      </c>
      <c r="E11" s="24"/>
      <c r="F11" s="6" t="s">
        <v>20</v>
      </c>
      <c r="G11" s="24">
        <v>1.7</v>
      </c>
      <c r="H11" s="6" t="s">
        <v>20</v>
      </c>
      <c r="I11" s="5">
        <f t="shared" si="463"/>
        <v>1.7</v>
      </c>
      <c r="J11" s="3"/>
      <c r="K11" s="10"/>
      <c r="L11" s="5"/>
      <c r="M11" s="10" t="str">
        <f t="shared" si="464"/>
        <v/>
      </c>
      <c r="O11" s="24"/>
      <c r="P11" s="6" t="s">
        <v>20</v>
      </c>
      <c r="Q11" s="24">
        <v>0.7</v>
      </c>
      <c r="R11" s="6" t="s">
        <v>20</v>
      </c>
      <c r="S11" s="5">
        <f t="shared" si="465"/>
        <v>0.7</v>
      </c>
      <c r="T11" s="3"/>
      <c r="U11" s="7">
        <f t="shared" si="466"/>
        <v>1</v>
      </c>
      <c r="V11" s="5">
        <v>0.27</v>
      </c>
      <c r="W11" s="7">
        <f t="shared" si="467"/>
        <v>-0.73</v>
      </c>
      <c r="Y11" s="24">
        <v>0</v>
      </c>
      <c r="Z11" s="6" t="s">
        <v>20</v>
      </c>
      <c r="AA11" s="24">
        <v>0.7</v>
      </c>
      <c r="AB11" s="6" t="s">
        <v>20</v>
      </c>
      <c r="AC11" s="5">
        <f t="shared" si="468"/>
        <v>0.7</v>
      </c>
      <c r="AD11" s="3"/>
      <c r="AE11" s="10">
        <f t="shared" si="469"/>
        <v>0</v>
      </c>
      <c r="AF11" s="5">
        <v>7.0000000000000007E-2</v>
      </c>
      <c r="AG11" s="10">
        <f t="shared" si="470"/>
        <v>7.0000000000000007E-2</v>
      </c>
      <c r="AI11" s="24">
        <v>0</v>
      </c>
      <c r="AJ11" s="6" t="s">
        <v>20</v>
      </c>
      <c r="AK11" s="24">
        <v>0.5</v>
      </c>
      <c r="AL11" s="6" t="s">
        <v>20</v>
      </c>
      <c r="AM11" s="5">
        <f t="shared" si="471"/>
        <v>0.5</v>
      </c>
      <c r="AN11" s="3">
        <v>1</v>
      </c>
      <c r="AO11" s="10">
        <f t="shared" si="472"/>
        <v>0.19999999999999996</v>
      </c>
      <c r="AP11" s="5">
        <v>0.14000000000000001</v>
      </c>
      <c r="AQ11" s="10">
        <f t="shared" si="473"/>
        <v>-5.9999999999999942E-2</v>
      </c>
      <c r="AS11" s="24">
        <v>1</v>
      </c>
      <c r="AT11" s="6" t="s">
        <v>20</v>
      </c>
      <c r="AU11" s="24">
        <v>0.3</v>
      </c>
      <c r="AV11" s="6" t="s">
        <v>20</v>
      </c>
      <c r="AW11" s="5">
        <f t="shared" si="474"/>
        <v>1.3</v>
      </c>
      <c r="AX11" s="3"/>
      <c r="AY11" s="10">
        <f t="shared" si="475"/>
        <v>0.19999999999999996</v>
      </c>
      <c r="AZ11" s="5">
        <v>0.19</v>
      </c>
      <c r="BA11" s="10">
        <f t="shared" si="476"/>
        <v>-9.9999999999999534E-3</v>
      </c>
      <c r="BC11" s="2">
        <v>1</v>
      </c>
      <c r="BD11" s="6" t="s">
        <v>20</v>
      </c>
      <c r="BE11" s="2">
        <v>0</v>
      </c>
      <c r="BF11" s="6" t="s">
        <v>20</v>
      </c>
      <c r="BG11" s="5">
        <f t="shared" si="477"/>
        <v>1</v>
      </c>
      <c r="BH11" s="3"/>
      <c r="BI11" s="10">
        <f t="shared" si="478"/>
        <v>0.30000000000000004</v>
      </c>
      <c r="BJ11" s="5">
        <v>0.26</v>
      </c>
      <c r="BK11" s="10">
        <f t="shared" si="479"/>
        <v>-4.0000000000000036E-2</v>
      </c>
      <c r="BM11" s="2">
        <v>0</v>
      </c>
      <c r="BN11" s="6" t="s">
        <v>20</v>
      </c>
      <c r="BO11" s="2">
        <v>0.7</v>
      </c>
      <c r="BP11" s="6" t="s">
        <v>20</v>
      </c>
      <c r="BQ11" s="5">
        <f t="shared" si="480"/>
        <v>0.7</v>
      </c>
      <c r="BR11" s="3">
        <v>1</v>
      </c>
      <c r="BS11" s="10">
        <f t="shared" si="481"/>
        <v>0.30000000000000004</v>
      </c>
      <c r="BT11" s="5">
        <v>0.1</v>
      </c>
      <c r="BU11" s="10">
        <f t="shared" si="482"/>
        <v>-0.20000000000000004</v>
      </c>
      <c r="BW11" s="24">
        <v>1</v>
      </c>
      <c r="BX11" s="6" t="s">
        <v>20</v>
      </c>
      <c r="BY11" s="24">
        <v>0.3</v>
      </c>
      <c r="BZ11" s="6" t="s">
        <v>20</v>
      </c>
      <c r="CA11" s="5">
        <f t="shared" si="483"/>
        <v>1.3</v>
      </c>
      <c r="CB11" s="3"/>
      <c r="CC11" s="10">
        <f t="shared" si="484"/>
        <v>0.39999999999999991</v>
      </c>
      <c r="CD11" s="5">
        <v>0.22</v>
      </c>
      <c r="CE11" s="10">
        <f t="shared" si="485"/>
        <v>-0.17999999999999991</v>
      </c>
      <c r="CG11" s="24">
        <v>1</v>
      </c>
      <c r="CH11" s="6" t="s">
        <v>20</v>
      </c>
      <c r="CI11" s="24">
        <v>0.3</v>
      </c>
      <c r="CJ11" s="6" t="s">
        <v>20</v>
      </c>
      <c r="CK11" s="5">
        <f t="shared" si="486"/>
        <v>1.3</v>
      </c>
      <c r="CL11" s="3"/>
      <c r="CM11" s="10">
        <f t="shared" si="487"/>
        <v>0</v>
      </c>
      <c r="CN11" s="5">
        <v>0.03</v>
      </c>
      <c r="CO11" s="10">
        <f t="shared" si="488"/>
        <v>0.03</v>
      </c>
      <c r="CQ11" s="24">
        <v>1</v>
      </c>
      <c r="CR11" s="6" t="s">
        <v>20</v>
      </c>
      <c r="CS11" s="24">
        <v>0.3</v>
      </c>
      <c r="CT11" s="6" t="s">
        <v>20</v>
      </c>
      <c r="CU11" s="5">
        <f t="shared" si="489"/>
        <v>1.3</v>
      </c>
      <c r="CV11" s="3"/>
      <c r="CW11" s="10">
        <f t="shared" si="490"/>
        <v>0</v>
      </c>
      <c r="CX11" s="5">
        <v>0.1</v>
      </c>
      <c r="CY11" s="10">
        <f t="shared" si="491"/>
        <v>0.1</v>
      </c>
      <c r="DA11" s="24">
        <v>1</v>
      </c>
      <c r="DB11" s="6" t="s">
        <v>20</v>
      </c>
      <c r="DC11" s="24">
        <v>0.3</v>
      </c>
      <c r="DD11" s="6" t="s">
        <v>20</v>
      </c>
      <c r="DE11" s="5">
        <f t="shared" si="492"/>
        <v>1.3</v>
      </c>
      <c r="DF11" s="3"/>
      <c r="DG11" s="10">
        <f t="shared" si="493"/>
        <v>0</v>
      </c>
      <c r="DH11" s="5">
        <v>0.09</v>
      </c>
      <c r="DI11" s="10">
        <f t="shared" si="494"/>
        <v>0.09</v>
      </c>
      <c r="DK11" s="24">
        <v>1</v>
      </c>
      <c r="DL11" s="6" t="s">
        <v>20</v>
      </c>
      <c r="DM11" s="24">
        <v>0.3</v>
      </c>
      <c r="DN11" s="6" t="s">
        <v>20</v>
      </c>
      <c r="DO11" s="5">
        <f t="shared" si="495"/>
        <v>1.3</v>
      </c>
      <c r="DP11" s="3"/>
      <c r="DQ11" s="10">
        <f t="shared" si="496"/>
        <v>0</v>
      </c>
      <c r="DR11" s="5">
        <v>0.1</v>
      </c>
      <c r="DS11" s="10">
        <f t="shared" si="497"/>
        <v>0.1</v>
      </c>
      <c r="DU11" s="24">
        <v>0</v>
      </c>
      <c r="DV11" s="6" t="s">
        <v>20</v>
      </c>
      <c r="DW11" s="24">
        <v>0.7</v>
      </c>
      <c r="DX11" s="6" t="s">
        <v>20</v>
      </c>
      <c r="DY11" s="5">
        <f t="shared" si="498"/>
        <v>0.7</v>
      </c>
      <c r="DZ11" s="3">
        <v>1</v>
      </c>
      <c r="EA11" s="10">
        <f t="shared" si="499"/>
        <v>0.60000000000000009</v>
      </c>
      <c r="EB11" s="5">
        <v>0.24</v>
      </c>
      <c r="EC11" s="10">
        <f t="shared" si="500"/>
        <v>-0.3600000000000001</v>
      </c>
      <c r="EE11" s="24">
        <v>1</v>
      </c>
      <c r="EF11" s="6" t="s">
        <v>20</v>
      </c>
      <c r="EG11" s="24">
        <v>0.5</v>
      </c>
      <c r="EH11" s="6" t="s">
        <v>20</v>
      </c>
      <c r="EI11" s="5">
        <f t="shared" si="501"/>
        <v>1.5</v>
      </c>
      <c r="EJ11" s="3"/>
      <c r="EK11" s="10">
        <f t="shared" si="502"/>
        <v>0.19999999999999996</v>
      </c>
      <c r="EL11" s="5">
        <v>0.05</v>
      </c>
      <c r="EM11" s="10">
        <f t="shared" si="503"/>
        <v>-0.14999999999999997</v>
      </c>
      <c r="EO11" s="24">
        <v>1</v>
      </c>
      <c r="EP11" s="6" t="s">
        <v>20</v>
      </c>
      <c r="EQ11" s="24">
        <v>0.2</v>
      </c>
      <c r="ER11" s="6" t="s">
        <v>20</v>
      </c>
      <c r="ES11" s="5">
        <f t="shared" si="504"/>
        <v>1.2</v>
      </c>
      <c r="ET11" s="3"/>
      <c r="EU11" s="10">
        <f t="shared" si="505"/>
        <v>0.30000000000000004</v>
      </c>
      <c r="EV11" s="5">
        <v>0.03</v>
      </c>
      <c r="EW11" s="10">
        <f t="shared" si="506"/>
        <v>-0.27</v>
      </c>
      <c r="EY11" s="24">
        <v>1</v>
      </c>
      <c r="EZ11" s="6" t="s">
        <v>20</v>
      </c>
      <c r="FA11" s="24">
        <v>0.1</v>
      </c>
      <c r="FB11" s="6" t="s">
        <v>20</v>
      </c>
      <c r="FC11" s="5">
        <f t="shared" si="507"/>
        <v>1.1000000000000001</v>
      </c>
      <c r="FD11" s="3"/>
      <c r="FE11" s="10">
        <f t="shared" si="508"/>
        <v>9.9999999999999867E-2</v>
      </c>
      <c r="FF11" s="5">
        <v>0.17</v>
      </c>
      <c r="FG11" s="10">
        <f t="shared" si="509"/>
        <v>7.0000000000000145E-2</v>
      </c>
      <c r="FI11" s="24">
        <v>0</v>
      </c>
      <c r="FJ11" s="6" t="s">
        <v>20</v>
      </c>
      <c r="FK11" s="24">
        <v>0.7</v>
      </c>
      <c r="FL11" s="6" t="s">
        <v>20</v>
      </c>
      <c r="FM11" s="5">
        <f t="shared" si="510"/>
        <v>0.7</v>
      </c>
      <c r="FN11" s="3"/>
      <c r="FO11" s="10">
        <f t="shared" si="511"/>
        <v>0.40000000000000013</v>
      </c>
      <c r="FP11" s="5">
        <v>0.39</v>
      </c>
      <c r="FQ11" s="10">
        <f t="shared" si="512"/>
        <v>-1.000000000000012E-2</v>
      </c>
      <c r="FS11" s="24">
        <v>0</v>
      </c>
      <c r="FT11" s="6" t="s">
        <v>20</v>
      </c>
      <c r="FU11" s="24">
        <v>0.5</v>
      </c>
      <c r="FV11" s="6" t="s">
        <v>20</v>
      </c>
      <c r="FW11" s="5">
        <f t="shared" si="513"/>
        <v>0.5</v>
      </c>
      <c r="FX11" s="3">
        <v>1</v>
      </c>
      <c r="FY11" s="10">
        <f t="shared" si="514"/>
        <v>0.19999999999999996</v>
      </c>
      <c r="FZ11" s="5">
        <v>0.1</v>
      </c>
      <c r="GA11" s="10">
        <f t="shared" si="515"/>
        <v>-9.999999999999995E-2</v>
      </c>
      <c r="GC11" s="24">
        <v>1</v>
      </c>
      <c r="GD11" s="6" t="s">
        <v>20</v>
      </c>
      <c r="GE11" s="24">
        <v>0.3</v>
      </c>
      <c r="GF11" s="6" t="s">
        <v>20</v>
      </c>
      <c r="GG11" s="5">
        <f t="shared" si="516"/>
        <v>1.3</v>
      </c>
      <c r="GH11" s="3"/>
      <c r="GI11" s="10">
        <f t="shared" si="517"/>
        <v>0.19999999999999996</v>
      </c>
      <c r="GJ11" s="5">
        <v>0.21</v>
      </c>
      <c r="GK11" s="10">
        <f t="shared" si="518"/>
        <v>1.0000000000000037E-2</v>
      </c>
      <c r="GM11" s="24">
        <v>0</v>
      </c>
      <c r="GN11" s="6" t="s">
        <v>20</v>
      </c>
      <c r="GO11" s="24">
        <v>1</v>
      </c>
      <c r="GP11" s="6" t="s">
        <v>20</v>
      </c>
      <c r="GQ11" s="5">
        <f t="shared" si="519"/>
        <v>1</v>
      </c>
      <c r="GR11" s="3"/>
      <c r="GS11" s="10">
        <f t="shared" si="520"/>
        <v>0.30000000000000004</v>
      </c>
      <c r="GT11" s="5">
        <v>0.09</v>
      </c>
      <c r="GU11" s="10">
        <f t="shared" si="521"/>
        <v>-0.21000000000000005</v>
      </c>
      <c r="GW11" s="24">
        <v>0</v>
      </c>
      <c r="GX11" s="6" t="s">
        <v>20</v>
      </c>
      <c r="GY11" s="24">
        <v>0.7</v>
      </c>
      <c r="GZ11" s="6" t="s">
        <v>20</v>
      </c>
      <c r="HA11" s="5">
        <f t="shared" si="522"/>
        <v>0.7</v>
      </c>
      <c r="HB11" s="3"/>
      <c r="HC11" s="10">
        <f t="shared" si="523"/>
        <v>0.30000000000000004</v>
      </c>
      <c r="HD11" s="5">
        <v>0.65</v>
      </c>
      <c r="HE11" s="10">
        <f t="shared" si="524"/>
        <v>0.35</v>
      </c>
      <c r="HG11" s="24">
        <v>0</v>
      </c>
      <c r="HH11" s="6" t="s">
        <v>20</v>
      </c>
      <c r="HI11" s="24">
        <v>0</v>
      </c>
      <c r="HJ11" s="6" t="s">
        <v>20</v>
      </c>
      <c r="HK11" s="5">
        <f t="shared" si="525"/>
        <v>0</v>
      </c>
      <c r="HL11" s="3"/>
      <c r="HM11" s="10">
        <f t="shared" si="526"/>
        <v>0.7</v>
      </c>
      <c r="HN11" s="5">
        <v>0.12</v>
      </c>
      <c r="HO11" s="10">
        <f t="shared" si="527"/>
        <v>-0.57999999999999996</v>
      </c>
      <c r="HQ11" s="24">
        <v>0</v>
      </c>
      <c r="HR11" s="6" t="s">
        <v>20</v>
      </c>
      <c r="HS11" s="24">
        <v>0</v>
      </c>
      <c r="HT11" s="6" t="s">
        <v>20</v>
      </c>
      <c r="HU11" s="5">
        <f t="shared" si="528"/>
        <v>0</v>
      </c>
      <c r="HV11" s="3">
        <v>1</v>
      </c>
      <c r="HW11" s="10">
        <f t="shared" si="529"/>
        <v>0</v>
      </c>
      <c r="HX11" s="5">
        <v>0.14000000000000001</v>
      </c>
      <c r="HY11" s="10">
        <f t="shared" si="530"/>
        <v>0.14000000000000001</v>
      </c>
      <c r="IA11" s="24">
        <v>0</v>
      </c>
      <c r="IB11" s="6" t="s">
        <v>20</v>
      </c>
      <c r="IC11" s="24">
        <v>0.9</v>
      </c>
      <c r="ID11" s="6" t="s">
        <v>20</v>
      </c>
      <c r="IE11" s="5">
        <f t="shared" si="531"/>
        <v>0.9</v>
      </c>
      <c r="IF11" s="3"/>
      <c r="IG11" s="10">
        <f t="shared" si="532"/>
        <v>9.9999999999999978E-2</v>
      </c>
      <c r="IH11" s="5">
        <v>0.14000000000000001</v>
      </c>
      <c r="II11" s="10">
        <f t="shared" si="533"/>
        <v>4.0000000000000036E-2</v>
      </c>
      <c r="IK11" s="24">
        <v>0</v>
      </c>
      <c r="IL11" s="6" t="s">
        <v>20</v>
      </c>
      <c r="IM11" s="24">
        <v>0.5</v>
      </c>
      <c r="IN11" s="6" t="s">
        <v>20</v>
      </c>
      <c r="IO11" s="5">
        <f t="shared" si="534"/>
        <v>0.5</v>
      </c>
      <c r="IP11" s="3">
        <v>1</v>
      </c>
      <c r="IQ11" s="10">
        <f t="shared" si="535"/>
        <v>0.4</v>
      </c>
      <c r="IR11" s="5">
        <v>0.1</v>
      </c>
      <c r="IS11" s="10">
        <f t="shared" si="536"/>
        <v>-0.30000000000000004</v>
      </c>
      <c r="IU11" s="24">
        <v>1</v>
      </c>
      <c r="IV11" s="6" t="s">
        <v>20</v>
      </c>
      <c r="IW11" s="24">
        <v>0</v>
      </c>
      <c r="IX11" s="6" t="s">
        <v>20</v>
      </c>
      <c r="IY11" s="5">
        <f t="shared" si="537"/>
        <v>1</v>
      </c>
      <c r="IZ11" s="3"/>
      <c r="JA11" s="10">
        <f t="shared" si="538"/>
        <v>0.5</v>
      </c>
      <c r="JB11" s="5">
        <v>0.33</v>
      </c>
      <c r="JC11" s="10">
        <f t="shared" si="539"/>
        <v>-0.16999999999999998</v>
      </c>
      <c r="JE11" s="24">
        <v>0</v>
      </c>
      <c r="JF11" s="6" t="s">
        <v>20</v>
      </c>
      <c r="JG11" s="24">
        <v>0.9</v>
      </c>
      <c r="JH11" s="6" t="s">
        <v>20</v>
      </c>
      <c r="JI11" s="5">
        <f t="shared" si="540"/>
        <v>0.9</v>
      </c>
      <c r="JJ11" s="3"/>
      <c r="JK11" s="10">
        <f t="shared" si="541"/>
        <v>9.9999999999999978E-2</v>
      </c>
      <c r="JL11" s="5">
        <v>0.12</v>
      </c>
      <c r="JM11" s="10">
        <f t="shared" si="542"/>
        <v>2.0000000000000018E-2</v>
      </c>
      <c r="JO11" s="24">
        <v>0</v>
      </c>
      <c r="JP11" s="6" t="s">
        <v>20</v>
      </c>
      <c r="JQ11" s="24">
        <v>0.3</v>
      </c>
      <c r="JR11" s="6" t="s">
        <v>20</v>
      </c>
      <c r="JS11" s="5">
        <f t="shared" si="543"/>
        <v>0.3</v>
      </c>
      <c r="JT11" s="3"/>
      <c r="JU11" s="10">
        <f t="shared" si="544"/>
        <v>0.60000000000000009</v>
      </c>
      <c r="JV11" s="5">
        <v>0.1</v>
      </c>
      <c r="JW11" s="10">
        <f t="shared" si="545"/>
        <v>-0.50000000000000011</v>
      </c>
      <c r="JY11" s="24">
        <v>0</v>
      </c>
      <c r="JZ11" s="6" t="s">
        <v>20</v>
      </c>
      <c r="KA11" s="24">
        <v>0.1</v>
      </c>
      <c r="KB11" s="6" t="s">
        <v>20</v>
      </c>
      <c r="KC11" s="5">
        <f t="shared" si="546"/>
        <v>0.1</v>
      </c>
      <c r="KD11" s="3">
        <v>1</v>
      </c>
      <c r="KE11" s="10">
        <f t="shared" si="547"/>
        <v>0.19999999999999998</v>
      </c>
      <c r="KF11" s="5">
        <v>0.36</v>
      </c>
      <c r="KG11" s="10">
        <f t="shared" si="548"/>
        <v>0.16</v>
      </c>
      <c r="KI11" s="24">
        <v>0</v>
      </c>
      <c r="KJ11" s="6" t="s">
        <v>20</v>
      </c>
      <c r="KK11" s="24">
        <v>0.7</v>
      </c>
      <c r="KL11" s="6" t="s">
        <v>20</v>
      </c>
      <c r="KM11" s="5">
        <f t="shared" si="549"/>
        <v>0.7</v>
      </c>
      <c r="KN11" s="3"/>
      <c r="KO11" s="10">
        <f t="shared" si="550"/>
        <v>0.40000000000000013</v>
      </c>
      <c r="KP11" s="5">
        <v>0.31</v>
      </c>
      <c r="KQ11" s="10">
        <f t="shared" si="551"/>
        <v>-9.0000000000000135E-2</v>
      </c>
      <c r="KS11" s="24">
        <v>0</v>
      </c>
      <c r="KT11" s="6" t="s">
        <v>20</v>
      </c>
      <c r="KU11" s="24">
        <v>0.3</v>
      </c>
      <c r="KV11" s="6" t="s">
        <v>20</v>
      </c>
      <c r="KW11" s="5">
        <f t="shared" si="552"/>
        <v>0.3</v>
      </c>
      <c r="KX11" s="3">
        <v>1</v>
      </c>
      <c r="KY11" s="10">
        <f t="shared" si="553"/>
        <v>0.39999999999999997</v>
      </c>
      <c r="KZ11" s="5">
        <v>0.28999999999999998</v>
      </c>
      <c r="LA11" s="10">
        <f t="shared" si="554"/>
        <v>-0.10999999999999999</v>
      </c>
      <c r="LC11" s="24">
        <v>1</v>
      </c>
      <c r="LD11" s="6" t="s">
        <v>20</v>
      </c>
      <c r="LE11" s="24">
        <v>0</v>
      </c>
      <c r="LF11" s="6" t="s">
        <v>20</v>
      </c>
      <c r="LG11" s="5">
        <f t="shared" si="555"/>
        <v>1</v>
      </c>
      <c r="LH11" s="3"/>
      <c r="LI11" s="10">
        <f t="shared" si="556"/>
        <v>0.30000000000000004</v>
      </c>
      <c r="LJ11" s="5">
        <v>0.41</v>
      </c>
      <c r="LK11" s="10">
        <f t="shared" si="557"/>
        <v>0.10999999999999993</v>
      </c>
      <c r="LM11" s="24">
        <v>0</v>
      </c>
      <c r="LN11" s="6" t="s">
        <v>20</v>
      </c>
      <c r="LO11" s="24">
        <v>0.3</v>
      </c>
      <c r="LP11" s="6" t="s">
        <v>20</v>
      </c>
      <c r="LQ11" s="5">
        <f t="shared" si="558"/>
        <v>0.3</v>
      </c>
      <c r="LR11" s="3">
        <v>1</v>
      </c>
      <c r="LS11" s="10">
        <f t="shared" si="559"/>
        <v>0.7</v>
      </c>
      <c r="LT11" s="5">
        <v>0.15</v>
      </c>
      <c r="LU11" s="10">
        <f t="shared" si="560"/>
        <v>-0.54999999999999993</v>
      </c>
      <c r="LW11" s="24">
        <v>1</v>
      </c>
      <c r="LX11" s="6" t="s">
        <v>20</v>
      </c>
      <c r="LY11" s="24">
        <v>0.1</v>
      </c>
      <c r="LZ11" s="6" t="s">
        <v>20</v>
      </c>
      <c r="MA11" s="5">
        <f t="shared" si="561"/>
        <v>1.1000000000000001</v>
      </c>
      <c r="MB11" s="3"/>
      <c r="MC11" s="10">
        <f t="shared" si="562"/>
        <v>0.19999999999999996</v>
      </c>
      <c r="MD11" s="5">
        <v>0.1</v>
      </c>
      <c r="ME11" s="10">
        <f t="shared" si="563"/>
        <v>-9.999999999999995E-2</v>
      </c>
      <c r="MG11" s="24">
        <v>0</v>
      </c>
      <c r="MH11" s="6" t="s">
        <v>20</v>
      </c>
      <c r="MI11" s="24">
        <v>0.9</v>
      </c>
      <c r="MJ11" s="6" t="s">
        <v>20</v>
      </c>
      <c r="MK11" s="5">
        <f t="shared" si="564"/>
        <v>0.9</v>
      </c>
      <c r="ML11" s="3"/>
      <c r="MM11" s="10">
        <f t="shared" si="565"/>
        <v>0.20000000000000007</v>
      </c>
      <c r="MN11" s="5">
        <v>0.6</v>
      </c>
      <c r="MO11" s="10">
        <f t="shared" si="566"/>
        <v>0.39999999999999991</v>
      </c>
      <c r="MQ11" s="2">
        <v>0</v>
      </c>
      <c r="MR11" s="6" t="s">
        <v>20</v>
      </c>
      <c r="MS11" s="2">
        <v>0.7</v>
      </c>
      <c r="MT11" s="6" t="s">
        <v>20</v>
      </c>
      <c r="MU11" s="5">
        <f t="shared" si="567"/>
        <v>0.7</v>
      </c>
      <c r="MV11" s="3"/>
      <c r="MW11" s="10">
        <f t="shared" si="568"/>
        <v>0.20000000000000007</v>
      </c>
      <c r="MX11" s="5">
        <v>0.14000000000000001</v>
      </c>
      <c r="MY11" s="10">
        <f t="shared" si="569"/>
        <v>-6.0000000000000053E-2</v>
      </c>
      <c r="NA11" s="24">
        <v>0</v>
      </c>
      <c r="NB11" s="6" t="s">
        <v>20</v>
      </c>
      <c r="NC11" s="24">
        <v>0.3</v>
      </c>
      <c r="ND11" s="6" t="s">
        <v>20</v>
      </c>
      <c r="NE11" s="5">
        <f t="shared" si="570"/>
        <v>0.3</v>
      </c>
      <c r="NF11" s="3">
        <v>2</v>
      </c>
      <c r="NG11" s="10">
        <f t="shared" si="571"/>
        <v>0.39999999999999997</v>
      </c>
      <c r="NH11" s="5">
        <v>0.21</v>
      </c>
      <c r="NI11" s="10">
        <f t="shared" si="572"/>
        <v>-0.18999999999999997</v>
      </c>
      <c r="NK11" s="24">
        <v>2</v>
      </c>
      <c r="NL11" s="6" t="s">
        <v>20</v>
      </c>
      <c r="NM11" s="24">
        <v>0.3</v>
      </c>
      <c r="NN11" s="6" t="s">
        <v>20</v>
      </c>
      <c r="NO11" s="5">
        <f t="shared" si="573"/>
        <v>2.2999999999999998</v>
      </c>
      <c r="NP11" s="3"/>
      <c r="NQ11" s="10">
        <f t="shared" si="574"/>
        <v>0</v>
      </c>
      <c r="NR11" s="5">
        <v>7.0000000000000007E-2</v>
      </c>
      <c r="NS11" s="10">
        <f t="shared" si="575"/>
        <v>7.0000000000000007E-2</v>
      </c>
      <c r="NU11" s="24">
        <v>1</v>
      </c>
      <c r="NV11" s="6" t="s">
        <v>20</v>
      </c>
      <c r="NW11" s="24">
        <v>0.9</v>
      </c>
      <c r="NX11" s="6" t="s">
        <v>20</v>
      </c>
      <c r="NY11" s="5">
        <f t="shared" si="576"/>
        <v>1.9</v>
      </c>
      <c r="NZ11" s="3"/>
      <c r="OA11" s="10">
        <f t="shared" si="577"/>
        <v>0.39999999999999991</v>
      </c>
      <c r="OB11" s="5">
        <v>0.36</v>
      </c>
      <c r="OC11" s="10">
        <f t="shared" si="578"/>
        <v>-3.9999999999999925E-2</v>
      </c>
      <c r="OE11" s="2">
        <v>1</v>
      </c>
      <c r="OF11" s="6" t="s">
        <v>20</v>
      </c>
      <c r="OG11" s="2">
        <v>0.7</v>
      </c>
      <c r="OH11" s="6" t="s">
        <v>20</v>
      </c>
      <c r="OI11" s="5">
        <f t="shared" si="579"/>
        <v>1.7</v>
      </c>
      <c r="OJ11" s="3"/>
      <c r="OK11" s="10">
        <f t="shared" si="580"/>
        <v>0.19999999999999996</v>
      </c>
      <c r="OL11" s="5">
        <v>0.26</v>
      </c>
      <c r="OM11" s="10">
        <f t="shared" si="581"/>
        <v>6.0000000000000053E-2</v>
      </c>
      <c r="OO11" s="24">
        <v>1</v>
      </c>
      <c r="OP11" s="6" t="s">
        <v>20</v>
      </c>
      <c r="OQ11" s="24">
        <v>0.3</v>
      </c>
      <c r="OR11" s="6" t="s">
        <v>20</v>
      </c>
      <c r="OS11" s="5">
        <f t="shared" si="582"/>
        <v>1.3</v>
      </c>
      <c r="OT11" s="3"/>
      <c r="OU11" s="10">
        <f t="shared" si="583"/>
        <v>0.39999999999999991</v>
      </c>
      <c r="OV11" s="5">
        <v>0.19</v>
      </c>
      <c r="OW11" s="10">
        <f t="shared" si="584"/>
        <v>-0.20999999999999991</v>
      </c>
      <c r="OY11" s="24">
        <v>0</v>
      </c>
      <c r="OZ11" s="6" t="s">
        <v>20</v>
      </c>
      <c r="PA11" s="24">
        <v>0.9</v>
      </c>
      <c r="PB11" s="6" t="s">
        <v>20</v>
      </c>
      <c r="PC11" s="5">
        <f t="shared" si="585"/>
        <v>0.9</v>
      </c>
      <c r="PD11" s="3"/>
      <c r="PE11" s="10">
        <f t="shared" si="586"/>
        <v>0.4</v>
      </c>
      <c r="PF11" s="5">
        <v>0.21</v>
      </c>
      <c r="PG11" s="10">
        <f t="shared" si="587"/>
        <v>-0.19000000000000003</v>
      </c>
      <c r="PI11" s="24">
        <v>0</v>
      </c>
      <c r="PJ11" s="6" t="s">
        <v>20</v>
      </c>
      <c r="PK11" s="24">
        <v>0.6</v>
      </c>
      <c r="PL11" s="6" t="s">
        <v>20</v>
      </c>
      <c r="PM11" s="5">
        <f t="shared" si="588"/>
        <v>0.6</v>
      </c>
      <c r="PN11" s="3">
        <v>1</v>
      </c>
      <c r="PO11" s="10">
        <f t="shared" si="589"/>
        <v>0.30000000000000004</v>
      </c>
      <c r="PP11" s="5">
        <v>0.05</v>
      </c>
      <c r="PQ11" s="10">
        <f t="shared" si="590"/>
        <v>-0.25000000000000006</v>
      </c>
      <c r="PS11" s="2">
        <v>1</v>
      </c>
      <c r="PT11" s="6" t="s">
        <v>20</v>
      </c>
      <c r="PU11" s="2">
        <v>0.4</v>
      </c>
      <c r="PV11" s="6" t="s">
        <v>20</v>
      </c>
      <c r="PW11" s="5">
        <f t="shared" si="591"/>
        <v>1.4</v>
      </c>
      <c r="PX11" s="3"/>
      <c r="PY11" s="10">
        <f t="shared" si="592"/>
        <v>0.20000000000000018</v>
      </c>
      <c r="PZ11" s="5">
        <v>0.22</v>
      </c>
      <c r="QA11" s="10">
        <f t="shared" si="593"/>
        <v>1.9999999999999823E-2</v>
      </c>
      <c r="QC11" s="24">
        <v>1</v>
      </c>
      <c r="QD11" s="6" t="s">
        <v>20</v>
      </c>
      <c r="QE11" s="24">
        <v>0.3</v>
      </c>
      <c r="QF11" s="6" t="s">
        <v>20</v>
      </c>
      <c r="QG11" s="5">
        <f t="shared" si="594"/>
        <v>1.3</v>
      </c>
      <c r="QH11" s="3">
        <v>1</v>
      </c>
      <c r="QI11" s="10">
        <f t="shared" si="595"/>
        <v>9.9999999999999867E-2</v>
      </c>
      <c r="QJ11" s="5">
        <v>0.1</v>
      </c>
      <c r="QK11" s="10">
        <f t="shared" si="596"/>
        <v>1.3877787807814457E-16</v>
      </c>
      <c r="QM11" s="24">
        <v>2</v>
      </c>
      <c r="QN11" s="6" t="s">
        <v>20</v>
      </c>
      <c r="QO11" s="24">
        <v>0</v>
      </c>
      <c r="QP11" s="6" t="s">
        <v>20</v>
      </c>
      <c r="QQ11" s="5">
        <f t="shared" si="597"/>
        <v>2</v>
      </c>
      <c r="QR11" s="3"/>
      <c r="QS11" s="10">
        <f t="shared" si="598"/>
        <v>0.29999999999999982</v>
      </c>
      <c r="QT11" s="5">
        <v>0.14000000000000001</v>
      </c>
      <c r="QU11" s="10">
        <f t="shared" si="599"/>
        <v>-0.15999999999999981</v>
      </c>
      <c r="QW11" s="24">
        <v>1</v>
      </c>
      <c r="QX11" s="6" t="s">
        <v>20</v>
      </c>
      <c r="QY11" s="24">
        <v>0.5</v>
      </c>
      <c r="QZ11" s="6" t="s">
        <v>20</v>
      </c>
      <c r="RA11" s="5">
        <f t="shared" si="600"/>
        <v>1.5</v>
      </c>
      <c r="RB11" s="3"/>
      <c r="RC11" s="10">
        <f t="shared" si="601"/>
        <v>0.5</v>
      </c>
      <c r="RD11" s="5">
        <v>0.24</v>
      </c>
      <c r="RE11" s="10">
        <f t="shared" si="602"/>
        <v>-0.26</v>
      </c>
      <c r="RG11" s="24">
        <v>1</v>
      </c>
      <c r="RH11" s="6" t="s">
        <v>20</v>
      </c>
      <c r="RI11" s="24">
        <v>0.3</v>
      </c>
      <c r="RJ11" s="6" t="s">
        <v>20</v>
      </c>
      <c r="RK11" s="5">
        <f t="shared" si="603"/>
        <v>1.3</v>
      </c>
      <c r="RL11" s="3"/>
      <c r="RM11" s="10">
        <f t="shared" si="604"/>
        <v>0.19999999999999996</v>
      </c>
      <c r="RN11" s="5">
        <v>0.19</v>
      </c>
      <c r="RO11" s="10">
        <f t="shared" si="605"/>
        <v>-9.9999999999999534E-3</v>
      </c>
      <c r="RQ11" s="24">
        <v>1</v>
      </c>
      <c r="RR11" s="6" t="s">
        <v>20</v>
      </c>
      <c r="RS11" s="24">
        <v>0.3</v>
      </c>
      <c r="RT11" s="6" t="s">
        <v>20</v>
      </c>
      <c r="RU11" s="5">
        <f t="shared" si="606"/>
        <v>1.3</v>
      </c>
      <c r="RV11" s="3"/>
      <c r="RW11" s="10">
        <f t="shared" si="607"/>
        <v>0</v>
      </c>
      <c r="RX11" s="5"/>
      <c r="RY11" s="10" t="str">
        <f t="shared" si="608"/>
        <v/>
      </c>
      <c r="SA11" s="2">
        <v>1</v>
      </c>
      <c r="SB11" s="6" t="s">
        <v>20</v>
      </c>
      <c r="SC11" s="2">
        <v>0.1</v>
      </c>
      <c r="SD11" s="6" t="s">
        <v>20</v>
      </c>
      <c r="SE11" s="5">
        <f t="shared" si="609"/>
        <v>1.1000000000000001</v>
      </c>
      <c r="SF11" s="3"/>
      <c r="SG11" s="10">
        <f t="shared" si="610"/>
        <v>0.19999999999999996</v>
      </c>
      <c r="SH11" s="5">
        <v>0.19</v>
      </c>
      <c r="SI11" s="10">
        <f t="shared" si="611"/>
        <v>-9.9999999999999534E-3</v>
      </c>
      <c r="SK11" s="24">
        <v>1</v>
      </c>
      <c r="SL11" s="6" t="s">
        <v>20</v>
      </c>
      <c r="SM11" s="24">
        <v>0</v>
      </c>
      <c r="SN11" s="6" t="s">
        <v>20</v>
      </c>
      <c r="SO11" s="5">
        <f t="shared" si="612"/>
        <v>1</v>
      </c>
      <c r="SP11" s="3"/>
      <c r="SQ11" s="10">
        <f t="shared" si="613"/>
        <v>0.10000000000000009</v>
      </c>
      <c r="SR11" s="5">
        <v>0.03</v>
      </c>
      <c r="SS11" s="10">
        <f t="shared" si="614"/>
        <v>-7.000000000000009E-2</v>
      </c>
      <c r="SU11" s="24">
        <v>0</v>
      </c>
      <c r="SV11" s="6" t="s">
        <v>20</v>
      </c>
      <c r="SW11" s="24">
        <v>0.9</v>
      </c>
      <c r="SX11" s="6" t="s">
        <v>20</v>
      </c>
      <c r="SY11" s="5">
        <f t="shared" si="615"/>
        <v>0.9</v>
      </c>
      <c r="SZ11" s="3"/>
      <c r="TA11" s="10">
        <f t="shared" si="616"/>
        <v>9.9999999999999978E-2</v>
      </c>
      <c r="TB11" s="5">
        <v>0.14000000000000001</v>
      </c>
      <c r="TC11" s="10">
        <f t="shared" si="617"/>
        <v>4.0000000000000036E-2</v>
      </c>
      <c r="TE11" s="24">
        <v>0</v>
      </c>
      <c r="TF11" s="6" t="s">
        <v>20</v>
      </c>
      <c r="TG11" s="24">
        <v>0.5</v>
      </c>
      <c r="TH11" s="6" t="s">
        <v>20</v>
      </c>
      <c r="TI11" s="5">
        <f t="shared" si="618"/>
        <v>0.5</v>
      </c>
      <c r="TJ11" s="3">
        <v>1</v>
      </c>
      <c r="TK11" s="10">
        <f t="shared" si="619"/>
        <v>0.4</v>
      </c>
      <c r="TL11" s="5">
        <v>0.12</v>
      </c>
      <c r="TM11" s="10">
        <f t="shared" si="620"/>
        <v>-0.28000000000000003</v>
      </c>
      <c r="TO11" s="24">
        <v>1</v>
      </c>
      <c r="TP11" s="6" t="s">
        <v>20</v>
      </c>
      <c r="TQ11" s="24">
        <v>0.4</v>
      </c>
      <c r="TR11" s="6" t="s">
        <v>20</v>
      </c>
      <c r="TS11" s="5">
        <f t="shared" si="621"/>
        <v>1.4</v>
      </c>
      <c r="TT11" s="3"/>
      <c r="TU11" s="10">
        <f t="shared" si="622"/>
        <v>0.10000000000000009</v>
      </c>
      <c r="TV11" s="5">
        <v>0.09</v>
      </c>
      <c r="TW11" s="10">
        <f t="shared" si="623"/>
        <v>-1.0000000000000092E-2</v>
      </c>
      <c r="TY11" s="24">
        <v>1</v>
      </c>
      <c r="TZ11" s="6" t="s">
        <v>20</v>
      </c>
      <c r="UA11" s="24">
        <v>0.3</v>
      </c>
      <c r="UB11" s="6" t="s">
        <v>20</v>
      </c>
      <c r="UC11" s="5">
        <f t="shared" si="624"/>
        <v>1.3</v>
      </c>
      <c r="UD11" s="3"/>
      <c r="UE11" s="10">
        <f t="shared" si="625"/>
        <v>9.9999999999999867E-2</v>
      </c>
      <c r="UF11" s="5">
        <v>0.09</v>
      </c>
      <c r="UG11" s="10">
        <f t="shared" si="626"/>
        <v>-9.9999999999998701E-3</v>
      </c>
      <c r="UI11" s="2">
        <v>1</v>
      </c>
      <c r="UJ11" s="6" t="s">
        <v>20</v>
      </c>
      <c r="UK11" s="2">
        <v>0.3</v>
      </c>
      <c r="UL11" s="6" t="s">
        <v>20</v>
      </c>
      <c r="UM11" s="5">
        <f t="shared" si="627"/>
        <v>1.3</v>
      </c>
      <c r="UN11" s="3"/>
      <c r="UO11" s="10">
        <f t="shared" si="628"/>
        <v>0</v>
      </c>
      <c r="UP11" s="5">
        <v>0.21</v>
      </c>
      <c r="UQ11" s="10">
        <f t="shared" si="629"/>
        <v>0.21</v>
      </c>
      <c r="US11" s="24">
        <v>1</v>
      </c>
      <c r="UT11" s="6" t="s">
        <v>20</v>
      </c>
      <c r="UU11" s="24">
        <v>0.1</v>
      </c>
      <c r="UV11" s="6" t="s">
        <v>20</v>
      </c>
      <c r="UW11" s="5">
        <f t="shared" si="630"/>
        <v>1.1000000000000001</v>
      </c>
      <c r="UX11" s="3"/>
      <c r="UY11" s="10">
        <f t="shared" si="631"/>
        <v>0.19999999999999996</v>
      </c>
      <c r="UZ11" s="5">
        <v>0.17</v>
      </c>
      <c r="VA11" s="10">
        <f t="shared" si="632"/>
        <v>-2.9999999999999943E-2</v>
      </c>
      <c r="VC11" s="2">
        <v>1</v>
      </c>
      <c r="VD11" s="6" t="s">
        <v>20</v>
      </c>
      <c r="VE11" s="2">
        <v>0</v>
      </c>
      <c r="VF11" s="6" t="s">
        <v>20</v>
      </c>
      <c r="VG11" s="5">
        <f t="shared" si="633"/>
        <v>1</v>
      </c>
      <c r="VH11" s="3"/>
      <c r="VI11" s="10">
        <f t="shared" si="634"/>
        <v>0.10000000000000009</v>
      </c>
      <c r="VJ11" s="5">
        <v>0.1</v>
      </c>
      <c r="VK11" s="10">
        <f t="shared" si="635"/>
        <v>-8.3266726846886741E-17</v>
      </c>
      <c r="VM11" s="24">
        <v>0</v>
      </c>
      <c r="VN11" s="6" t="s">
        <v>20</v>
      </c>
      <c r="VO11" s="24">
        <v>0.7</v>
      </c>
      <c r="VP11" s="6" t="s">
        <v>20</v>
      </c>
      <c r="VQ11" s="5">
        <f t="shared" si="636"/>
        <v>0.7</v>
      </c>
      <c r="VR11" s="3">
        <v>1</v>
      </c>
      <c r="VS11" s="10">
        <f t="shared" si="637"/>
        <v>0.30000000000000004</v>
      </c>
      <c r="VT11" s="5">
        <v>0.28999999999999998</v>
      </c>
      <c r="VU11" s="10">
        <f t="shared" si="638"/>
        <v>-1.0000000000000064E-2</v>
      </c>
      <c r="VW11" s="2">
        <v>1</v>
      </c>
      <c r="VX11" s="6" t="s">
        <v>20</v>
      </c>
      <c r="VY11" s="2">
        <v>0.4</v>
      </c>
      <c r="VZ11" s="6" t="s">
        <v>20</v>
      </c>
      <c r="WA11" s="5">
        <f t="shared" si="639"/>
        <v>1.4</v>
      </c>
      <c r="WB11" s="3"/>
      <c r="WC11" s="10">
        <f t="shared" si="640"/>
        <v>0.30000000000000004</v>
      </c>
      <c r="WD11" s="5">
        <v>0.26</v>
      </c>
      <c r="WE11" s="10">
        <f t="shared" si="641"/>
        <v>-4.0000000000000036E-2</v>
      </c>
      <c r="WG11" s="2">
        <v>1</v>
      </c>
      <c r="WH11" s="6" t="s">
        <v>20</v>
      </c>
      <c r="WI11" s="2">
        <v>0.1</v>
      </c>
      <c r="WJ11" s="6" t="s">
        <v>20</v>
      </c>
      <c r="WK11" s="5">
        <f t="shared" si="642"/>
        <v>1.1000000000000001</v>
      </c>
      <c r="WL11" s="3"/>
      <c r="WM11" s="10">
        <f t="shared" si="643"/>
        <v>0.29999999999999982</v>
      </c>
      <c r="WN11" s="5">
        <v>0.28999999999999998</v>
      </c>
      <c r="WO11" s="10">
        <f t="shared" si="644"/>
        <v>-9.9999999999998423E-3</v>
      </c>
      <c r="WQ11" s="2">
        <v>0</v>
      </c>
      <c r="WR11" s="6" t="s">
        <v>20</v>
      </c>
      <c r="WS11" s="2">
        <v>0.6</v>
      </c>
      <c r="WT11" s="6" t="s">
        <v>20</v>
      </c>
      <c r="WU11" s="5">
        <f t="shared" si="645"/>
        <v>0.6</v>
      </c>
      <c r="WV11" s="3"/>
      <c r="WW11" s="10">
        <f t="shared" si="646"/>
        <v>0.50000000000000011</v>
      </c>
      <c r="WX11" s="5">
        <v>0.24</v>
      </c>
      <c r="WY11" s="10">
        <f t="shared" si="647"/>
        <v>-0.26000000000000012</v>
      </c>
      <c r="XA11" s="24">
        <v>0</v>
      </c>
      <c r="XB11" s="6" t="s">
        <v>20</v>
      </c>
      <c r="XC11" s="24">
        <v>0.5</v>
      </c>
      <c r="XD11" s="6" t="s">
        <v>20</v>
      </c>
      <c r="XE11" s="5">
        <f t="shared" si="648"/>
        <v>0.5</v>
      </c>
      <c r="XF11" s="3">
        <v>1</v>
      </c>
      <c r="XG11" s="10">
        <f t="shared" si="649"/>
        <v>9.9999999999999978E-2</v>
      </c>
      <c r="XH11" s="5">
        <v>0.09</v>
      </c>
      <c r="XI11" s="10">
        <f t="shared" si="650"/>
        <v>-9.9999999999999811E-3</v>
      </c>
      <c r="XK11" s="24"/>
      <c r="XL11" s="6" t="s">
        <v>20</v>
      </c>
      <c r="XM11" s="24">
        <v>1</v>
      </c>
      <c r="XN11" s="6" t="s">
        <v>20</v>
      </c>
      <c r="XO11" s="5">
        <f t="shared" si="651"/>
        <v>1</v>
      </c>
      <c r="XP11" s="3"/>
      <c r="XQ11" s="10">
        <f t="shared" si="652"/>
        <v>0.5</v>
      </c>
      <c r="XR11" s="5">
        <v>0.28999999999999998</v>
      </c>
      <c r="XS11" s="10">
        <f t="shared" si="653"/>
        <v>-0.21000000000000002</v>
      </c>
      <c r="XU11" s="24"/>
      <c r="XV11" s="6" t="s">
        <v>20</v>
      </c>
      <c r="XW11" s="24">
        <v>0.5</v>
      </c>
      <c r="XX11" s="6" t="s">
        <v>20</v>
      </c>
      <c r="XY11" s="5">
        <f t="shared" si="654"/>
        <v>0.5</v>
      </c>
      <c r="XZ11" s="3">
        <v>1</v>
      </c>
      <c r="YA11" s="10">
        <f t="shared" si="655"/>
        <v>0.5</v>
      </c>
      <c r="YB11" s="5">
        <v>0.19</v>
      </c>
      <c r="YC11" s="10">
        <f t="shared" si="656"/>
        <v>-0.31</v>
      </c>
      <c r="YE11" s="24">
        <v>1</v>
      </c>
      <c r="YF11" s="6" t="s">
        <v>20</v>
      </c>
      <c r="YG11" s="24">
        <v>0.4</v>
      </c>
      <c r="YH11" s="6" t="s">
        <v>20</v>
      </c>
      <c r="YI11" s="5">
        <f t="shared" si="657"/>
        <v>1.4</v>
      </c>
      <c r="YJ11" s="3"/>
      <c r="YK11" s="10">
        <f t="shared" si="658"/>
        <v>0.10000000000000009</v>
      </c>
      <c r="YL11" s="5">
        <v>7.0000000000000007E-2</v>
      </c>
      <c r="YM11" s="10">
        <f t="shared" si="659"/>
        <v>-3.0000000000000082E-2</v>
      </c>
      <c r="YO11" s="24">
        <v>1</v>
      </c>
      <c r="YP11" s="6" t="s">
        <v>20</v>
      </c>
      <c r="YQ11" s="24">
        <v>0.2</v>
      </c>
      <c r="YR11" s="6" t="s">
        <v>20</v>
      </c>
      <c r="YS11" s="5">
        <f t="shared" si="660"/>
        <v>1.2</v>
      </c>
      <c r="YT11" s="3"/>
      <c r="YU11" s="10">
        <f t="shared" si="661"/>
        <v>0.19999999999999996</v>
      </c>
      <c r="YV11" s="5">
        <v>0.24</v>
      </c>
      <c r="YW11" s="10">
        <f t="shared" si="662"/>
        <v>4.0000000000000036E-2</v>
      </c>
      <c r="YY11" s="24"/>
      <c r="YZ11" s="6" t="s">
        <v>20</v>
      </c>
      <c r="ZA11" s="24">
        <v>1</v>
      </c>
      <c r="ZB11" s="6" t="s">
        <v>20</v>
      </c>
      <c r="ZC11" s="5">
        <f t="shared" si="663"/>
        <v>1</v>
      </c>
      <c r="ZD11" s="3"/>
      <c r="ZE11" s="10">
        <f t="shared" si="664"/>
        <v>0.19999999999999996</v>
      </c>
      <c r="ZF11" s="5">
        <v>0.22</v>
      </c>
      <c r="ZG11" s="10">
        <f t="shared" si="665"/>
        <v>2.0000000000000046E-2</v>
      </c>
      <c r="ZI11" s="24"/>
      <c r="ZJ11" s="6" t="s">
        <v>20</v>
      </c>
      <c r="ZK11" s="24">
        <v>0.9</v>
      </c>
      <c r="ZL11" s="6" t="s">
        <v>20</v>
      </c>
      <c r="ZM11" s="5">
        <f t="shared" si="666"/>
        <v>0.9</v>
      </c>
      <c r="ZN11" s="3"/>
      <c r="ZO11" s="10">
        <f t="shared" si="667"/>
        <v>9.9999999999999978E-2</v>
      </c>
      <c r="ZP11" s="5">
        <v>0.14000000000000001</v>
      </c>
      <c r="ZQ11" s="10">
        <f t="shared" si="668"/>
        <v>4.0000000000000036E-2</v>
      </c>
      <c r="ZS11" s="24"/>
      <c r="ZT11" s="6" t="s">
        <v>20</v>
      </c>
      <c r="ZU11" s="24">
        <v>0.4</v>
      </c>
      <c r="ZV11" s="6" t="s">
        <v>20</v>
      </c>
      <c r="ZW11" s="5">
        <f t="shared" si="669"/>
        <v>0.4</v>
      </c>
      <c r="ZX11" s="3">
        <v>1</v>
      </c>
      <c r="ZY11" s="10">
        <f t="shared" si="670"/>
        <v>0.5</v>
      </c>
      <c r="ZZ11" s="5">
        <v>0.36</v>
      </c>
      <c r="AAA11" s="10">
        <f t="shared" si="671"/>
        <v>-0.14000000000000001</v>
      </c>
      <c r="AAC11" s="24">
        <v>1</v>
      </c>
      <c r="AAD11" s="6" t="s">
        <v>20</v>
      </c>
      <c r="AAE11" s="24">
        <v>0.1</v>
      </c>
      <c r="AAF11" s="6" t="s">
        <v>20</v>
      </c>
      <c r="AAG11" s="5">
        <f t="shared" si="672"/>
        <v>1.1000000000000001</v>
      </c>
      <c r="AAH11" s="3"/>
      <c r="AAI11" s="10">
        <f t="shared" si="673"/>
        <v>0.29999999999999982</v>
      </c>
      <c r="AAJ11" s="5">
        <v>0.26</v>
      </c>
      <c r="AAK11" s="10">
        <f t="shared" si="674"/>
        <v>-3.9999999999999813E-2</v>
      </c>
      <c r="AAM11" s="2">
        <v>0</v>
      </c>
      <c r="AAN11" s="6" t="s">
        <v>20</v>
      </c>
      <c r="AAO11" s="2">
        <v>0.9</v>
      </c>
      <c r="AAP11" s="6" t="s">
        <v>20</v>
      </c>
      <c r="AAQ11" s="5">
        <f t="shared" si="675"/>
        <v>0.9</v>
      </c>
      <c r="AAR11" s="3"/>
      <c r="AAS11" s="10">
        <f t="shared" si="676"/>
        <v>0.20000000000000007</v>
      </c>
      <c r="AAT11" s="5">
        <v>0.17</v>
      </c>
      <c r="AAU11" s="10">
        <f t="shared" si="677"/>
        <v>-3.0000000000000054E-2</v>
      </c>
      <c r="AAW11" s="2"/>
      <c r="AAX11" s="6" t="s">
        <v>20</v>
      </c>
      <c r="AAY11" s="2">
        <v>0.9</v>
      </c>
      <c r="AAZ11" s="6" t="s">
        <v>20</v>
      </c>
      <c r="ABA11" s="5">
        <f t="shared" si="678"/>
        <v>0.9</v>
      </c>
      <c r="ABB11" s="3"/>
      <c r="ABC11" s="10">
        <f t="shared" si="679"/>
        <v>0</v>
      </c>
      <c r="ABD11" s="5">
        <v>0.09</v>
      </c>
      <c r="ABE11" s="10">
        <f t="shared" si="680"/>
        <v>0.09</v>
      </c>
      <c r="ABG11" s="24"/>
      <c r="ABH11" s="6" t="s">
        <v>20</v>
      </c>
      <c r="ABI11" s="24">
        <v>0.7</v>
      </c>
      <c r="ABJ11" s="6" t="s">
        <v>20</v>
      </c>
      <c r="ABK11" s="5">
        <f t="shared" si="681"/>
        <v>0.7</v>
      </c>
      <c r="ABL11" s="3"/>
      <c r="ABM11" s="10">
        <f t="shared" si="682"/>
        <v>0.20000000000000007</v>
      </c>
      <c r="ABN11" s="5">
        <v>0.17</v>
      </c>
      <c r="ABO11" s="10">
        <f t="shared" si="683"/>
        <v>-3.0000000000000054E-2</v>
      </c>
      <c r="ABQ11" s="2"/>
      <c r="ABR11" s="6" t="s">
        <v>20</v>
      </c>
      <c r="ABS11" s="2">
        <v>0.1</v>
      </c>
      <c r="ABT11" s="6" t="s">
        <v>20</v>
      </c>
      <c r="ABU11" s="5">
        <f t="shared" si="684"/>
        <v>0.1</v>
      </c>
      <c r="ABV11" s="3">
        <v>1</v>
      </c>
      <c r="ABW11" s="10">
        <f t="shared" ref="ABW11:ABW12" si="758">IF(ISNUMBER(ABU11), (ABK11+ABL11)-ABU11, "")</f>
        <v>0.6</v>
      </c>
      <c r="ABX11" s="5">
        <v>0.53</v>
      </c>
      <c r="ABY11" s="10">
        <f t="shared" si="685"/>
        <v>-6.9999999999999951E-2</v>
      </c>
      <c r="ACA11" s="24">
        <v>1</v>
      </c>
      <c r="ACB11" s="6" t="s">
        <v>20</v>
      </c>
      <c r="ACC11" s="24">
        <v>0.1</v>
      </c>
      <c r="ACD11" s="6" t="s">
        <v>20</v>
      </c>
      <c r="ACE11" s="5">
        <f>IF(OR(ISNUMBER(ACA11), ISNUMBER(ACC11)), IF(ISNUMBER(ACA11), ACA11, 0) + IF(ISNUMBER(ACC11), ACC11, 0), "")</f>
        <v>1.1000000000000001</v>
      </c>
      <c r="ACF11" s="3"/>
      <c r="ACG11" s="10">
        <f>IF(ISNUMBER(ACE11), (ABU11+ABV11)-ACE11, "")</f>
        <v>0</v>
      </c>
      <c r="ACH11" s="5">
        <v>0.03</v>
      </c>
      <c r="ACI11" s="10">
        <f>IF(ISNUMBER(ACH11), ACH11-ACG11, "")</f>
        <v>0.03</v>
      </c>
      <c r="ACK11" s="24"/>
      <c r="ACL11" s="6" t="s">
        <v>20</v>
      </c>
      <c r="ACM11" s="24">
        <v>0.7</v>
      </c>
      <c r="ACN11" s="6" t="s">
        <v>20</v>
      </c>
      <c r="ACO11" s="5">
        <f t="shared" si="686"/>
        <v>0.7</v>
      </c>
      <c r="ACP11" s="3"/>
      <c r="ACQ11" s="10">
        <f t="shared" ref="ACQ11:ACQ12" si="759">IF(ISNUMBER(ACO11), (ACE11+ACF11)-ACO11, "")</f>
        <v>0.40000000000000013</v>
      </c>
      <c r="ACR11" s="5">
        <v>0.17</v>
      </c>
      <c r="ACS11" s="10">
        <f t="shared" si="687"/>
        <v>-0.23000000000000012</v>
      </c>
      <c r="ACU11" s="24">
        <v>0</v>
      </c>
      <c r="ACV11" s="6" t="s">
        <v>20</v>
      </c>
      <c r="ACW11" s="24">
        <v>0.6</v>
      </c>
      <c r="ACX11" s="6" t="s">
        <v>20</v>
      </c>
      <c r="ACY11" s="5">
        <f t="shared" si="688"/>
        <v>0.6</v>
      </c>
      <c r="ACZ11" s="3"/>
      <c r="ADA11" s="10">
        <f t="shared" ref="ADA11:ADA12" si="760">IF(ISNUMBER(ACY11), (ACO11+ACP11)-ACY11, "")</f>
        <v>9.9999999999999978E-2</v>
      </c>
      <c r="ADB11" s="5">
        <v>0.08</v>
      </c>
      <c r="ADC11" s="10">
        <f t="shared" si="689"/>
        <v>-1.9999999999999976E-2</v>
      </c>
      <c r="ADE11" s="24">
        <v>0</v>
      </c>
      <c r="ADF11" s="6" t="s">
        <v>20</v>
      </c>
      <c r="ADG11" s="24">
        <v>0.5</v>
      </c>
      <c r="ADH11" s="6" t="s">
        <v>20</v>
      </c>
      <c r="ADI11" s="5">
        <f t="shared" si="690"/>
        <v>0.5</v>
      </c>
      <c r="ADJ11" s="3">
        <v>1</v>
      </c>
      <c r="ADK11" s="10">
        <f t="shared" ref="ADK11:ADK12" si="761">IF(ISNUMBER(ADI11), (ACY11+ACZ11)-ADI11, "")</f>
        <v>9.9999999999999978E-2</v>
      </c>
      <c r="ADL11" s="5">
        <v>0.1</v>
      </c>
      <c r="ADM11" s="10">
        <f t="shared" si="691"/>
        <v>2.7755575615628914E-17</v>
      </c>
      <c r="ADO11" s="2">
        <v>1</v>
      </c>
      <c r="ADP11" s="6" t="s">
        <v>20</v>
      </c>
      <c r="ADQ11" s="2">
        <v>0.3</v>
      </c>
      <c r="ADR11" s="6" t="s">
        <v>20</v>
      </c>
      <c r="ADS11" s="5">
        <f t="shared" si="692"/>
        <v>1.3</v>
      </c>
      <c r="ADT11" s="3"/>
      <c r="ADU11" s="10">
        <f t="shared" ref="ADU11:ADU12" si="762">IF(ISNUMBER(ADS11), (ADI11+ADJ11)-ADS11, "")</f>
        <v>0.19999999999999996</v>
      </c>
      <c r="ADV11" s="5">
        <v>0.17</v>
      </c>
      <c r="ADW11" s="10">
        <f t="shared" si="693"/>
        <v>-2.9999999999999943E-2</v>
      </c>
      <c r="ADY11" s="24">
        <v>1</v>
      </c>
      <c r="ADZ11" s="6" t="s">
        <v>20</v>
      </c>
      <c r="AEA11" s="24">
        <v>0.1</v>
      </c>
      <c r="AEB11" s="6" t="s">
        <v>20</v>
      </c>
      <c r="AEC11" s="5">
        <f t="shared" si="694"/>
        <v>1.1000000000000001</v>
      </c>
      <c r="AED11" s="3"/>
      <c r="AEE11" s="10">
        <f t="shared" ref="AEE11:AEE12" si="763">IF(ISNUMBER(AEC11), (ADS11+ADT11)-AEC11, "")</f>
        <v>0.19999999999999996</v>
      </c>
      <c r="AEF11" s="5">
        <v>0.19</v>
      </c>
      <c r="AEG11" s="10">
        <f t="shared" si="695"/>
        <v>-9.9999999999999534E-3</v>
      </c>
      <c r="AEI11" s="2">
        <v>0</v>
      </c>
      <c r="AEJ11" s="6" t="s">
        <v>20</v>
      </c>
      <c r="AEK11" s="2">
        <v>0.7</v>
      </c>
      <c r="AEL11" s="6" t="s">
        <v>20</v>
      </c>
      <c r="AEM11" s="5">
        <f t="shared" si="696"/>
        <v>0.7</v>
      </c>
      <c r="AEN11" s="3"/>
      <c r="AEO11" s="10">
        <f t="shared" ref="AEO11:AEO12" si="764">IF(ISNUMBER(AEM11), (AEC11+AED11)-AEM11, "")</f>
        <v>0.40000000000000013</v>
      </c>
      <c r="AEP11" s="5">
        <v>0.43</v>
      </c>
      <c r="AEQ11" s="10">
        <f t="shared" si="697"/>
        <v>2.999999999999986E-2</v>
      </c>
      <c r="AES11" s="24">
        <v>0</v>
      </c>
      <c r="AET11" s="6" t="s">
        <v>20</v>
      </c>
      <c r="AEU11" s="24">
        <v>0.5</v>
      </c>
      <c r="AEV11" s="6" t="s">
        <v>20</v>
      </c>
      <c r="AEW11" s="5">
        <f t="shared" si="698"/>
        <v>0.5</v>
      </c>
      <c r="AEX11" s="3">
        <v>1</v>
      </c>
      <c r="AEY11" s="10">
        <f t="shared" ref="AEY11:AEY12" si="765">IF(ISNUMBER(AEW11), (AEM11+AEN11)-AEW11, "")</f>
        <v>0.19999999999999996</v>
      </c>
      <c r="AEZ11" s="5">
        <v>0.12</v>
      </c>
      <c r="AFA11" s="10">
        <f t="shared" si="699"/>
        <v>-7.999999999999996E-2</v>
      </c>
      <c r="AFC11" s="2">
        <v>1</v>
      </c>
      <c r="AFD11" s="6" t="s">
        <v>20</v>
      </c>
      <c r="AFE11" s="2">
        <v>0.5</v>
      </c>
      <c r="AFF11" s="6" t="s">
        <v>20</v>
      </c>
      <c r="AFG11" s="5">
        <f t="shared" si="700"/>
        <v>1.5</v>
      </c>
      <c r="AFH11" s="3"/>
      <c r="AFI11" s="10">
        <f t="shared" ref="AFI11:AFI12" si="766">IF(ISNUMBER(AFG11), (AEW11+AEX11)-AFG11, "")</f>
        <v>0</v>
      </c>
      <c r="AFJ11" s="5">
        <v>0.05</v>
      </c>
      <c r="AFK11" s="10">
        <f t="shared" si="701"/>
        <v>0.05</v>
      </c>
      <c r="AFM11" s="2">
        <v>1</v>
      </c>
      <c r="AFN11" s="6" t="s">
        <v>20</v>
      </c>
      <c r="AFO11" s="2">
        <v>0.3</v>
      </c>
      <c r="AFP11" s="6" t="s">
        <v>20</v>
      </c>
      <c r="AFQ11" s="5">
        <f t="shared" si="702"/>
        <v>1.3</v>
      </c>
      <c r="AFR11" s="3"/>
      <c r="AFS11" s="10">
        <f t="shared" ref="AFS11:AFS12" si="767">IF(ISNUMBER(AFQ11), (AFG11+AFH11)-AFQ11, "")</f>
        <v>0.19999999999999996</v>
      </c>
      <c r="AFT11" s="5">
        <v>0.09</v>
      </c>
      <c r="AFU11" s="10">
        <f t="shared" si="703"/>
        <v>-0.10999999999999996</v>
      </c>
      <c r="AFW11" s="24">
        <v>1</v>
      </c>
      <c r="AFX11" s="6" t="s">
        <v>20</v>
      </c>
      <c r="AFY11" s="24">
        <v>0.1</v>
      </c>
      <c r="AFZ11" s="6" t="s">
        <v>20</v>
      </c>
      <c r="AGA11" s="5">
        <f t="shared" si="704"/>
        <v>1.1000000000000001</v>
      </c>
      <c r="AGB11" s="3"/>
      <c r="AGC11" s="10">
        <f t="shared" ref="AGC11:AGC12" si="768">IF(ISNUMBER(AGA11), (AFQ11+AFR11)-AGA11, "")</f>
        <v>0.19999999999999996</v>
      </c>
      <c r="AGD11" s="5">
        <v>0.15</v>
      </c>
      <c r="AGE11" s="10">
        <f t="shared" si="705"/>
        <v>-4.9999999999999961E-2</v>
      </c>
      <c r="AGG11" s="24">
        <v>0</v>
      </c>
      <c r="AGH11" s="6" t="s">
        <v>20</v>
      </c>
      <c r="AGI11" s="24">
        <v>0.9</v>
      </c>
      <c r="AGJ11" s="6" t="s">
        <v>20</v>
      </c>
      <c r="AGK11" s="5">
        <f t="shared" si="706"/>
        <v>0.9</v>
      </c>
      <c r="AGL11" s="3"/>
      <c r="AGM11" s="10">
        <f t="shared" ref="AGM11:AGM12" si="769">IF(ISNUMBER(AGK11), (AGA11+AGB11)-AGK11, "")</f>
        <v>0.20000000000000007</v>
      </c>
      <c r="AGN11" s="5">
        <v>0.19</v>
      </c>
      <c r="AGO11" s="10">
        <f t="shared" si="707"/>
        <v>-1.0000000000000064E-2</v>
      </c>
      <c r="AGQ11" s="24">
        <v>0</v>
      </c>
      <c r="AGR11" s="6" t="s">
        <v>20</v>
      </c>
      <c r="AGS11" s="24">
        <v>0.7</v>
      </c>
      <c r="AGT11" s="6" t="s">
        <v>20</v>
      </c>
      <c r="AGU11" s="5">
        <f t="shared" si="708"/>
        <v>0.7</v>
      </c>
      <c r="AGV11" s="3"/>
      <c r="AGW11" s="10">
        <f t="shared" ref="AGW11:AGW12" si="770">IF(ISNUMBER(AGU11), (AGK11+AGL11)-AGU11, "")</f>
        <v>0.20000000000000007</v>
      </c>
      <c r="AGX11" s="5">
        <v>0.1</v>
      </c>
      <c r="AGY11" s="10">
        <f t="shared" si="709"/>
        <v>-0.10000000000000006</v>
      </c>
      <c r="AHA11" s="24">
        <v>0</v>
      </c>
      <c r="AHB11" s="6" t="s">
        <v>20</v>
      </c>
      <c r="AHC11" s="24">
        <v>0.5</v>
      </c>
      <c r="AHD11" s="6" t="s">
        <v>20</v>
      </c>
      <c r="AHE11" s="5">
        <f t="shared" si="710"/>
        <v>0.5</v>
      </c>
      <c r="AHF11" s="3">
        <v>1</v>
      </c>
      <c r="AHG11" s="10">
        <f t="shared" ref="AHG11:AHG12" si="771">IF(ISNUMBER(AHE11), (AGU11+AGV11)-AHE11, "")</f>
        <v>0.19999999999999996</v>
      </c>
      <c r="AHH11" s="5">
        <v>0.17</v>
      </c>
      <c r="AHI11" s="10">
        <f t="shared" si="711"/>
        <v>-2.9999999999999943E-2</v>
      </c>
      <c r="AHK11" s="2">
        <v>1</v>
      </c>
      <c r="AHL11" s="6" t="s">
        <v>20</v>
      </c>
      <c r="AHM11" s="2">
        <v>0.4</v>
      </c>
      <c r="AHN11" s="6" t="s">
        <v>20</v>
      </c>
      <c r="AHO11" s="5">
        <f t="shared" si="712"/>
        <v>1.4</v>
      </c>
      <c r="AHP11" s="3"/>
      <c r="AHQ11" s="10">
        <f t="shared" ref="AHQ11:AHQ12" si="772">IF(ISNUMBER(AHO11), (AHE11+AHF11)-AHO11, "")</f>
        <v>0.10000000000000009</v>
      </c>
      <c r="AHR11" s="5">
        <v>0.15</v>
      </c>
      <c r="AHS11" s="10">
        <f t="shared" si="713"/>
        <v>4.9999999999999906E-2</v>
      </c>
      <c r="AHU11" s="2">
        <v>1</v>
      </c>
      <c r="AHV11" s="6" t="s">
        <v>20</v>
      </c>
      <c r="AHW11" s="2">
        <v>0.4</v>
      </c>
      <c r="AHX11" s="6" t="s">
        <v>20</v>
      </c>
      <c r="AHY11" s="5">
        <f t="shared" si="714"/>
        <v>1.4</v>
      </c>
      <c r="AHZ11" s="3"/>
      <c r="AIA11" s="10">
        <f t="shared" ref="AIA11:AIA12" si="773">IF(ISNUMBER(AHY11), (AHO11+AHP11)-AHY11, "")</f>
        <v>0</v>
      </c>
      <c r="AIB11" s="5">
        <v>0.05</v>
      </c>
      <c r="AIC11" s="10">
        <f t="shared" si="715"/>
        <v>0.05</v>
      </c>
      <c r="AIE11" s="24"/>
      <c r="AIF11" s="6" t="s">
        <v>20</v>
      </c>
      <c r="AIG11" s="24">
        <v>1.1000000000000001</v>
      </c>
      <c r="AIH11" s="6" t="s">
        <v>20</v>
      </c>
      <c r="AII11" s="5">
        <f t="shared" si="716"/>
        <v>1.1000000000000001</v>
      </c>
      <c r="AIJ11" s="3"/>
      <c r="AIK11" s="10">
        <f t="shared" ref="AIK11:AIK12" si="774">IF(ISNUMBER(AII11), (AHY11+AHZ11)-AII11, "")</f>
        <v>0.29999999999999982</v>
      </c>
      <c r="AIL11" s="5">
        <v>0.34</v>
      </c>
      <c r="AIM11" s="10">
        <f t="shared" si="717"/>
        <v>4.0000000000000202E-2</v>
      </c>
      <c r="AIO11" s="24"/>
      <c r="AIP11" s="6" t="s">
        <v>20</v>
      </c>
      <c r="AIQ11" s="24">
        <v>1</v>
      </c>
      <c r="AIR11" s="6" t="s">
        <v>20</v>
      </c>
      <c r="AIS11" s="5">
        <f t="shared" si="718"/>
        <v>1</v>
      </c>
      <c r="AIT11" s="3"/>
      <c r="AIU11" s="10">
        <f t="shared" ref="AIU11:AIU12" si="775">IF(ISNUMBER(AIS11), (AII11+AIJ11)-AIS11, "")</f>
        <v>0.10000000000000009</v>
      </c>
      <c r="AIV11" s="5">
        <v>0.26</v>
      </c>
      <c r="AIW11" s="10">
        <f t="shared" si="719"/>
        <v>0.15999999999999992</v>
      </c>
      <c r="AIY11" s="24">
        <v>0</v>
      </c>
      <c r="AIZ11" s="6" t="s">
        <v>20</v>
      </c>
      <c r="AJA11" s="24">
        <v>0.5</v>
      </c>
      <c r="AJB11" s="6" t="s">
        <v>20</v>
      </c>
      <c r="AJC11" s="5">
        <f t="shared" si="720"/>
        <v>0.5</v>
      </c>
      <c r="AJD11" s="3"/>
      <c r="AJE11" s="10">
        <f t="shared" ref="AJE11:AJE12" si="776">IF(ISNUMBER(AJC11), (AIS11+AIT11)-AJC11, "")</f>
        <v>0.5</v>
      </c>
      <c r="AJF11" s="5">
        <v>0.1</v>
      </c>
      <c r="AJG11" s="10">
        <f t="shared" si="721"/>
        <v>-0.4</v>
      </c>
      <c r="AJI11" s="2">
        <v>0</v>
      </c>
      <c r="AJJ11" s="6" t="s">
        <v>20</v>
      </c>
      <c r="AJK11" s="2">
        <v>0.3</v>
      </c>
      <c r="AJL11" s="6" t="s">
        <v>20</v>
      </c>
      <c r="AJM11" s="5">
        <f t="shared" si="722"/>
        <v>0.3</v>
      </c>
      <c r="AJN11" s="3">
        <v>1</v>
      </c>
      <c r="AJO11" s="10">
        <f t="shared" ref="AJO11:AJO12" si="777">IF(ISNUMBER(AJM11), (AJC11+AJD11)-AJM11, "")</f>
        <v>0.2</v>
      </c>
      <c r="AJP11" s="5">
        <v>0.14000000000000001</v>
      </c>
      <c r="AJQ11" s="10">
        <f t="shared" si="723"/>
        <v>-0.06</v>
      </c>
      <c r="AJS11" s="24">
        <v>1</v>
      </c>
      <c r="AJT11" s="6" t="s">
        <v>20</v>
      </c>
      <c r="AJU11" s="24">
        <v>0.2</v>
      </c>
      <c r="AJV11" s="6" t="s">
        <v>20</v>
      </c>
      <c r="AJW11" s="5">
        <f t="shared" si="724"/>
        <v>1.2</v>
      </c>
      <c r="AJX11" s="3"/>
      <c r="AJY11" s="10">
        <f t="shared" ref="AJY11:AJY12" si="778">IF(ISNUMBER(AJW11), (AJM11+AJN11)-AJW11, "")</f>
        <v>0.10000000000000009</v>
      </c>
      <c r="AJZ11" s="5">
        <v>0.09</v>
      </c>
      <c r="AKA11" s="10">
        <f t="shared" si="725"/>
        <v>-1.0000000000000092E-2</v>
      </c>
      <c r="AKC11" s="2">
        <v>1</v>
      </c>
      <c r="AKD11" s="6" t="s">
        <v>20</v>
      </c>
      <c r="AKE11" s="2">
        <v>0.1</v>
      </c>
      <c r="AKF11" s="6" t="s">
        <v>20</v>
      </c>
      <c r="AKG11" s="5">
        <f t="shared" si="726"/>
        <v>1.1000000000000001</v>
      </c>
      <c r="AKH11" s="3"/>
      <c r="AKI11" s="10">
        <f t="shared" ref="AKI11:AKI12" si="779">IF(ISNUMBER(AKG11), (AJW11+AJX11)-AKG11, "")</f>
        <v>9.9999999999999867E-2</v>
      </c>
      <c r="AKJ11" s="5">
        <v>7.0000000000000007E-2</v>
      </c>
      <c r="AKK11" s="10">
        <f t="shared" si="727"/>
        <v>-2.999999999999986E-2</v>
      </c>
      <c r="AKM11" s="24">
        <v>0</v>
      </c>
      <c r="AKN11" s="6" t="s">
        <v>20</v>
      </c>
      <c r="AKO11" s="24">
        <v>0.7</v>
      </c>
      <c r="AKP11" s="6" t="s">
        <v>20</v>
      </c>
      <c r="AKQ11" s="5">
        <f t="shared" si="728"/>
        <v>0.7</v>
      </c>
      <c r="AKR11" s="3"/>
      <c r="AKS11" s="10">
        <f t="shared" ref="AKS11:AKS12" si="780">IF(ISNUMBER(AKQ11), (AKG11+AKH11)-AKQ11, "")</f>
        <v>0.40000000000000013</v>
      </c>
      <c r="AKT11" s="5">
        <v>0.12</v>
      </c>
      <c r="AKU11" s="10">
        <f t="shared" si="729"/>
        <v>-0.28000000000000014</v>
      </c>
      <c r="AKW11" s="2">
        <v>0</v>
      </c>
      <c r="AKX11" s="6" t="s">
        <v>20</v>
      </c>
      <c r="AKY11" s="2">
        <v>0.7</v>
      </c>
      <c r="AKZ11" s="6" t="s">
        <v>20</v>
      </c>
      <c r="ALA11" s="5">
        <f t="shared" si="730"/>
        <v>0.7</v>
      </c>
      <c r="ALB11" s="3">
        <v>1</v>
      </c>
      <c r="ALC11" s="10">
        <f t="shared" ref="ALC11:ALC12" si="781">IF(ISNUMBER(ALA11), (AKQ11+AKR11)-ALA11, "")</f>
        <v>0</v>
      </c>
      <c r="ALD11" s="5">
        <v>0.1</v>
      </c>
      <c r="ALE11" s="10">
        <f t="shared" si="731"/>
        <v>0.1</v>
      </c>
      <c r="ALG11" s="2">
        <v>1</v>
      </c>
      <c r="ALH11" s="6" t="s">
        <v>20</v>
      </c>
      <c r="ALI11" s="2">
        <v>0.5</v>
      </c>
      <c r="ALJ11" s="6" t="s">
        <v>20</v>
      </c>
      <c r="ALK11" s="5">
        <f t="shared" si="732"/>
        <v>1.5</v>
      </c>
      <c r="ALL11" s="3"/>
      <c r="ALM11" s="10">
        <f t="shared" ref="ALM11:ALM12" si="782">IF(ISNUMBER(ALK11), (ALA11+ALB11)-ALK11, "")</f>
        <v>0.19999999999999996</v>
      </c>
      <c r="ALN11" s="5">
        <v>0.21</v>
      </c>
      <c r="ALO11" s="10">
        <f t="shared" si="733"/>
        <v>1.0000000000000037E-2</v>
      </c>
      <c r="ALQ11" s="24">
        <v>1</v>
      </c>
      <c r="ALR11" s="6" t="s">
        <v>20</v>
      </c>
      <c r="ALS11" s="24">
        <v>0.5</v>
      </c>
      <c r="ALT11" s="6" t="s">
        <v>20</v>
      </c>
      <c r="ALU11" s="5">
        <f t="shared" si="734"/>
        <v>1.5</v>
      </c>
      <c r="ALV11" s="3"/>
      <c r="ALW11" s="10">
        <f t="shared" ref="ALW11:ALW12" si="783">IF(ISNUMBER(ALU11), (ALK11+ALL11)-ALU11, "")</f>
        <v>0</v>
      </c>
      <c r="ALX11" s="5">
        <v>0.03</v>
      </c>
      <c r="ALY11" s="10">
        <f t="shared" si="735"/>
        <v>0.03</v>
      </c>
      <c r="AMA11" s="24">
        <v>1</v>
      </c>
      <c r="AMB11" s="6" t="s">
        <v>20</v>
      </c>
      <c r="AMC11" s="24">
        <v>0.2</v>
      </c>
      <c r="AMD11" s="6" t="s">
        <v>20</v>
      </c>
      <c r="AME11" s="5">
        <f t="shared" si="736"/>
        <v>1.2</v>
      </c>
      <c r="AMF11" s="3"/>
      <c r="AMG11" s="10">
        <f t="shared" ref="AMG11:AMG12" si="784">IF(ISNUMBER(AME11), (ALU11+ALV11)-AME11, "")</f>
        <v>0.30000000000000004</v>
      </c>
      <c r="AMH11" s="5">
        <v>0.24</v>
      </c>
      <c r="AMI11" s="10">
        <f t="shared" si="737"/>
        <v>-6.0000000000000053E-2</v>
      </c>
      <c r="AMK11" s="24">
        <v>1</v>
      </c>
      <c r="AML11" s="6" t="s">
        <v>20</v>
      </c>
      <c r="AMM11" s="24">
        <v>0.1</v>
      </c>
      <c r="AMN11" s="6" t="s">
        <v>20</v>
      </c>
      <c r="AMO11" s="5">
        <f t="shared" si="738"/>
        <v>1.1000000000000001</v>
      </c>
      <c r="AMP11" s="3"/>
      <c r="AMQ11" s="10">
        <f t="shared" ref="AMQ11:AMQ12" si="785">IF(ISNUMBER(AMO11), (AME11+AMF11)-AMO11, "")</f>
        <v>9.9999999999999867E-2</v>
      </c>
      <c r="AMR11" s="5">
        <v>0.12</v>
      </c>
      <c r="AMS11" s="10">
        <f t="shared" si="739"/>
        <v>2.0000000000000129E-2</v>
      </c>
      <c r="AMU11" s="2"/>
      <c r="AMV11" s="6" t="s">
        <v>20</v>
      </c>
      <c r="AMW11" s="2">
        <v>0.7</v>
      </c>
      <c r="AMX11" s="6" t="s">
        <v>20</v>
      </c>
      <c r="AMY11" s="5">
        <f t="shared" si="740"/>
        <v>0.7</v>
      </c>
      <c r="AMZ11" s="3"/>
      <c r="ANA11" s="10">
        <f t="shared" ref="ANA11:ANA12" si="786">IF(ISNUMBER(AMY11), (AMO11+AMP11)-AMY11, "")</f>
        <v>0.40000000000000013</v>
      </c>
      <c r="ANB11" s="5">
        <v>7.0000000000000007E-2</v>
      </c>
      <c r="ANC11" s="10">
        <f t="shared" si="741"/>
        <v>-0.33000000000000013</v>
      </c>
      <c r="ANE11" s="2"/>
      <c r="ANF11" s="6" t="s">
        <v>20</v>
      </c>
      <c r="ANG11" s="2">
        <v>0.7</v>
      </c>
      <c r="ANH11" s="6" t="s">
        <v>20</v>
      </c>
      <c r="ANI11" s="5">
        <f t="shared" si="742"/>
        <v>0.7</v>
      </c>
      <c r="ANJ11" s="3"/>
      <c r="ANK11" s="10">
        <f t="shared" ref="ANK11:ANK12" si="787">IF(ISNUMBER(ANI11), (AMY11+AMZ11)-ANI11, "")</f>
        <v>0</v>
      </c>
      <c r="ANL11" s="5">
        <v>0</v>
      </c>
      <c r="ANM11" s="10">
        <f t="shared" si="743"/>
        <v>0</v>
      </c>
      <c r="ANO11" s="24"/>
      <c r="ANP11" s="6" t="s">
        <v>20</v>
      </c>
      <c r="ANQ11" s="24">
        <v>0.6</v>
      </c>
      <c r="ANR11" s="6" t="s">
        <v>20</v>
      </c>
      <c r="ANS11" s="5">
        <f t="shared" si="744"/>
        <v>0.6</v>
      </c>
      <c r="ANT11" s="3"/>
      <c r="ANU11" s="10">
        <f t="shared" ref="ANU11:ANU12" si="788">IF(ISNUMBER(ANS11), (ANI11+ANJ11)-ANS11, "")</f>
        <v>9.9999999999999978E-2</v>
      </c>
      <c r="ANV11" s="5">
        <v>0.12</v>
      </c>
      <c r="ANW11" s="10">
        <f t="shared" si="745"/>
        <v>2.0000000000000018E-2</v>
      </c>
      <c r="ANY11" s="24"/>
      <c r="ANZ11" s="6" t="s">
        <v>20</v>
      </c>
      <c r="AOA11" s="24">
        <v>0.5</v>
      </c>
      <c r="AOB11" s="6" t="s">
        <v>20</v>
      </c>
      <c r="AOC11" s="5">
        <f t="shared" si="746"/>
        <v>0.5</v>
      </c>
      <c r="AOD11" s="3">
        <v>1</v>
      </c>
      <c r="AOE11" s="10">
        <f t="shared" ref="AOE11:AOE12" si="789">IF(ISNUMBER(AOC11), (ANS11+ANT11)-AOC11, "")</f>
        <v>9.9999999999999978E-2</v>
      </c>
      <c r="AOF11" s="5">
        <v>0.12</v>
      </c>
      <c r="AOG11" s="10">
        <f t="shared" si="747"/>
        <v>2.0000000000000018E-2</v>
      </c>
      <c r="AOI11" s="24">
        <v>1</v>
      </c>
      <c r="AOJ11" s="6" t="s">
        <v>20</v>
      </c>
      <c r="AOK11" s="24">
        <v>0.3</v>
      </c>
      <c r="AOL11" s="6" t="s">
        <v>20</v>
      </c>
      <c r="AOM11" s="5">
        <f t="shared" si="748"/>
        <v>1.3</v>
      </c>
      <c r="AON11" s="3"/>
      <c r="AOO11" s="10">
        <f t="shared" ref="AOO11:AOO12" si="790">IF(ISNUMBER(AOM11), (AOC11+AOD11)-AOM11, "")</f>
        <v>0.19999999999999996</v>
      </c>
      <c r="AOP11" s="5">
        <v>0.12</v>
      </c>
      <c r="AOQ11" s="10">
        <f t="shared" si="749"/>
        <v>-7.999999999999996E-2</v>
      </c>
      <c r="AOS11" s="24">
        <v>1</v>
      </c>
      <c r="AOT11" s="6" t="s">
        <v>20</v>
      </c>
      <c r="AOU11" s="24">
        <v>0.3</v>
      </c>
      <c r="AOV11" s="6" t="s">
        <v>20</v>
      </c>
      <c r="AOW11" s="5">
        <f t="shared" si="750"/>
        <v>1.3</v>
      </c>
      <c r="AOX11" s="3"/>
      <c r="AOY11" s="10">
        <f t="shared" ref="AOY11:AOY12" si="791">IF(ISNUMBER(AOW11), (AOM11+AON11)-AOW11, "")</f>
        <v>0</v>
      </c>
      <c r="AOZ11" s="5">
        <v>7.0000000000000007E-2</v>
      </c>
      <c r="APA11" s="10">
        <f t="shared" si="751"/>
        <v>7.0000000000000007E-2</v>
      </c>
      <c r="APC11" s="24">
        <v>1</v>
      </c>
      <c r="APD11" s="6" t="s">
        <v>20</v>
      </c>
      <c r="APE11" s="24">
        <v>0.1</v>
      </c>
      <c r="APF11" s="6" t="s">
        <v>20</v>
      </c>
      <c r="APG11" s="5">
        <f t="shared" si="752"/>
        <v>1.1000000000000001</v>
      </c>
      <c r="APH11" s="3"/>
      <c r="API11" s="10">
        <f t="shared" ref="API11:API12" si="792">IF(ISNUMBER(APG11), (AOW11+AOX11)-APG11, "")</f>
        <v>0.19999999999999996</v>
      </c>
      <c r="APJ11" s="5">
        <v>0.15</v>
      </c>
      <c r="APK11" s="10">
        <f t="shared" si="753"/>
        <v>-4.9999999999999961E-2</v>
      </c>
      <c r="APM11" s="24">
        <v>1</v>
      </c>
      <c r="APN11" s="6" t="s">
        <v>20</v>
      </c>
      <c r="APO11" s="24">
        <v>0.1</v>
      </c>
      <c r="APP11" s="6" t="s">
        <v>20</v>
      </c>
      <c r="APQ11" s="5">
        <f t="shared" si="754"/>
        <v>1.1000000000000001</v>
      </c>
      <c r="APR11" s="3"/>
      <c r="APS11" s="10">
        <f t="shared" ref="APS11:APS12" si="793">IF(ISNUMBER(APQ11), (APG11+APH11)-APQ11, "")</f>
        <v>0</v>
      </c>
      <c r="APT11" s="5">
        <v>0.05</v>
      </c>
      <c r="APU11" s="10">
        <f t="shared" si="755"/>
        <v>0.05</v>
      </c>
      <c r="APW11" s="2"/>
      <c r="APX11" s="6" t="s">
        <v>20</v>
      </c>
      <c r="APY11" s="2"/>
      <c r="APZ11" s="6" t="s">
        <v>20</v>
      </c>
      <c r="AQA11" s="5" t="str">
        <f t="shared" si="756"/>
        <v/>
      </c>
      <c r="AQB11" s="3"/>
      <c r="AQC11" s="10" t="str">
        <f t="shared" ref="AQC11:AQC12" si="794">IF(ISNUMBER(AQA11), (APQ11+APR11)-AQA11, "")</f>
        <v/>
      </c>
      <c r="AQD11" s="5"/>
      <c r="AQE11" s="10" t="str">
        <f t="shared" si="757"/>
        <v/>
      </c>
    </row>
    <row r="12" spans="1:1123" ht="12.75" customHeight="1" x14ac:dyDescent="0.2">
      <c r="A12" s="22" t="s">
        <v>29</v>
      </c>
      <c r="B12" s="14">
        <v>0.5</v>
      </c>
      <c r="C12" s="23">
        <v>0.5</v>
      </c>
      <c r="E12" s="24"/>
      <c r="F12" s="6" t="s">
        <v>20</v>
      </c>
      <c r="G12" s="24">
        <v>1.5</v>
      </c>
      <c r="H12" s="6" t="s">
        <v>20</v>
      </c>
      <c r="I12" s="5">
        <f t="shared" si="463"/>
        <v>1.5</v>
      </c>
      <c r="J12" s="3"/>
      <c r="K12" s="10"/>
      <c r="L12" s="5"/>
      <c r="M12" s="10" t="str">
        <f t="shared" si="464"/>
        <v/>
      </c>
      <c r="O12" s="24"/>
      <c r="P12" s="6" t="s">
        <v>20</v>
      </c>
      <c r="Q12" s="24">
        <v>0.7</v>
      </c>
      <c r="R12" s="6" t="s">
        <v>20</v>
      </c>
      <c r="S12" s="5">
        <f t="shared" si="465"/>
        <v>0.7</v>
      </c>
      <c r="T12" s="3"/>
      <c r="U12" s="7">
        <f t="shared" si="466"/>
        <v>0.8</v>
      </c>
      <c r="V12" s="5">
        <v>0.09</v>
      </c>
      <c r="W12" s="7">
        <f t="shared" si="467"/>
        <v>-0.71000000000000008</v>
      </c>
      <c r="Y12" s="24">
        <v>0</v>
      </c>
      <c r="Z12" s="6" t="s">
        <v>20</v>
      </c>
      <c r="AA12" s="24">
        <v>0.9</v>
      </c>
      <c r="AB12" s="6" t="s">
        <v>20</v>
      </c>
      <c r="AC12" s="5">
        <f t="shared" si="468"/>
        <v>0.9</v>
      </c>
      <c r="AD12" s="3"/>
      <c r="AE12" s="10">
        <f t="shared" si="469"/>
        <v>-0.20000000000000007</v>
      </c>
      <c r="AF12" s="5">
        <v>0.04</v>
      </c>
      <c r="AG12" s="10">
        <f t="shared" si="470"/>
        <v>0.24000000000000007</v>
      </c>
      <c r="AI12" s="24">
        <v>0</v>
      </c>
      <c r="AJ12" s="6" t="s">
        <v>20</v>
      </c>
      <c r="AK12" s="24">
        <v>0.3</v>
      </c>
      <c r="AL12" s="6" t="s">
        <v>20</v>
      </c>
      <c r="AM12" s="5">
        <f t="shared" si="471"/>
        <v>0.3</v>
      </c>
      <c r="AN12" s="3">
        <v>1</v>
      </c>
      <c r="AO12" s="10">
        <f t="shared" si="472"/>
        <v>0.60000000000000009</v>
      </c>
      <c r="AP12" s="5">
        <v>0.09</v>
      </c>
      <c r="AQ12" s="10">
        <f t="shared" si="473"/>
        <v>-0.51000000000000012</v>
      </c>
      <c r="AS12" s="24">
        <v>1</v>
      </c>
      <c r="AT12" s="6" t="s">
        <v>20</v>
      </c>
      <c r="AU12" s="24">
        <v>0.3</v>
      </c>
      <c r="AV12" s="6" t="s">
        <v>20</v>
      </c>
      <c r="AW12" s="5">
        <f t="shared" si="474"/>
        <v>1.3</v>
      </c>
      <c r="AX12" s="3"/>
      <c r="AY12" s="10">
        <f t="shared" si="475"/>
        <v>0</v>
      </c>
      <c r="AZ12" s="5">
        <v>0.1</v>
      </c>
      <c r="BA12" s="10">
        <f t="shared" si="476"/>
        <v>0.1</v>
      </c>
      <c r="BC12" s="2">
        <v>1</v>
      </c>
      <c r="BD12" s="6" t="s">
        <v>20</v>
      </c>
      <c r="BE12" s="2">
        <v>0.3</v>
      </c>
      <c r="BF12" s="6" t="s">
        <v>20</v>
      </c>
      <c r="BG12" s="5">
        <f t="shared" si="477"/>
        <v>1.3</v>
      </c>
      <c r="BH12" s="3"/>
      <c r="BI12" s="10">
        <f t="shared" si="478"/>
        <v>0</v>
      </c>
      <c r="BJ12" s="5">
        <v>7.0000000000000007E-2</v>
      </c>
      <c r="BK12" s="10">
        <f t="shared" si="479"/>
        <v>7.0000000000000007E-2</v>
      </c>
      <c r="BM12" s="2">
        <v>1</v>
      </c>
      <c r="BN12" s="6" t="s">
        <v>20</v>
      </c>
      <c r="BO12" s="2">
        <v>0.3</v>
      </c>
      <c r="BP12" s="6" t="s">
        <v>20</v>
      </c>
      <c r="BQ12" s="5">
        <f t="shared" si="480"/>
        <v>1.3</v>
      </c>
      <c r="BR12" s="3"/>
      <c r="BS12" s="10">
        <f t="shared" si="481"/>
        <v>0</v>
      </c>
      <c r="BT12" s="5">
        <v>0.09</v>
      </c>
      <c r="BU12" s="10">
        <f t="shared" si="482"/>
        <v>0.09</v>
      </c>
      <c r="BW12" s="24">
        <v>1</v>
      </c>
      <c r="BX12" s="6" t="s">
        <v>20</v>
      </c>
      <c r="BY12" s="24">
        <v>0.3</v>
      </c>
      <c r="BZ12" s="6" t="s">
        <v>20</v>
      </c>
      <c r="CA12" s="5">
        <f t="shared" si="483"/>
        <v>1.3</v>
      </c>
      <c r="CB12" s="3"/>
      <c r="CC12" s="10">
        <f t="shared" si="484"/>
        <v>0</v>
      </c>
      <c r="CD12" s="5">
        <v>7.0000000000000007E-2</v>
      </c>
      <c r="CE12" s="10">
        <f t="shared" si="485"/>
        <v>7.0000000000000007E-2</v>
      </c>
      <c r="CG12" s="24">
        <v>0</v>
      </c>
      <c r="CH12" s="6" t="s">
        <v>20</v>
      </c>
      <c r="CI12" s="24">
        <v>1</v>
      </c>
      <c r="CJ12" s="6" t="s">
        <v>20</v>
      </c>
      <c r="CK12" s="5">
        <f t="shared" si="486"/>
        <v>1</v>
      </c>
      <c r="CL12" s="3"/>
      <c r="CM12" s="10">
        <f t="shared" si="487"/>
        <v>0.30000000000000004</v>
      </c>
      <c r="CN12" s="5">
        <v>0.09</v>
      </c>
      <c r="CO12" s="10">
        <f t="shared" si="488"/>
        <v>-0.21000000000000005</v>
      </c>
      <c r="CQ12" s="24">
        <v>0</v>
      </c>
      <c r="CR12" s="6" t="s">
        <v>20</v>
      </c>
      <c r="CS12" s="24">
        <v>1</v>
      </c>
      <c r="CT12" s="6" t="s">
        <v>20</v>
      </c>
      <c r="CU12" s="5">
        <f t="shared" si="489"/>
        <v>1</v>
      </c>
      <c r="CV12" s="3"/>
      <c r="CW12" s="10">
        <f t="shared" si="490"/>
        <v>0</v>
      </c>
      <c r="CX12" s="5">
        <v>0.05</v>
      </c>
      <c r="CY12" s="10">
        <f t="shared" si="491"/>
        <v>0.05</v>
      </c>
      <c r="DA12" s="24">
        <v>0</v>
      </c>
      <c r="DB12" s="6" t="s">
        <v>20</v>
      </c>
      <c r="DC12" s="24">
        <v>0.9</v>
      </c>
      <c r="DD12" s="6" t="s">
        <v>20</v>
      </c>
      <c r="DE12" s="5">
        <f t="shared" si="492"/>
        <v>0.9</v>
      </c>
      <c r="DF12" s="3"/>
      <c r="DG12" s="10">
        <f t="shared" si="493"/>
        <v>9.9999999999999978E-2</v>
      </c>
      <c r="DH12" s="5">
        <v>0.08</v>
      </c>
      <c r="DI12" s="10">
        <f t="shared" si="494"/>
        <v>-1.9999999999999976E-2</v>
      </c>
      <c r="DK12" s="24"/>
      <c r="DL12" s="6" t="s">
        <v>20</v>
      </c>
      <c r="DM12" s="24">
        <v>0.9</v>
      </c>
      <c r="DN12" s="6" t="s">
        <v>20</v>
      </c>
      <c r="DO12" s="5">
        <f t="shared" si="495"/>
        <v>0.9</v>
      </c>
      <c r="DP12" s="3"/>
      <c r="DQ12" s="10">
        <f t="shared" si="496"/>
        <v>0</v>
      </c>
      <c r="DR12" s="5">
        <v>0.18</v>
      </c>
      <c r="DS12" s="10">
        <f t="shared" si="497"/>
        <v>0.18</v>
      </c>
      <c r="DU12" s="24">
        <v>0</v>
      </c>
      <c r="DV12" s="6" t="s">
        <v>20</v>
      </c>
      <c r="DW12" s="24">
        <v>0.7</v>
      </c>
      <c r="DX12" s="6" t="s">
        <v>20</v>
      </c>
      <c r="DY12" s="5">
        <f t="shared" si="498"/>
        <v>0.7</v>
      </c>
      <c r="DZ12" s="3"/>
      <c r="EA12" s="10">
        <f t="shared" si="499"/>
        <v>0.20000000000000007</v>
      </c>
      <c r="EB12" s="5">
        <v>0.24</v>
      </c>
      <c r="EC12" s="10">
        <f t="shared" si="500"/>
        <v>3.9999999999999925E-2</v>
      </c>
      <c r="EE12" s="24">
        <v>0</v>
      </c>
      <c r="EF12" s="6" t="s">
        <v>20</v>
      </c>
      <c r="EG12" s="24">
        <v>0.3</v>
      </c>
      <c r="EH12" s="6" t="s">
        <v>20</v>
      </c>
      <c r="EI12" s="5">
        <f t="shared" si="501"/>
        <v>0.3</v>
      </c>
      <c r="EJ12" s="3"/>
      <c r="EK12" s="10">
        <f t="shared" si="502"/>
        <v>0.39999999999999997</v>
      </c>
      <c r="EL12" s="5">
        <v>0.14000000000000001</v>
      </c>
      <c r="EM12" s="10">
        <f t="shared" si="503"/>
        <v>-0.25999999999999995</v>
      </c>
      <c r="EO12" s="24">
        <v>0</v>
      </c>
      <c r="EP12" s="6" t="s">
        <v>20</v>
      </c>
      <c r="EQ12" s="24">
        <v>0.2</v>
      </c>
      <c r="ER12" s="6" t="s">
        <v>20</v>
      </c>
      <c r="ES12" s="5">
        <f t="shared" si="504"/>
        <v>0.2</v>
      </c>
      <c r="ET12" s="3">
        <v>1</v>
      </c>
      <c r="EU12" s="10">
        <f t="shared" si="505"/>
        <v>9.9999999999999978E-2</v>
      </c>
      <c r="EV12" s="5">
        <v>0.05</v>
      </c>
      <c r="EW12" s="10">
        <f t="shared" si="506"/>
        <v>-4.9999999999999975E-2</v>
      </c>
      <c r="EY12" s="24">
        <v>0</v>
      </c>
      <c r="EZ12" s="6" t="s">
        <v>20</v>
      </c>
      <c r="FA12" s="24">
        <v>0.2</v>
      </c>
      <c r="FB12" s="6" t="s">
        <v>20</v>
      </c>
      <c r="FC12" s="5">
        <f t="shared" si="507"/>
        <v>0.2</v>
      </c>
      <c r="FD12" s="3"/>
      <c r="FE12" s="10">
        <f t="shared" si="508"/>
        <v>1</v>
      </c>
      <c r="FF12" s="5">
        <v>0.14000000000000001</v>
      </c>
      <c r="FG12" s="10">
        <f t="shared" si="509"/>
        <v>-0.86</v>
      </c>
      <c r="FI12" s="24">
        <v>0</v>
      </c>
      <c r="FJ12" s="6" t="s">
        <v>20</v>
      </c>
      <c r="FK12" s="24">
        <v>1</v>
      </c>
      <c r="FL12" s="6" t="s">
        <v>20</v>
      </c>
      <c r="FM12" s="5">
        <f t="shared" si="510"/>
        <v>1</v>
      </c>
      <c r="FN12" s="3"/>
      <c r="FO12" s="10">
        <f t="shared" si="511"/>
        <v>-0.8</v>
      </c>
      <c r="FP12" s="5">
        <v>0.02</v>
      </c>
      <c r="FQ12" s="10">
        <f t="shared" si="512"/>
        <v>0.82000000000000006</v>
      </c>
      <c r="FS12" s="24">
        <v>0</v>
      </c>
      <c r="FT12" s="6" t="s">
        <v>20</v>
      </c>
      <c r="FU12" s="24">
        <v>0.9</v>
      </c>
      <c r="FV12" s="6" t="s">
        <v>20</v>
      </c>
      <c r="FW12" s="5">
        <f t="shared" si="513"/>
        <v>0.9</v>
      </c>
      <c r="FX12" s="3"/>
      <c r="FY12" s="10">
        <f t="shared" si="514"/>
        <v>9.9999999999999978E-2</v>
      </c>
      <c r="FZ12" s="5">
        <v>0.11</v>
      </c>
      <c r="GA12" s="10">
        <f t="shared" si="515"/>
        <v>1.0000000000000023E-2</v>
      </c>
      <c r="GC12" s="24">
        <v>0</v>
      </c>
      <c r="GD12" s="6" t="s">
        <v>20</v>
      </c>
      <c r="GE12" s="24">
        <v>0.7</v>
      </c>
      <c r="GF12" s="6" t="s">
        <v>20</v>
      </c>
      <c r="GG12" s="5">
        <f t="shared" si="516"/>
        <v>0.7</v>
      </c>
      <c r="GH12" s="3"/>
      <c r="GI12" s="10">
        <f t="shared" si="517"/>
        <v>0.20000000000000007</v>
      </c>
      <c r="GJ12" s="5">
        <v>0.21</v>
      </c>
      <c r="GK12" s="10">
        <f t="shared" si="518"/>
        <v>9.9999999999999256E-3</v>
      </c>
      <c r="GM12" s="24">
        <v>0</v>
      </c>
      <c r="GN12" s="6" t="s">
        <v>20</v>
      </c>
      <c r="GO12" s="24">
        <v>0.5</v>
      </c>
      <c r="GP12" s="6" t="s">
        <v>20</v>
      </c>
      <c r="GQ12" s="5">
        <f t="shared" si="519"/>
        <v>0.5</v>
      </c>
      <c r="GR12" s="3"/>
      <c r="GS12" s="10">
        <f t="shared" si="520"/>
        <v>0.19999999999999996</v>
      </c>
      <c r="GT12" s="5">
        <v>0.08</v>
      </c>
      <c r="GU12" s="10">
        <f t="shared" si="521"/>
        <v>-0.11999999999999995</v>
      </c>
      <c r="GW12" s="24">
        <v>0</v>
      </c>
      <c r="GX12" s="6" t="s">
        <v>20</v>
      </c>
      <c r="GY12" s="24">
        <v>0.9</v>
      </c>
      <c r="GZ12" s="6" t="s">
        <v>20</v>
      </c>
      <c r="HA12" s="5">
        <f t="shared" si="522"/>
        <v>0.9</v>
      </c>
      <c r="HB12" s="3"/>
      <c r="HC12" s="10">
        <f t="shared" si="523"/>
        <v>-0.4</v>
      </c>
      <c r="HD12" s="5">
        <v>0.03</v>
      </c>
      <c r="HE12" s="10">
        <f t="shared" si="524"/>
        <v>0.43000000000000005</v>
      </c>
      <c r="HG12" s="24">
        <v>0</v>
      </c>
      <c r="HH12" s="6" t="s">
        <v>20</v>
      </c>
      <c r="HI12" s="24">
        <v>0.7</v>
      </c>
      <c r="HJ12" s="6" t="s">
        <v>20</v>
      </c>
      <c r="HK12" s="5">
        <f t="shared" si="525"/>
        <v>0.7</v>
      </c>
      <c r="HL12" s="3"/>
      <c r="HM12" s="10">
        <f t="shared" si="526"/>
        <v>0.20000000000000007</v>
      </c>
      <c r="HN12" s="5">
        <v>0.21</v>
      </c>
      <c r="HO12" s="10">
        <f t="shared" si="527"/>
        <v>9.9999999999999256E-3</v>
      </c>
      <c r="HQ12" s="24">
        <v>0</v>
      </c>
      <c r="HR12" s="6" t="s">
        <v>20</v>
      </c>
      <c r="HS12" s="24">
        <v>0.3</v>
      </c>
      <c r="HT12" s="6" t="s">
        <v>20</v>
      </c>
      <c r="HU12" s="5">
        <f t="shared" si="528"/>
        <v>0.3</v>
      </c>
      <c r="HV12" s="3">
        <v>1</v>
      </c>
      <c r="HW12" s="10">
        <f t="shared" si="529"/>
        <v>0.39999999999999997</v>
      </c>
      <c r="HX12" s="5">
        <v>0.15</v>
      </c>
      <c r="HY12" s="10">
        <f t="shared" si="530"/>
        <v>-0.24999999999999997</v>
      </c>
      <c r="IA12" s="24">
        <v>0</v>
      </c>
      <c r="IB12" s="6" t="s">
        <v>20</v>
      </c>
      <c r="IC12" s="24">
        <v>0.9</v>
      </c>
      <c r="ID12" s="6" t="s">
        <v>20</v>
      </c>
      <c r="IE12" s="5">
        <f t="shared" si="531"/>
        <v>0.9</v>
      </c>
      <c r="IF12" s="3"/>
      <c r="IG12" s="10">
        <f t="shared" si="532"/>
        <v>0.4</v>
      </c>
      <c r="IH12" s="5">
        <v>0.12</v>
      </c>
      <c r="II12" s="10">
        <f t="shared" si="533"/>
        <v>-0.28000000000000003</v>
      </c>
      <c r="IK12" s="24">
        <v>0</v>
      </c>
      <c r="IL12" s="6" t="s">
        <v>20</v>
      </c>
      <c r="IM12" s="24">
        <v>0.7</v>
      </c>
      <c r="IN12" s="6" t="s">
        <v>20</v>
      </c>
      <c r="IO12" s="5">
        <f t="shared" si="534"/>
        <v>0.7</v>
      </c>
      <c r="IP12" s="3"/>
      <c r="IQ12" s="10">
        <f t="shared" si="535"/>
        <v>0.20000000000000007</v>
      </c>
      <c r="IR12" s="5">
        <v>0.33</v>
      </c>
      <c r="IS12" s="10">
        <f t="shared" si="536"/>
        <v>0.12999999999999995</v>
      </c>
      <c r="IU12" s="24">
        <v>0</v>
      </c>
      <c r="IV12" s="6" t="s">
        <v>20</v>
      </c>
      <c r="IW12" s="24">
        <v>0.5</v>
      </c>
      <c r="IX12" s="6" t="s">
        <v>20</v>
      </c>
      <c r="IY12" s="5">
        <f t="shared" si="537"/>
        <v>0.5</v>
      </c>
      <c r="IZ12" s="3"/>
      <c r="JA12" s="10">
        <f t="shared" si="538"/>
        <v>0.19999999999999996</v>
      </c>
      <c r="JB12" s="5">
        <v>0.24</v>
      </c>
      <c r="JC12" s="10">
        <f t="shared" si="539"/>
        <v>4.0000000000000036E-2</v>
      </c>
      <c r="JE12" s="24">
        <v>0</v>
      </c>
      <c r="JF12" s="6" t="s">
        <v>20</v>
      </c>
      <c r="JG12" s="24">
        <v>0.5</v>
      </c>
      <c r="JH12" s="6" t="s">
        <v>20</v>
      </c>
      <c r="JI12" s="5">
        <f t="shared" si="540"/>
        <v>0.5</v>
      </c>
      <c r="JJ12" s="3">
        <v>1</v>
      </c>
      <c r="JK12" s="10">
        <f t="shared" si="541"/>
        <v>0</v>
      </c>
      <c r="JL12" s="5">
        <v>0.05</v>
      </c>
      <c r="JM12" s="10">
        <f t="shared" si="542"/>
        <v>0.05</v>
      </c>
      <c r="JO12" s="24">
        <v>1</v>
      </c>
      <c r="JP12" s="6" t="s">
        <v>20</v>
      </c>
      <c r="JQ12" s="24">
        <v>0.1</v>
      </c>
      <c r="JR12" s="6" t="s">
        <v>20</v>
      </c>
      <c r="JS12" s="5">
        <f t="shared" si="543"/>
        <v>1.1000000000000001</v>
      </c>
      <c r="JT12" s="3"/>
      <c r="JU12" s="10">
        <f t="shared" si="544"/>
        <v>0.39999999999999991</v>
      </c>
      <c r="JV12" s="5">
        <v>0.16</v>
      </c>
      <c r="JW12" s="10">
        <f t="shared" si="545"/>
        <v>-0.23999999999999991</v>
      </c>
      <c r="JY12" s="24">
        <v>1</v>
      </c>
      <c r="JZ12" s="6" t="s">
        <v>20</v>
      </c>
      <c r="KA12" s="24">
        <v>0</v>
      </c>
      <c r="KB12" s="6" t="s">
        <v>20</v>
      </c>
      <c r="KC12" s="5">
        <f t="shared" si="546"/>
        <v>1</v>
      </c>
      <c r="KD12" s="3"/>
      <c r="KE12" s="10">
        <f t="shared" si="547"/>
        <v>0.10000000000000009</v>
      </c>
      <c r="KF12" s="5">
        <v>0.16</v>
      </c>
      <c r="KG12" s="10">
        <f t="shared" si="548"/>
        <v>5.9999999999999915E-2</v>
      </c>
      <c r="KI12" s="24">
        <v>0</v>
      </c>
      <c r="KJ12" s="6" t="s">
        <v>20</v>
      </c>
      <c r="KK12" s="24">
        <v>0.9</v>
      </c>
      <c r="KL12" s="6" t="s">
        <v>20</v>
      </c>
      <c r="KM12" s="5">
        <f t="shared" si="549"/>
        <v>0.9</v>
      </c>
      <c r="KN12" s="3"/>
      <c r="KO12" s="10">
        <f t="shared" si="550"/>
        <v>9.9999999999999978E-2</v>
      </c>
      <c r="KP12" s="5">
        <v>0.08</v>
      </c>
      <c r="KQ12" s="10">
        <f t="shared" si="551"/>
        <v>-1.9999999999999976E-2</v>
      </c>
      <c r="KS12" s="24">
        <v>0</v>
      </c>
      <c r="KT12" s="6" t="s">
        <v>20</v>
      </c>
      <c r="KU12" s="24">
        <v>0.8</v>
      </c>
      <c r="KV12" s="6" t="s">
        <v>20</v>
      </c>
      <c r="KW12" s="5">
        <f t="shared" si="552"/>
        <v>0.8</v>
      </c>
      <c r="KX12" s="3"/>
      <c r="KY12" s="10">
        <f t="shared" si="553"/>
        <v>9.9999999999999978E-2</v>
      </c>
      <c r="KZ12" s="5">
        <v>7.0000000000000007E-2</v>
      </c>
      <c r="LA12" s="10">
        <f t="shared" si="554"/>
        <v>-2.9999999999999971E-2</v>
      </c>
      <c r="LC12" s="24">
        <v>0</v>
      </c>
      <c r="LD12" s="6" t="s">
        <v>20</v>
      </c>
      <c r="LE12" s="24">
        <v>0.7</v>
      </c>
      <c r="LF12" s="6" t="s">
        <v>20</v>
      </c>
      <c r="LG12" s="5">
        <f t="shared" si="555"/>
        <v>0.7</v>
      </c>
      <c r="LH12" s="3"/>
      <c r="LI12" s="10">
        <f t="shared" si="556"/>
        <v>0.10000000000000009</v>
      </c>
      <c r="LJ12" s="5">
        <v>0.11</v>
      </c>
      <c r="LK12" s="10">
        <f t="shared" si="557"/>
        <v>9.9999999999999117E-3</v>
      </c>
      <c r="LM12" s="24">
        <v>0</v>
      </c>
      <c r="LN12" s="6" t="s">
        <v>20</v>
      </c>
      <c r="LO12" s="24">
        <v>0.7</v>
      </c>
      <c r="LP12" s="6" t="s">
        <v>20</v>
      </c>
      <c r="LQ12" s="5">
        <f t="shared" si="558"/>
        <v>0.7</v>
      </c>
      <c r="LR12" s="3"/>
      <c r="LS12" s="10">
        <f t="shared" si="559"/>
        <v>0</v>
      </c>
      <c r="LT12" s="5">
        <v>7.0000000000000007E-2</v>
      </c>
      <c r="LU12" s="10">
        <f t="shared" si="560"/>
        <v>7.0000000000000007E-2</v>
      </c>
      <c r="LW12" s="24">
        <v>0</v>
      </c>
      <c r="LX12" s="6" t="s">
        <v>20</v>
      </c>
      <c r="LY12" s="24">
        <v>0.7</v>
      </c>
      <c r="LZ12" s="6" t="s">
        <v>20</v>
      </c>
      <c r="MA12" s="5">
        <f t="shared" si="561"/>
        <v>0.7</v>
      </c>
      <c r="MB12" s="3"/>
      <c r="MC12" s="10">
        <f t="shared" si="562"/>
        <v>0</v>
      </c>
      <c r="MD12" s="5">
        <v>0.09</v>
      </c>
      <c r="ME12" s="10">
        <f t="shared" si="563"/>
        <v>0.09</v>
      </c>
      <c r="MG12" s="24">
        <v>0</v>
      </c>
      <c r="MH12" s="6" t="s">
        <v>20</v>
      </c>
      <c r="MI12" s="24">
        <v>0.5</v>
      </c>
      <c r="MJ12" s="6" t="s">
        <v>20</v>
      </c>
      <c r="MK12" s="5">
        <f t="shared" si="564"/>
        <v>0.5</v>
      </c>
      <c r="ML12" s="3">
        <v>1</v>
      </c>
      <c r="MM12" s="10">
        <f t="shared" si="565"/>
        <v>0.19999999999999996</v>
      </c>
      <c r="MN12" s="5">
        <v>0.2</v>
      </c>
      <c r="MO12" s="10">
        <f t="shared" si="566"/>
        <v>5.5511151231257827E-17</v>
      </c>
      <c r="MQ12" s="2">
        <v>1</v>
      </c>
      <c r="MR12" s="6" t="s">
        <v>20</v>
      </c>
      <c r="MS12" s="2">
        <v>0.5</v>
      </c>
      <c r="MT12" s="6" t="s">
        <v>20</v>
      </c>
      <c r="MU12" s="5">
        <f t="shared" si="567"/>
        <v>1.5</v>
      </c>
      <c r="MV12" s="3"/>
      <c r="MW12" s="10">
        <f t="shared" si="568"/>
        <v>0</v>
      </c>
      <c r="MX12" s="5">
        <v>0.09</v>
      </c>
      <c r="MY12" s="10">
        <f t="shared" si="569"/>
        <v>0.09</v>
      </c>
      <c r="NA12" s="24">
        <v>1</v>
      </c>
      <c r="NB12" s="6" t="s">
        <v>20</v>
      </c>
      <c r="NC12" s="24">
        <v>0.1</v>
      </c>
      <c r="ND12" s="6" t="s">
        <v>20</v>
      </c>
      <c r="NE12" s="5">
        <f t="shared" si="570"/>
        <v>1.1000000000000001</v>
      </c>
      <c r="NF12" s="3"/>
      <c r="NG12" s="10">
        <f t="shared" si="571"/>
        <v>0.39999999999999991</v>
      </c>
      <c r="NH12" s="5">
        <v>0.15</v>
      </c>
      <c r="NI12" s="10">
        <f t="shared" si="572"/>
        <v>-0.24999999999999992</v>
      </c>
      <c r="NK12" s="24">
        <v>0</v>
      </c>
      <c r="NL12" s="6" t="s">
        <v>20</v>
      </c>
      <c r="NM12" s="24">
        <v>1</v>
      </c>
      <c r="NN12" s="6" t="s">
        <v>20</v>
      </c>
      <c r="NO12" s="5">
        <f t="shared" si="573"/>
        <v>1</v>
      </c>
      <c r="NP12" s="3"/>
      <c r="NQ12" s="10">
        <f t="shared" si="574"/>
        <v>0.10000000000000009</v>
      </c>
      <c r="NR12" s="5">
        <v>7.0000000000000007E-2</v>
      </c>
      <c r="NS12" s="10">
        <f t="shared" si="575"/>
        <v>-3.0000000000000082E-2</v>
      </c>
      <c r="NU12" s="24">
        <v>0</v>
      </c>
      <c r="NV12" s="6" t="s">
        <v>20</v>
      </c>
      <c r="NW12" s="24">
        <v>0.9</v>
      </c>
      <c r="NX12" s="6" t="s">
        <v>20</v>
      </c>
      <c r="NY12" s="5">
        <f t="shared" si="576"/>
        <v>0.9</v>
      </c>
      <c r="NZ12" s="3"/>
      <c r="OA12" s="10">
        <f t="shared" si="577"/>
        <v>9.9999999999999978E-2</v>
      </c>
      <c r="OB12" s="5">
        <v>0.12</v>
      </c>
      <c r="OC12" s="10">
        <f t="shared" si="578"/>
        <v>2.0000000000000018E-2</v>
      </c>
      <c r="OE12" s="2">
        <v>0</v>
      </c>
      <c r="OF12" s="6" t="s">
        <v>20</v>
      </c>
      <c r="OG12" s="2">
        <v>0.7</v>
      </c>
      <c r="OH12" s="6" t="s">
        <v>20</v>
      </c>
      <c r="OI12" s="5">
        <f t="shared" si="579"/>
        <v>0.7</v>
      </c>
      <c r="OJ12" s="3"/>
      <c r="OK12" s="10">
        <f t="shared" si="580"/>
        <v>0.20000000000000007</v>
      </c>
      <c r="OL12" s="5">
        <v>0.31</v>
      </c>
      <c r="OM12" s="10">
        <f t="shared" si="581"/>
        <v>0.10999999999999993</v>
      </c>
      <c r="OO12" s="24">
        <v>0</v>
      </c>
      <c r="OP12" s="6" t="s">
        <v>20</v>
      </c>
      <c r="OQ12" s="24">
        <v>0.5</v>
      </c>
      <c r="OR12" s="6" t="s">
        <v>20</v>
      </c>
      <c r="OS12" s="5">
        <f t="shared" si="582"/>
        <v>0.5</v>
      </c>
      <c r="OT12" s="3"/>
      <c r="OU12" s="10">
        <f t="shared" si="583"/>
        <v>0.19999999999999996</v>
      </c>
      <c r="OV12" s="5">
        <v>0.13</v>
      </c>
      <c r="OW12" s="10">
        <f t="shared" si="584"/>
        <v>-6.9999999999999951E-2</v>
      </c>
      <c r="OY12" s="24">
        <v>0</v>
      </c>
      <c r="OZ12" s="6" t="s">
        <v>20</v>
      </c>
      <c r="PA12" s="24">
        <v>0.3</v>
      </c>
      <c r="PB12" s="6" t="s">
        <v>20</v>
      </c>
      <c r="PC12" s="5">
        <f t="shared" si="585"/>
        <v>0.3</v>
      </c>
      <c r="PD12" s="3"/>
      <c r="PE12" s="10">
        <f t="shared" si="586"/>
        <v>0.2</v>
      </c>
      <c r="PF12" s="5">
        <v>0.14000000000000001</v>
      </c>
      <c r="PG12" s="10">
        <f t="shared" si="587"/>
        <v>-0.06</v>
      </c>
      <c r="PI12" s="24">
        <v>0</v>
      </c>
      <c r="PJ12" s="6" t="s">
        <v>20</v>
      </c>
      <c r="PK12" s="24">
        <v>0.1</v>
      </c>
      <c r="PL12" s="6" t="s">
        <v>20</v>
      </c>
      <c r="PM12" s="5">
        <f t="shared" si="588"/>
        <v>0.1</v>
      </c>
      <c r="PN12" s="3">
        <v>1</v>
      </c>
      <c r="PO12" s="10">
        <f t="shared" si="589"/>
        <v>0.19999999999999998</v>
      </c>
      <c r="PP12" s="5">
        <v>0.16</v>
      </c>
      <c r="PQ12" s="10">
        <f t="shared" si="590"/>
        <v>-3.999999999999998E-2</v>
      </c>
      <c r="PS12" s="2">
        <v>0</v>
      </c>
      <c r="PT12" s="6" t="s">
        <v>20</v>
      </c>
      <c r="PU12" s="2">
        <v>1</v>
      </c>
      <c r="PV12" s="6" t="s">
        <v>20</v>
      </c>
      <c r="PW12" s="5">
        <f t="shared" si="591"/>
        <v>1</v>
      </c>
      <c r="PX12" s="3"/>
      <c r="PY12" s="10">
        <f t="shared" si="592"/>
        <v>0.10000000000000009</v>
      </c>
      <c r="PZ12" s="5">
        <v>0.15</v>
      </c>
      <c r="QA12" s="10">
        <f t="shared" si="593"/>
        <v>4.9999999999999906E-2</v>
      </c>
      <c r="QC12" s="24">
        <v>0</v>
      </c>
      <c r="QD12" s="6" t="s">
        <v>20</v>
      </c>
      <c r="QE12" s="24">
        <v>0.9</v>
      </c>
      <c r="QF12" s="6" t="s">
        <v>20</v>
      </c>
      <c r="QG12" s="5">
        <f t="shared" si="594"/>
        <v>0.9</v>
      </c>
      <c r="QH12" s="3"/>
      <c r="QI12" s="10">
        <f t="shared" si="595"/>
        <v>9.9999999999999978E-2</v>
      </c>
      <c r="QJ12" s="5">
        <v>7.0000000000000007E-2</v>
      </c>
      <c r="QK12" s="10">
        <f t="shared" si="596"/>
        <v>-2.9999999999999971E-2</v>
      </c>
      <c r="QM12" s="24">
        <v>0</v>
      </c>
      <c r="QN12" s="6" t="s">
        <v>20</v>
      </c>
      <c r="QO12" s="24">
        <v>0.7</v>
      </c>
      <c r="QP12" s="6" t="s">
        <v>20</v>
      </c>
      <c r="QQ12" s="5">
        <f t="shared" si="597"/>
        <v>0.7</v>
      </c>
      <c r="QR12" s="3"/>
      <c r="QS12" s="10">
        <f t="shared" si="598"/>
        <v>0.20000000000000007</v>
      </c>
      <c r="QT12" s="5">
        <v>0.11</v>
      </c>
      <c r="QU12" s="10">
        <f t="shared" si="599"/>
        <v>-9.0000000000000066E-2</v>
      </c>
      <c r="QW12" s="24">
        <v>0</v>
      </c>
      <c r="QX12" s="6" t="s">
        <v>20</v>
      </c>
      <c r="QY12" s="24">
        <v>0.6</v>
      </c>
      <c r="QZ12" s="6" t="s">
        <v>20</v>
      </c>
      <c r="RA12" s="5">
        <f t="shared" si="600"/>
        <v>0.6</v>
      </c>
      <c r="RB12" s="3"/>
      <c r="RC12" s="10">
        <f t="shared" si="601"/>
        <v>9.9999999999999978E-2</v>
      </c>
      <c r="RD12" s="5">
        <v>0.14000000000000001</v>
      </c>
      <c r="RE12" s="10">
        <f t="shared" si="602"/>
        <v>4.0000000000000036E-2</v>
      </c>
      <c r="RG12" s="24">
        <v>0.3</v>
      </c>
      <c r="RH12" s="6" t="s">
        <v>20</v>
      </c>
      <c r="RI12" s="24">
        <v>0.3</v>
      </c>
      <c r="RJ12" s="6" t="s">
        <v>20</v>
      </c>
      <c r="RK12" s="5">
        <f t="shared" si="603"/>
        <v>0.6</v>
      </c>
      <c r="RL12" s="3"/>
      <c r="RM12" s="10">
        <f t="shared" si="604"/>
        <v>0</v>
      </c>
      <c r="RN12" s="5">
        <v>0.06</v>
      </c>
      <c r="RO12" s="10">
        <f t="shared" si="605"/>
        <v>0.06</v>
      </c>
      <c r="RQ12" s="24">
        <v>0</v>
      </c>
      <c r="RR12" s="6" t="s">
        <v>20</v>
      </c>
      <c r="RS12" s="24">
        <v>0.3</v>
      </c>
      <c r="RT12" s="6" t="s">
        <v>20</v>
      </c>
      <c r="RU12" s="5">
        <f t="shared" si="606"/>
        <v>0.3</v>
      </c>
      <c r="RV12" s="3">
        <v>1</v>
      </c>
      <c r="RW12" s="10">
        <f t="shared" si="607"/>
        <v>0.3</v>
      </c>
      <c r="RX12" s="5"/>
      <c r="RY12" s="10" t="str">
        <f t="shared" si="608"/>
        <v/>
      </c>
      <c r="SA12" s="2">
        <v>1</v>
      </c>
      <c r="SB12" s="6" t="s">
        <v>20</v>
      </c>
      <c r="SC12" s="2">
        <v>0.1</v>
      </c>
      <c r="SD12" s="6" t="s">
        <v>20</v>
      </c>
      <c r="SE12" s="5">
        <f t="shared" si="609"/>
        <v>1.1000000000000001</v>
      </c>
      <c r="SF12" s="3"/>
      <c r="SG12" s="10">
        <f t="shared" si="610"/>
        <v>0.19999999999999996</v>
      </c>
      <c r="SH12" s="5">
        <v>0.08</v>
      </c>
      <c r="SI12" s="10">
        <f t="shared" si="611"/>
        <v>-0.11999999999999995</v>
      </c>
      <c r="SK12" s="24">
        <v>0</v>
      </c>
      <c r="SL12" s="6" t="s">
        <v>20</v>
      </c>
      <c r="SM12" s="24">
        <v>0.9</v>
      </c>
      <c r="SN12" s="6" t="s">
        <v>20</v>
      </c>
      <c r="SO12" s="5">
        <f t="shared" si="612"/>
        <v>0.9</v>
      </c>
      <c r="SP12" s="3"/>
      <c r="SQ12" s="10">
        <f t="shared" si="613"/>
        <v>0.20000000000000007</v>
      </c>
      <c r="SR12" s="5">
        <v>0.12</v>
      </c>
      <c r="SS12" s="10">
        <f t="shared" si="614"/>
        <v>-8.0000000000000071E-2</v>
      </c>
      <c r="SU12" s="24">
        <v>0</v>
      </c>
      <c r="SV12" s="6" t="s">
        <v>20</v>
      </c>
      <c r="SW12" s="24">
        <v>0.7</v>
      </c>
      <c r="SX12" s="6" t="s">
        <v>20</v>
      </c>
      <c r="SY12" s="5">
        <f t="shared" si="615"/>
        <v>0.7</v>
      </c>
      <c r="SZ12" s="3"/>
      <c r="TA12" s="10">
        <f t="shared" si="616"/>
        <v>0.20000000000000007</v>
      </c>
      <c r="TB12" s="5">
        <v>0.13</v>
      </c>
      <c r="TC12" s="10">
        <f t="shared" si="617"/>
        <v>-7.0000000000000062E-2</v>
      </c>
      <c r="TE12" s="24">
        <v>0</v>
      </c>
      <c r="TF12" s="6" t="s">
        <v>20</v>
      </c>
      <c r="TG12" s="24">
        <v>0.7</v>
      </c>
      <c r="TH12" s="6" t="s">
        <v>20</v>
      </c>
      <c r="TI12" s="5">
        <f t="shared" si="618"/>
        <v>0.7</v>
      </c>
      <c r="TJ12" s="3"/>
      <c r="TK12" s="10">
        <f t="shared" si="619"/>
        <v>0</v>
      </c>
      <c r="TL12" s="5">
        <v>0.04</v>
      </c>
      <c r="TM12" s="10">
        <f t="shared" si="620"/>
        <v>0.04</v>
      </c>
      <c r="TO12" s="24">
        <v>0</v>
      </c>
      <c r="TP12" s="6" t="s">
        <v>20</v>
      </c>
      <c r="TQ12" s="24">
        <v>0.6</v>
      </c>
      <c r="TR12" s="6" t="s">
        <v>20</v>
      </c>
      <c r="TS12" s="5">
        <f t="shared" si="621"/>
        <v>0.6</v>
      </c>
      <c r="TT12" s="3"/>
      <c r="TU12" s="10">
        <f t="shared" si="622"/>
        <v>9.9999999999999978E-2</v>
      </c>
      <c r="TV12" s="5">
        <v>0.11</v>
      </c>
      <c r="TW12" s="10">
        <f t="shared" si="623"/>
        <v>1.0000000000000023E-2</v>
      </c>
      <c r="TY12" s="24">
        <v>0</v>
      </c>
      <c r="TZ12" s="6" t="s">
        <v>20</v>
      </c>
      <c r="UA12" s="24">
        <v>0.5</v>
      </c>
      <c r="UB12" s="6" t="s">
        <v>20</v>
      </c>
      <c r="UC12" s="5">
        <f t="shared" si="624"/>
        <v>0.5</v>
      </c>
      <c r="UD12" s="3"/>
      <c r="UE12" s="10">
        <f t="shared" si="625"/>
        <v>9.9999999999999978E-2</v>
      </c>
      <c r="UF12" s="5">
        <v>0.09</v>
      </c>
      <c r="UG12" s="10">
        <f t="shared" si="626"/>
        <v>-9.9999999999999811E-3</v>
      </c>
      <c r="UI12" s="2">
        <v>0</v>
      </c>
      <c r="UJ12" s="6" t="s">
        <v>20</v>
      </c>
      <c r="UK12" s="2">
        <v>0</v>
      </c>
      <c r="UL12" s="6" t="s">
        <v>20</v>
      </c>
      <c r="UM12" s="5">
        <f t="shared" si="627"/>
        <v>0</v>
      </c>
      <c r="UN12" s="3"/>
      <c r="UO12" s="10">
        <f t="shared" si="628"/>
        <v>0.5</v>
      </c>
      <c r="UP12" s="5">
        <v>0.22</v>
      </c>
      <c r="UQ12" s="10">
        <f t="shared" si="629"/>
        <v>-0.28000000000000003</v>
      </c>
      <c r="US12" s="24">
        <v>0</v>
      </c>
      <c r="UT12" s="6" t="s">
        <v>20</v>
      </c>
      <c r="UU12" s="24">
        <v>0</v>
      </c>
      <c r="UV12" s="6" t="s">
        <v>20</v>
      </c>
      <c r="UW12" s="5">
        <f t="shared" si="630"/>
        <v>0</v>
      </c>
      <c r="UX12" s="3">
        <v>1</v>
      </c>
      <c r="UY12" s="10">
        <f t="shared" si="631"/>
        <v>0</v>
      </c>
      <c r="UZ12" s="5"/>
      <c r="VA12" s="10" t="str">
        <f t="shared" si="632"/>
        <v/>
      </c>
      <c r="VC12" s="2">
        <v>0</v>
      </c>
      <c r="VD12" s="6" t="s">
        <v>20</v>
      </c>
      <c r="VE12" s="2">
        <v>0.9</v>
      </c>
      <c r="VF12" s="6" t="s">
        <v>20</v>
      </c>
      <c r="VG12" s="5">
        <f t="shared" si="633"/>
        <v>0.9</v>
      </c>
      <c r="VH12" s="3"/>
      <c r="VI12" s="10">
        <f t="shared" si="634"/>
        <v>9.9999999999999978E-2</v>
      </c>
      <c r="VJ12" s="5">
        <v>0.08</v>
      </c>
      <c r="VK12" s="10">
        <f t="shared" si="635"/>
        <v>-1.9999999999999976E-2</v>
      </c>
      <c r="VM12" s="24">
        <v>0</v>
      </c>
      <c r="VN12" s="6" t="s">
        <v>20</v>
      </c>
      <c r="VO12" s="24">
        <v>0.7</v>
      </c>
      <c r="VP12" s="6" t="s">
        <v>20</v>
      </c>
      <c r="VQ12" s="5">
        <f t="shared" si="636"/>
        <v>0.7</v>
      </c>
      <c r="VR12" s="3"/>
      <c r="VS12" s="10">
        <f t="shared" si="637"/>
        <v>0.20000000000000007</v>
      </c>
      <c r="VT12" s="5">
        <v>0.11</v>
      </c>
      <c r="VU12" s="10">
        <f t="shared" si="638"/>
        <v>-9.0000000000000066E-2</v>
      </c>
      <c r="VW12" s="2">
        <v>0</v>
      </c>
      <c r="VX12" s="6" t="s">
        <v>20</v>
      </c>
      <c r="VY12" s="2">
        <v>0.6</v>
      </c>
      <c r="VZ12" s="6" t="s">
        <v>20</v>
      </c>
      <c r="WA12" s="5">
        <f t="shared" si="639"/>
        <v>0.6</v>
      </c>
      <c r="WB12" s="3"/>
      <c r="WC12" s="10">
        <f t="shared" si="640"/>
        <v>9.9999999999999978E-2</v>
      </c>
      <c r="WD12" s="5">
        <v>0.15</v>
      </c>
      <c r="WE12" s="10">
        <f t="shared" si="641"/>
        <v>5.0000000000000017E-2</v>
      </c>
      <c r="WG12" s="2"/>
      <c r="WH12" s="6" t="s">
        <v>20</v>
      </c>
      <c r="WI12" s="2">
        <v>0.5</v>
      </c>
      <c r="WJ12" s="6" t="s">
        <v>20</v>
      </c>
      <c r="WK12" s="5">
        <f t="shared" si="642"/>
        <v>0.5</v>
      </c>
      <c r="WL12" s="3"/>
      <c r="WM12" s="10">
        <f t="shared" si="643"/>
        <v>9.9999999999999978E-2</v>
      </c>
      <c r="WN12" s="5">
        <v>0.09</v>
      </c>
      <c r="WO12" s="10">
        <f t="shared" si="644"/>
        <v>-9.9999999999999811E-3</v>
      </c>
      <c r="WQ12" s="2">
        <v>0</v>
      </c>
      <c r="WR12" s="6" t="s">
        <v>20</v>
      </c>
      <c r="WS12" s="2">
        <v>0.1</v>
      </c>
      <c r="WT12" s="6" t="s">
        <v>20</v>
      </c>
      <c r="WU12" s="5">
        <f t="shared" si="645"/>
        <v>0.1</v>
      </c>
      <c r="WV12" s="3"/>
      <c r="WW12" s="10">
        <f t="shared" si="646"/>
        <v>0.4</v>
      </c>
      <c r="WX12" s="5">
        <v>0.28999999999999998</v>
      </c>
      <c r="WY12" s="10">
        <f t="shared" si="647"/>
        <v>-0.11000000000000004</v>
      </c>
      <c r="XA12" s="24">
        <v>0</v>
      </c>
      <c r="XB12" s="6" t="s">
        <v>20</v>
      </c>
      <c r="XC12" s="24">
        <v>0</v>
      </c>
      <c r="XD12" s="6" t="s">
        <v>20</v>
      </c>
      <c r="XE12" s="5">
        <f t="shared" si="648"/>
        <v>0</v>
      </c>
      <c r="XF12" s="3">
        <v>1</v>
      </c>
      <c r="XG12" s="10">
        <f t="shared" si="649"/>
        <v>0.1</v>
      </c>
      <c r="XH12" s="5"/>
      <c r="XI12" s="10" t="str">
        <f t="shared" si="650"/>
        <v/>
      </c>
      <c r="XK12" s="24"/>
      <c r="XL12" s="6" t="s">
        <v>20</v>
      </c>
      <c r="XM12" s="24">
        <v>0.7</v>
      </c>
      <c r="XN12" s="6" t="s">
        <v>20</v>
      </c>
      <c r="XO12" s="5">
        <f t="shared" si="651"/>
        <v>0.7</v>
      </c>
      <c r="XP12" s="3"/>
      <c r="XQ12" s="10">
        <f t="shared" si="652"/>
        <v>0.30000000000000004</v>
      </c>
      <c r="XR12" s="5">
        <v>0.22</v>
      </c>
      <c r="XS12" s="10">
        <f t="shared" si="653"/>
        <v>-8.0000000000000043E-2</v>
      </c>
      <c r="XU12" s="24"/>
      <c r="XV12" s="6" t="s">
        <v>20</v>
      </c>
      <c r="XW12" s="24">
        <v>0.5</v>
      </c>
      <c r="XX12" s="6" t="s">
        <v>20</v>
      </c>
      <c r="XY12" s="5">
        <f t="shared" si="654"/>
        <v>0.5</v>
      </c>
      <c r="XZ12" s="3">
        <v>1</v>
      </c>
      <c r="YA12" s="10">
        <f t="shared" si="655"/>
        <v>0.19999999999999996</v>
      </c>
      <c r="YB12" s="5">
        <v>0.19</v>
      </c>
      <c r="YC12" s="10">
        <f t="shared" si="656"/>
        <v>-9.9999999999999534E-3</v>
      </c>
      <c r="YE12" s="24">
        <v>1</v>
      </c>
      <c r="YF12" s="6" t="s">
        <v>20</v>
      </c>
      <c r="YG12" s="24">
        <v>0.5</v>
      </c>
      <c r="YH12" s="6" t="s">
        <v>20</v>
      </c>
      <c r="YI12" s="5">
        <f t="shared" si="657"/>
        <v>1.5</v>
      </c>
      <c r="YJ12" s="3"/>
      <c r="YK12" s="10">
        <f t="shared" si="658"/>
        <v>0</v>
      </c>
      <c r="YL12" s="5">
        <v>0.04</v>
      </c>
      <c r="YM12" s="10">
        <f t="shared" si="659"/>
        <v>0.04</v>
      </c>
      <c r="YO12" s="24">
        <v>1</v>
      </c>
      <c r="YP12" s="6" t="s">
        <v>20</v>
      </c>
      <c r="YQ12" s="24">
        <v>0.4</v>
      </c>
      <c r="YR12" s="6" t="s">
        <v>20</v>
      </c>
      <c r="YS12" s="5">
        <f t="shared" si="660"/>
        <v>1.4</v>
      </c>
      <c r="YT12" s="3"/>
      <c r="YU12" s="10">
        <f t="shared" si="661"/>
        <v>0.10000000000000009</v>
      </c>
      <c r="YV12" s="5">
        <v>0.09</v>
      </c>
      <c r="YW12" s="10">
        <f t="shared" si="662"/>
        <v>-1.0000000000000092E-2</v>
      </c>
      <c r="YY12" s="24">
        <v>1</v>
      </c>
      <c r="YZ12" s="6" t="s">
        <v>20</v>
      </c>
      <c r="ZA12" s="24">
        <v>0.3</v>
      </c>
      <c r="ZB12" s="6" t="s">
        <v>20</v>
      </c>
      <c r="ZC12" s="5">
        <f t="shared" si="663"/>
        <v>1.3</v>
      </c>
      <c r="ZD12" s="3"/>
      <c r="ZE12" s="10">
        <f t="shared" si="664"/>
        <v>9.9999999999999867E-2</v>
      </c>
      <c r="ZF12" s="5">
        <v>0.14000000000000001</v>
      </c>
      <c r="ZG12" s="10">
        <f t="shared" si="665"/>
        <v>4.0000000000000147E-2</v>
      </c>
      <c r="ZI12" s="24"/>
      <c r="ZJ12" s="6" t="s">
        <v>20</v>
      </c>
      <c r="ZK12" s="24">
        <v>0.8</v>
      </c>
      <c r="ZL12" s="6" t="s">
        <v>20</v>
      </c>
      <c r="ZM12" s="5">
        <f t="shared" si="666"/>
        <v>0.8</v>
      </c>
      <c r="ZN12" s="3"/>
      <c r="ZO12" s="10">
        <f t="shared" si="667"/>
        <v>0.5</v>
      </c>
      <c r="ZP12" s="5">
        <v>0.08</v>
      </c>
      <c r="ZQ12" s="10">
        <f t="shared" si="668"/>
        <v>-0.42</v>
      </c>
      <c r="ZS12" s="24"/>
      <c r="ZT12" s="6" t="s">
        <v>20</v>
      </c>
      <c r="ZU12" s="24">
        <v>0.7</v>
      </c>
      <c r="ZV12" s="6" t="s">
        <v>20</v>
      </c>
      <c r="ZW12" s="5">
        <f t="shared" si="669"/>
        <v>0.7</v>
      </c>
      <c r="ZX12" s="3">
        <v>1</v>
      </c>
      <c r="ZY12" s="10">
        <f t="shared" si="670"/>
        <v>0.10000000000000009</v>
      </c>
      <c r="ZZ12" s="5">
        <v>0.12</v>
      </c>
      <c r="AAA12" s="10">
        <f t="shared" si="671"/>
        <v>1.9999999999999907E-2</v>
      </c>
      <c r="AAC12" s="24">
        <v>1</v>
      </c>
      <c r="AAD12" s="6" t="s">
        <v>20</v>
      </c>
      <c r="AAE12" s="24">
        <v>0.9</v>
      </c>
      <c r="AAF12" s="6" t="s">
        <v>20</v>
      </c>
      <c r="AAG12" s="5">
        <f t="shared" si="672"/>
        <v>1.9</v>
      </c>
      <c r="AAH12" s="3"/>
      <c r="AAI12" s="10">
        <f t="shared" si="673"/>
        <v>-0.19999999999999996</v>
      </c>
      <c r="AAJ12" s="5">
        <v>0.05</v>
      </c>
      <c r="AAK12" s="10">
        <f t="shared" si="674"/>
        <v>0.24999999999999994</v>
      </c>
      <c r="AAM12" s="2">
        <v>1</v>
      </c>
      <c r="AAN12" s="6" t="s">
        <v>20</v>
      </c>
      <c r="AAO12" s="2">
        <v>0.7</v>
      </c>
      <c r="AAP12" s="6" t="s">
        <v>20</v>
      </c>
      <c r="AAQ12" s="5">
        <f t="shared" si="675"/>
        <v>1.7</v>
      </c>
      <c r="AAR12" s="3"/>
      <c r="AAS12" s="10">
        <f t="shared" si="676"/>
        <v>0.19999999999999996</v>
      </c>
      <c r="AAT12" s="5">
        <v>0.15</v>
      </c>
      <c r="AAU12" s="10">
        <f t="shared" si="677"/>
        <v>-4.9999999999999961E-2</v>
      </c>
      <c r="AAW12" s="2">
        <v>1</v>
      </c>
      <c r="AAX12" s="6" t="s">
        <v>20</v>
      </c>
      <c r="AAY12" s="2">
        <v>0.8</v>
      </c>
      <c r="AAZ12" s="6" t="s">
        <v>20</v>
      </c>
      <c r="ABA12" s="5">
        <f t="shared" si="678"/>
        <v>1.8</v>
      </c>
      <c r="ABB12" s="3"/>
      <c r="ABC12" s="10">
        <f t="shared" si="679"/>
        <v>-0.10000000000000009</v>
      </c>
      <c r="ABD12" s="5">
        <v>0.19</v>
      </c>
      <c r="ABE12" s="10">
        <f t="shared" si="680"/>
        <v>0.29000000000000009</v>
      </c>
      <c r="ABG12" s="24">
        <v>1</v>
      </c>
      <c r="ABH12" s="6" t="s">
        <v>20</v>
      </c>
      <c r="ABI12" s="24">
        <v>0.7</v>
      </c>
      <c r="ABJ12" s="6" t="s">
        <v>20</v>
      </c>
      <c r="ABK12" s="5">
        <f t="shared" si="681"/>
        <v>1.7</v>
      </c>
      <c r="ABL12" s="3"/>
      <c r="ABM12" s="10">
        <f t="shared" si="682"/>
        <v>0.10000000000000009</v>
      </c>
      <c r="ABN12" s="5">
        <v>0.09</v>
      </c>
      <c r="ABO12" s="10">
        <f t="shared" si="683"/>
        <v>-1.0000000000000092E-2</v>
      </c>
      <c r="ABQ12" s="2">
        <v>1</v>
      </c>
      <c r="ABR12" s="6" t="s">
        <v>20</v>
      </c>
      <c r="ABS12" s="2">
        <v>0.3</v>
      </c>
      <c r="ABT12" s="6" t="s">
        <v>20</v>
      </c>
      <c r="ABU12" s="5">
        <f t="shared" si="684"/>
        <v>1.3</v>
      </c>
      <c r="ABV12" s="3"/>
      <c r="ABW12" s="10">
        <f t="shared" si="758"/>
        <v>0.39999999999999991</v>
      </c>
      <c r="ABX12" s="5">
        <v>0.1</v>
      </c>
      <c r="ABY12" s="10">
        <f t="shared" si="685"/>
        <v>-0.29999999999999993</v>
      </c>
      <c r="ACA12" s="24">
        <v>1</v>
      </c>
      <c r="ACB12" s="6" t="s">
        <v>20</v>
      </c>
      <c r="ACC12" s="24">
        <v>0.2</v>
      </c>
      <c r="ACD12" s="6" t="s">
        <v>20</v>
      </c>
      <c r="ACE12" s="5">
        <f>IF(OR(ISNUMBER(ACA12), ISNUMBER(ACC12)), IF(ISNUMBER(ACA12), ACA12, 0) + IF(ISNUMBER(ACC12), ACC12, 0), "")</f>
        <v>1.2</v>
      </c>
      <c r="ACF12" s="3"/>
      <c r="ACG12" s="10">
        <f>IF(ISNUMBER(ACE12), (ABU12+ABV12)-ACE12, "")</f>
        <v>0.10000000000000009</v>
      </c>
      <c r="ACH12" s="5">
        <v>0.04</v>
      </c>
      <c r="ACI12" s="10">
        <f>IF(ISNUMBER(ACH12), ACH12-ACG12, "")</f>
        <v>-6.0000000000000088E-2</v>
      </c>
      <c r="ACK12" s="24">
        <v>1</v>
      </c>
      <c r="ACL12" s="6" t="s">
        <v>20</v>
      </c>
      <c r="ACM12" s="24">
        <v>0.1</v>
      </c>
      <c r="ACN12" s="6" t="s">
        <v>20</v>
      </c>
      <c r="ACO12" s="5">
        <f t="shared" si="686"/>
        <v>1.1000000000000001</v>
      </c>
      <c r="ACP12" s="3"/>
      <c r="ACQ12" s="10">
        <f t="shared" si="759"/>
        <v>9.9999999999999867E-2</v>
      </c>
      <c r="ACR12" s="5">
        <v>7.0000000000000007E-2</v>
      </c>
      <c r="ACS12" s="10">
        <f t="shared" si="687"/>
        <v>-2.999999999999986E-2</v>
      </c>
      <c r="ACU12" s="24">
        <v>1</v>
      </c>
      <c r="ACV12" s="6" t="s">
        <v>20</v>
      </c>
      <c r="ACW12" s="24">
        <v>0.1</v>
      </c>
      <c r="ACX12" s="6" t="s">
        <v>20</v>
      </c>
      <c r="ACY12" s="5">
        <f t="shared" si="688"/>
        <v>1.1000000000000001</v>
      </c>
      <c r="ACZ12" s="3"/>
      <c r="ADA12" s="10">
        <f t="shared" si="760"/>
        <v>0</v>
      </c>
      <c r="ADB12" s="5"/>
      <c r="ADC12" s="10" t="str">
        <f t="shared" si="689"/>
        <v/>
      </c>
      <c r="ADE12" s="24">
        <v>0</v>
      </c>
      <c r="ADF12" s="6" t="s">
        <v>20</v>
      </c>
      <c r="ADG12" s="24">
        <v>1</v>
      </c>
      <c r="ADH12" s="6" t="s">
        <v>20</v>
      </c>
      <c r="ADI12" s="5">
        <f t="shared" si="690"/>
        <v>1</v>
      </c>
      <c r="ADJ12" s="3">
        <v>1</v>
      </c>
      <c r="ADK12" s="10">
        <f t="shared" si="761"/>
        <v>0.10000000000000009</v>
      </c>
      <c r="ADL12" s="5">
        <v>0.09</v>
      </c>
      <c r="ADM12" s="10">
        <f t="shared" si="691"/>
        <v>-1.0000000000000092E-2</v>
      </c>
      <c r="ADO12" s="2">
        <v>1</v>
      </c>
      <c r="ADP12" s="6" t="s">
        <v>20</v>
      </c>
      <c r="ADQ12" s="2">
        <v>0.9</v>
      </c>
      <c r="ADR12" s="6" t="s">
        <v>20</v>
      </c>
      <c r="ADS12" s="5">
        <f t="shared" si="692"/>
        <v>1.9</v>
      </c>
      <c r="ADT12" s="3"/>
      <c r="ADU12" s="10">
        <f t="shared" si="762"/>
        <v>0.10000000000000009</v>
      </c>
      <c r="ADV12" s="5">
        <v>0.15</v>
      </c>
      <c r="ADW12" s="10">
        <f t="shared" si="693"/>
        <v>4.9999999999999906E-2</v>
      </c>
      <c r="ADY12" s="24">
        <v>1</v>
      </c>
      <c r="ADZ12" s="6" t="s">
        <v>20</v>
      </c>
      <c r="AEA12" s="24">
        <v>0.7</v>
      </c>
      <c r="AEB12" s="6" t="s">
        <v>20</v>
      </c>
      <c r="AEC12" s="5">
        <f t="shared" si="694"/>
        <v>1.7</v>
      </c>
      <c r="AED12" s="3"/>
      <c r="AEE12" s="10">
        <f t="shared" si="763"/>
        <v>0.19999999999999996</v>
      </c>
      <c r="AEF12" s="5">
        <v>0.18</v>
      </c>
      <c r="AEG12" s="10">
        <f t="shared" si="695"/>
        <v>-1.9999999999999962E-2</v>
      </c>
      <c r="AEI12" s="2">
        <v>1</v>
      </c>
      <c r="AEJ12" s="6" t="s">
        <v>20</v>
      </c>
      <c r="AEK12" s="2">
        <v>0.7</v>
      </c>
      <c r="AEL12" s="6" t="s">
        <v>20</v>
      </c>
      <c r="AEM12" s="5">
        <f t="shared" si="696"/>
        <v>1.7</v>
      </c>
      <c r="AEN12" s="3"/>
      <c r="AEO12" s="10">
        <f t="shared" si="764"/>
        <v>0</v>
      </c>
      <c r="AEP12" s="5">
        <v>0.11</v>
      </c>
      <c r="AEQ12" s="10">
        <f t="shared" si="697"/>
        <v>0.11</v>
      </c>
      <c r="AES12" s="24">
        <v>1</v>
      </c>
      <c r="AET12" s="6" t="s">
        <v>20</v>
      </c>
      <c r="AEU12" s="24">
        <v>0.6</v>
      </c>
      <c r="AEV12" s="6" t="s">
        <v>20</v>
      </c>
      <c r="AEW12" s="5">
        <f t="shared" si="698"/>
        <v>1.6</v>
      </c>
      <c r="AEX12" s="3"/>
      <c r="AEY12" s="10">
        <f t="shared" si="765"/>
        <v>9.9999999999999867E-2</v>
      </c>
      <c r="AEZ12" s="5">
        <v>0.09</v>
      </c>
      <c r="AFA12" s="10">
        <f t="shared" si="699"/>
        <v>-9.9999999999998701E-3</v>
      </c>
      <c r="AFC12" s="2">
        <v>1</v>
      </c>
      <c r="AFD12" s="6" t="s">
        <v>20</v>
      </c>
      <c r="AFE12" s="2">
        <v>0.5</v>
      </c>
      <c r="AFF12" s="6" t="s">
        <v>20</v>
      </c>
      <c r="AFG12" s="5">
        <f t="shared" si="700"/>
        <v>1.5</v>
      </c>
      <c r="AFH12" s="3"/>
      <c r="AFI12" s="10">
        <f t="shared" si="766"/>
        <v>0.10000000000000009</v>
      </c>
      <c r="AFJ12" s="5">
        <v>0.1</v>
      </c>
      <c r="AFK12" s="10">
        <f t="shared" si="701"/>
        <v>-8.3266726846886741E-17</v>
      </c>
      <c r="AFM12" s="2">
        <v>1</v>
      </c>
      <c r="AFN12" s="6" t="s">
        <v>20</v>
      </c>
      <c r="AFO12" s="2">
        <v>0.4</v>
      </c>
      <c r="AFP12" s="6" t="s">
        <v>20</v>
      </c>
      <c r="AFQ12" s="5">
        <f t="shared" si="702"/>
        <v>1.4</v>
      </c>
      <c r="AFR12" s="3"/>
      <c r="AFS12" s="10">
        <f t="shared" si="767"/>
        <v>0.10000000000000009</v>
      </c>
      <c r="AFT12" s="5">
        <v>0.11</v>
      </c>
      <c r="AFU12" s="10">
        <f t="shared" si="703"/>
        <v>9.9999999999999117E-3</v>
      </c>
      <c r="AFW12" s="24">
        <v>1</v>
      </c>
      <c r="AFX12" s="6" t="s">
        <v>20</v>
      </c>
      <c r="AFY12" s="24">
        <v>0.3</v>
      </c>
      <c r="AFZ12" s="6" t="s">
        <v>20</v>
      </c>
      <c r="AGA12" s="5">
        <f t="shared" si="704"/>
        <v>1.3</v>
      </c>
      <c r="AGB12" s="3"/>
      <c r="AGC12" s="10">
        <f t="shared" si="768"/>
        <v>9.9999999999999867E-2</v>
      </c>
      <c r="AGD12" s="5">
        <v>0.06</v>
      </c>
      <c r="AGE12" s="10">
        <f t="shared" si="705"/>
        <v>-3.9999999999999869E-2</v>
      </c>
      <c r="AGG12" s="24">
        <v>0</v>
      </c>
      <c r="AGH12" s="6" t="s">
        <v>20</v>
      </c>
      <c r="AGI12" s="24">
        <v>1</v>
      </c>
      <c r="AGJ12" s="6" t="s">
        <v>20</v>
      </c>
      <c r="AGK12" s="5">
        <f t="shared" si="706"/>
        <v>1</v>
      </c>
      <c r="AGL12" s="3"/>
      <c r="AGM12" s="10">
        <f t="shared" si="769"/>
        <v>0.30000000000000004</v>
      </c>
      <c r="AGN12" s="5">
        <v>0.12</v>
      </c>
      <c r="AGO12" s="10">
        <f t="shared" si="707"/>
        <v>-0.18000000000000005</v>
      </c>
      <c r="AGQ12" s="24">
        <v>0</v>
      </c>
      <c r="AGR12" s="6" t="s">
        <v>20</v>
      </c>
      <c r="AGS12" s="24">
        <v>0.9</v>
      </c>
      <c r="AGT12" s="6" t="s">
        <v>20</v>
      </c>
      <c r="AGU12" s="5">
        <f t="shared" si="708"/>
        <v>0.9</v>
      </c>
      <c r="AGV12" s="3"/>
      <c r="AGW12" s="10">
        <f t="shared" si="770"/>
        <v>9.9999999999999978E-2</v>
      </c>
      <c r="AGX12" s="5">
        <v>0.12</v>
      </c>
      <c r="AGY12" s="10">
        <f t="shared" si="709"/>
        <v>2.0000000000000018E-2</v>
      </c>
      <c r="AHA12" s="24">
        <v>0</v>
      </c>
      <c r="AHB12" s="6" t="s">
        <v>20</v>
      </c>
      <c r="AHC12" s="24">
        <v>0.8</v>
      </c>
      <c r="AHD12" s="6" t="s">
        <v>20</v>
      </c>
      <c r="AHE12" s="5">
        <f t="shared" si="710"/>
        <v>0.8</v>
      </c>
      <c r="AHF12" s="3">
        <v>1</v>
      </c>
      <c r="AHG12" s="10">
        <f t="shared" si="771"/>
        <v>9.9999999999999978E-2</v>
      </c>
      <c r="AHH12" s="5">
        <v>0.13</v>
      </c>
      <c r="AHI12" s="10">
        <f t="shared" si="711"/>
        <v>3.0000000000000027E-2</v>
      </c>
      <c r="AHK12" s="2">
        <v>1</v>
      </c>
      <c r="AHL12" s="6" t="s">
        <v>20</v>
      </c>
      <c r="AHM12" s="2">
        <v>0.7</v>
      </c>
      <c r="AHN12" s="6" t="s">
        <v>20</v>
      </c>
      <c r="AHO12" s="5">
        <f t="shared" si="712"/>
        <v>1.7</v>
      </c>
      <c r="AHP12" s="3"/>
      <c r="AHQ12" s="10">
        <f t="shared" si="772"/>
        <v>0.10000000000000009</v>
      </c>
      <c r="AHR12" s="5">
        <v>0.12</v>
      </c>
      <c r="AHS12" s="10">
        <f t="shared" si="713"/>
        <v>1.9999999999999907E-2</v>
      </c>
      <c r="AHU12" s="2">
        <v>1</v>
      </c>
      <c r="AHV12" s="6" t="s">
        <v>20</v>
      </c>
      <c r="AHW12" s="2">
        <v>0.7</v>
      </c>
      <c r="AHX12" s="6" t="s">
        <v>20</v>
      </c>
      <c r="AHY12" s="5">
        <f t="shared" si="714"/>
        <v>1.7</v>
      </c>
      <c r="AHZ12" s="3"/>
      <c r="AIA12" s="10">
        <f t="shared" si="773"/>
        <v>0</v>
      </c>
      <c r="AIB12" s="5">
        <v>0.16</v>
      </c>
      <c r="AIC12" s="10">
        <f t="shared" si="715"/>
        <v>0.16</v>
      </c>
      <c r="AIE12" s="24">
        <v>1</v>
      </c>
      <c r="AIF12" s="6" t="s">
        <v>20</v>
      </c>
      <c r="AIG12" s="24">
        <v>0.7</v>
      </c>
      <c r="AIH12" s="6" t="s">
        <v>20</v>
      </c>
      <c r="AII12" s="5">
        <f t="shared" si="716"/>
        <v>1.7</v>
      </c>
      <c r="AIJ12" s="3"/>
      <c r="AIK12" s="10">
        <f t="shared" si="774"/>
        <v>0</v>
      </c>
      <c r="AIL12" s="5">
        <v>0.17</v>
      </c>
      <c r="AIM12" s="10">
        <f t="shared" si="717"/>
        <v>0.17</v>
      </c>
      <c r="AIO12" s="24">
        <v>1</v>
      </c>
      <c r="AIP12" s="6" t="s">
        <v>20</v>
      </c>
      <c r="AIQ12" s="24">
        <v>0.7</v>
      </c>
      <c r="AIR12" s="6" t="s">
        <v>20</v>
      </c>
      <c r="AIS12" s="5">
        <f t="shared" si="718"/>
        <v>1.7</v>
      </c>
      <c r="AIT12" s="3"/>
      <c r="AIU12" s="10">
        <f t="shared" si="775"/>
        <v>0</v>
      </c>
      <c r="AIV12" s="5">
        <v>7.0000000000000007E-2</v>
      </c>
      <c r="AIW12" s="10">
        <f t="shared" si="719"/>
        <v>7.0000000000000007E-2</v>
      </c>
      <c r="AIY12" s="24">
        <v>1</v>
      </c>
      <c r="AIZ12" s="6" t="s">
        <v>20</v>
      </c>
      <c r="AJA12" s="24">
        <v>0.3</v>
      </c>
      <c r="AJB12" s="6" t="s">
        <v>20</v>
      </c>
      <c r="AJC12" s="5">
        <f t="shared" si="720"/>
        <v>1.3</v>
      </c>
      <c r="AJD12" s="3"/>
      <c r="AJE12" s="10">
        <f t="shared" si="776"/>
        <v>0.39999999999999991</v>
      </c>
      <c r="AJF12" s="5">
        <v>0.1</v>
      </c>
      <c r="AJG12" s="10">
        <f t="shared" si="721"/>
        <v>-0.29999999999999993</v>
      </c>
      <c r="AJI12" s="2">
        <v>0</v>
      </c>
      <c r="AJJ12" s="6" t="s">
        <v>20</v>
      </c>
      <c r="AJK12" s="2">
        <v>0.9</v>
      </c>
      <c r="AJL12" s="6" t="s">
        <v>20</v>
      </c>
      <c r="AJM12" s="5">
        <f t="shared" si="722"/>
        <v>0.9</v>
      </c>
      <c r="AJN12" s="3"/>
      <c r="AJO12" s="10">
        <f t="shared" si="777"/>
        <v>0.4</v>
      </c>
      <c r="AJP12" s="5">
        <v>0.03</v>
      </c>
      <c r="AJQ12" s="10">
        <f t="shared" si="723"/>
        <v>-0.37</v>
      </c>
      <c r="AJS12" s="24">
        <v>0</v>
      </c>
      <c r="AJT12" s="6" t="s">
        <v>20</v>
      </c>
      <c r="AJU12" s="24">
        <v>0.9</v>
      </c>
      <c r="AJV12" s="6" t="s">
        <v>20</v>
      </c>
      <c r="AJW12" s="5">
        <f t="shared" si="724"/>
        <v>0.9</v>
      </c>
      <c r="AJX12" s="3"/>
      <c r="AJY12" s="10">
        <f t="shared" si="778"/>
        <v>0</v>
      </c>
      <c r="AJZ12" s="5">
        <v>0.03</v>
      </c>
      <c r="AKA12" s="10">
        <f t="shared" si="725"/>
        <v>0.03</v>
      </c>
      <c r="AKC12" s="2"/>
      <c r="AKD12" s="6" t="s">
        <v>20</v>
      </c>
      <c r="AKE12" s="2">
        <v>0.6</v>
      </c>
      <c r="AKF12" s="6" t="s">
        <v>20</v>
      </c>
      <c r="AKG12" s="5">
        <f t="shared" si="726"/>
        <v>0.6</v>
      </c>
      <c r="AKH12" s="3">
        <v>1</v>
      </c>
      <c r="AKI12" s="10">
        <f t="shared" si="779"/>
        <v>0.30000000000000004</v>
      </c>
      <c r="AKJ12" s="5">
        <v>0.08</v>
      </c>
      <c r="AKK12" s="10">
        <f t="shared" si="727"/>
        <v>-0.22000000000000003</v>
      </c>
      <c r="AKM12" s="24">
        <v>1</v>
      </c>
      <c r="AKN12" s="6" t="s">
        <v>20</v>
      </c>
      <c r="AKO12" s="24">
        <v>0.5</v>
      </c>
      <c r="AKP12" s="6" t="s">
        <v>20</v>
      </c>
      <c r="AKQ12" s="5">
        <f t="shared" si="728"/>
        <v>1.5</v>
      </c>
      <c r="AKR12" s="3"/>
      <c r="AKS12" s="10">
        <f t="shared" si="780"/>
        <v>0.10000000000000009</v>
      </c>
      <c r="AKT12" s="5">
        <v>0.1</v>
      </c>
      <c r="AKU12" s="10">
        <f t="shared" si="729"/>
        <v>-8.3266726846886741E-17</v>
      </c>
      <c r="AKW12" s="2">
        <v>1</v>
      </c>
      <c r="AKX12" s="6" t="s">
        <v>20</v>
      </c>
      <c r="AKY12" s="2">
        <v>0.5</v>
      </c>
      <c r="AKZ12" s="6" t="s">
        <v>20</v>
      </c>
      <c r="ALA12" s="5">
        <f t="shared" si="730"/>
        <v>1.5</v>
      </c>
      <c r="ALB12" s="3"/>
      <c r="ALC12" s="10">
        <f t="shared" si="781"/>
        <v>0</v>
      </c>
      <c r="ALD12" s="5">
        <v>0.14000000000000001</v>
      </c>
      <c r="ALE12" s="10">
        <f t="shared" si="731"/>
        <v>0.14000000000000001</v>
      </c>
      <c r="ALG12" s="2">
        <v>1</v>
      </c>
      <c r="ALH12" s="6" t="s">
        <v>20</v>
      </c>
      <c r="ALI12" s="2">
        <v>0.5</v>
      </c>
      <c r="ALJ12" s="6" t="s">
        <v>20</v>
      </c>
      <c r="ALK12" s="5">
        <f t="shared" si="732"/>
        <v>1.5</v>
      </c>
      <c r="ALL12" s="3"/>
      <c r="ALM12" s="10">
        <f t="shared" si="782"/>
        <v>0</v>
      </c>
      <c r="ALN12" s="5">
        <v>0.06</v>
      </c>
      <c r="ALO12" s="10">
        <f t="shared" si="733"/>
        <v>0.06</v>
      </c>
      <c r="ALQ12" s="24">
        <v>1</v>
      </c>
      <c r="ALR12" s="6" t="s">
        <v>20</v>
      </c>
      <c r="ALS12" s="24">
        <v>0.5</v>
      </c>
      <c r="ALT12" s="6" t="s">
        <v>20</v>
      </c>
      <c r="ALU12" s="5">
        <f t="shared" si="734"/>
        <v>1.5</v>
      </c>
      <c r="ALV12" s="3"/>
      <c r="ALW12" s="10">
        <f t="shared" si="783"/>
        <v>0</v>
      </c>
      <c r="ALX12" s="5">
        <v>0.06</v>
      </c>
      <c r="ALY12" s="10">
        <f t="shared" si="735"/>
        <v>0.06</v>
      </c>
      <c r="AMA12" s="24">
        <v>1</v>
      </c>
      <c r="AMB12" s="6" t="s">
        <v>20</v>
      </c>
      <c r="AMC12" s="24">
        <v>0.3</v>
      </c>
      <c r="AMD12" s="6" t="s">
        <v>20</v>
      </c>
      <c r="AME12" s="5">
        <f t="shared" si="736"/>
        <v>1.3</v>
      </c>
      <c r="AMF12" s="3"/>
      <c r="AMG12" s="10">
        <f t="shared" si="784"/>
        <v>0.19999999999999996</v>
      </c>
      <c r="AMH12" s="5">
        <v>0.13</v>
      </c>
      <c r="AMI12" s="10">
        <f t="shared" si="737"/>
        <v>-6.9999999999999951E-2</v>
      </c>
      <c r="AMK12" s="24">
        <v>1</v>
      </c>
      <c r="AML12" s="6" t="s">
        <v>20</v>
      </c>
      <c r="AMM12" s="24">
        <v>0.2</v>
      </c>
      <c r="AMN12" s="6" t="s">
        <v>20</v>
      </c>
      <c r="AMO12" s="5">
        <f t="shared" si="738"/>
        <v>1.2</v>
      </c>
      <c r="AMP12" s="3"/>
      <c r="AMQ12" s="10">
        <f t="shared" si="785"/>
        <v>0.10000000000000009</v>
      </c>
      <c r="AMR12" s="5">
        <v>0.06</v>
      </c>
      <c r="AMS12" s="10">
        <f t="shared" si="739"/>
        <v>-4.0000000000000091E-2</v>
      </c>
      <c r="AMU12" s="2">
        <v>1</v>
      </c>
      <c r="AMV12" s="6" t="s">
        <v>20</v>
      </c>
      <c r="AMW12" s="2">
        <v>0.1</v>
      </c>
      <c r="AMX12" s="6" t="s">
        <v>20</v>
      </c>
      <c r="AMY12" s="5">
        <f t="shared" si="740"/>
        <v>1.1000000000000001</v>
      </c>
      <c r="AMZ12" s="3"/>
      <c r="ANA12" s="10">
        <f t="shared" si="786"/>
        <v>9.9999999999999867E-2</v>
      </c>
      <c r="ANB12" s="5">
        <v>0.13</v>
      </c>
      <c r="ANC12" s="10">
        <f t="shared" si="741"/>
        <v>3.0000000000000138E-2</v>
      </c>
      <c r="ANE12" s="2">
        <v>1</v>
      </c>
      <c r="ANF12" s="6" t="s">
        <v>20</v>
      </c>
      <c r="ANG12" s="2">
        <v>0.1</v>
      </c>
      <c r="ANH12" s="6" t="s">
        <v>20</v>
      </c>
      <c r="ANI12" s="5">
        <f t="shared" si="742"/>
        <v>1.1000000000000001</v>
      </c>
      <c r="ANJ12" s="3"/>
      <c r="ANK12" s="10">
        <f t="shared" si="787"/>
        <v>0</v>
      </c>
      <c r="ANL12" s="5">
        <v>0.03</v>
      </c>
      <c r="ANM12" s="10">
        <f t="shared" si="743"/>
        <v>0.03</v>
      </c>
      <c r="ANO12" s="24"/>
      <c r="ANP12" s="6" t="s">
        <v>20</v>
      </c>
      <c r="ANQ12" s="24">
        <v>0.9</v>
      </c>
      <c r="ANR12" s="6" t="s">
        <v>20</v>
      </c>
      <c r="ANS12" s="5">
        <f t="shared" si="744"/>
        <v>0.9</v>
      </c>
      <c r="ANT12" s="3"/>
      <c r="ANU12" s="10">
        <f t="shared" si="788"/>
        <v>0.20000000000000007</v>
      </c>
      <c r="ANV12" s="5">
        <v>7.0000000000000007E-2</v>
      </c>
      <c r="ANW12" s="10">
        <f t="shared" si="745"/>
        <v>-0.13000000000000006</v>
      </c>
      <c r="ANY12" s="24"/>
      <c r="ANZ12" s="6" t="s">
        <v>20</v>
      </c>
      <c r="AOA12" s="24">
        <v>0.9</v>
      </c>
      <c r="AOB12" s="6" t="s">
        <v>20</v>
      </c>
      <c r="AOC12" s="5">
        <f t="shared" si="746"/>
        <v>0.9</v>
      </c>
      <c r="AOD12" s="3"/>
      <c r="AOE12" s="10">
        <f t="shared" si="789"/>
        <v>0</v>
      </c>
      <c r="AOF12" s="5">
        <v>0.04</v>
      </c>
      <c r="AOG12" s="10">
        <f t="shared" si="747"/>
        <v>0.04</v>
      </c>
      <c r="AOI12" s="24"/>
      <c r="AOJ12" s="6" t="s">
        <v>20</v>
      </c>
      <c r="AOK12" s="24">
        <v>0.9</v>
      </c>
      <c r="AOL12" s="6" t="s">
        <v>20</v>
      </c>
      <c r="AOM12" s="5">
        <f t="shared" si="748"/>
        <v>0.9</v>
      </c>
      <c r="AON12" s="3"/>
      <c r="AOO12" s="10">
        <f t="shared" si="790"/>
        <v>0</v>
      </c>
      <c r="AOP12" s="5">
        <v>0.09</v>
      </c>
      <c r="AOQ12" s="10">
        <f t="shared" si="749"/>
        <v>0.09</v>
      </c>
      <c r="AOS12" s="24"/>
      <c r="AOT12" s="6" t="s">
        <v>20</v>
      </c>
      <c r="AOU12" s="24">
        <v>0.9</v>
      </c>
      <c r="AOV12" s="6" t="s">
        <v>20</v>
      </c>
      <c r="AOW12" s="5">
        <f t="shared" si="750"/>
        <v>0.9</v>
      </c>
      <c r="AOX12" s="3"/>
      <c r="AOY12" s="10">
        <f t="shared" si="791"/>
        <v>0</v>
      </c>
      <c r="AOZ12" s="5">
        <v>0.09</v>
      </c>
      <c r="APA12" s="10">
        <f t="shared" si="751"/>
        <v>0.09</v>
      </c>
      <c r="APC12" s="24">
        <v>0</v>
      </c>
      <c r="APD12" s="6" t="s">
        <v>20</v>
      </c>
      <c r="APE12" s="24">
        <v>0.9</v>
      </c>
      <c r="APF12" s="6" t="s">
        <v>20</v>
      </c>
      <c r="APG12" s="5">
        <f t="shared" si="752"/>
        <v>0.9</v>
      </c>
      <c r="APH12" s="3"/>
      <c r="API12" s="10">
        <f t="shared" si="792"/>
        <v>0</v>
      </c>
      <c r="APJ12" s="5">
        <v>0.03</v>
      </c>
      <c r="APK12" s="10">
        <f t="shared" si="753"/>
        <v>0.03</v>
      </c>
      <c r="APM12" s="24"/>
      <c r="APN12" s="6" t="s">
        <v>20</v>
      </c>
      <c r="APO12" s="24">
        <v>0.7</v>
      </c>
      <c r="APP12" s="6" t="s">
        <v>20</v>
      </c>
      <c r="APQ12" s="5">
        <f t="shared" si="754"/>
        <v>0.7</v>
      </c>
      <c r="APR12" s="3"/>
      <c r="APS12" s="10">
        <f t="shared" si="793"/>
        <v>0.20000000000000007</v>
      </c>
      <c r="APT12" s="5">
        <v>0.05</v>
      </c>
      <c r="APU12" s="10">
        <f t="shared" si="755"/>
        <v>-0.15000000000000008</v>
      </c>
      <c r="APW12" s="2"/>
      <c r="APX12" s="6" t="s">
        <v>20</v>
      </c>
      <c r="APY12" s="2"/>
      <c r="APZ12" s="6" t="s">
        <v>20</v>
      </c>
      <c r="AQA12" s="5" t="str">
        <f t="shared" si="756"/>
        <v/>
      </c>
      <c r="AQB12" s="3"/>
      <c r="AQC12" s="10" t="str">
        <f t="shared" si="794"/>
        <v/>
      </c>
      <c r="AQD12" s="5"/>
      <c r="AQE12" s="10" t="str">
        <f t="shared" si="757"/>
        <v/>
      </c>
    </row>
    <row r="13" spans="1:1123" ht="12.75" customHeight="1" x14ac:dyDescent="0.2">
      <c r="B13" s="8"/>
      <c r="C13" s="8"/>
      <c r="PR13" s="21"/>
      <c r="QB13" s="21"/>
      <c r="QL13" s="21"/>
      <c r="QV13" s="21"/>
      <c r="RF13" s="21"/>
      <c r="RP13" s="21"/>
      <c r="RZ13" s="21"/>
      <c r="SJ13" s="21"/>
      <c r="ST13" s="21"/>
      <c r="TD13" s="21"/>
      <c r="TN13" s="21"/>
      <c r="TX13" s="21"/>
      <c r="UH13" s="21"/>
      <c r="UR13" s="21"/>
      <c r="VB13" s="21"/>
      <c r="VL13" s="21"/>
      <c r="VV13" s="21"/>
      <c r="WF13" s="21"/>
      <c r="WP13" s="21"/>
      <c r="WZ13" s="21"/>
      <c r="XJ13" s="21"/>
      <c r="XT13" s="21"/>
      <c r="YD13" s="21"/>
      <c r="YN13" s="21"/>
      <c r="YX13" s="21"/>
      <c r="ZH13" s="21"/>
      <c r="ZR13" s="21"/>
      <c r="AAB13" s="21"/>
      <c r="AAL13" s="21"/>
      <c r="AAV13" s="21"/>
      <c r="ABF13" s="21"/>
      <c r="ABP13" s="21"/>
      <c r="ABZ13" s="21"/>
      <c r="ACJ13" s="21"/>
      <c r="ACT13" s="21"/>
      <c r="ADD13" s="21"/>
      <c r="ADN13" s="21"/>
      <c r="ADX13" s="21"/>
      <c r="AEH13" s="21"/>
      <c r="AER13" s="21"/>
      <c r="AFB13" s="21"/>
      <c r="AFL13" s="21"/>
      <c r="AFV13" s="21"/>
      <c r="AGF13" s="21"/>
      <c r="AGP13" s="21"/>
      <c r="AGZ13" s="21"/>
      <c r="AHJ13" s="21"/>
      <c r="AHT13" s="21"/>
      <c r="AID13" s="21"/>
      <c r="AIN13" s="21"/>
      <c r="AIX13" s="21"/>
      <c r="AJH13" s="21"/>
      <c r="AJR13" s="21"/>
      <c r="AKB13" s="21"/>
      <c r="AKL13" s="21"/>
      <c r="AKV13" s="21"/>
      <c r="ALF13" s="21"/>
      <c r="ALP13" s="21"/>
      <c r="ALZ13" s="21"/>
      <c r="AMJ13" s="21"/>
      <c r="AMT13" s="21"/>
      <c r="AND13" s="21"/>
      <c r="ANN13" s="21"/>
      <c r="ANX13" s="21"/>
      <c r="AOH13" s="21"/>
      <c r="AOR13" s="21"/>
      <c r="APB13" s="21"/>
      <c r="APL13" s="21"/>
      <c r="APV13" s="21"/>
    </row>
    <row r="14" spans="1:1123" s="21" customFormat="1" ht="9" customHeight="1" x14ac:dyDescent="0.2">
      <c r="A14" s="20" t="s">
        <v>30</v>
      </c>
      <c r="B14" s="4" t="s">
        <v>9</v>
      </c>
      <c r="C14" s="4"/>
      <c r="E14" s="39" t="s">
        <v>31</v>
      </c>
      <c r="F14" s="40"/>
      <c r="G14" s="41" t="s">
        <v>32</v>
      </c>
      <c r="H14" s="42"/>
      <c r="I14" s="42"/>
      <c r="J14" s="42"/>
      <c r="K14" s="42"/>
      <c r="L14" s="42"/>
      <c r="M14" s="43"/>
      <c r="O14" s="39" t="s">
        <v>31</v>
      </c>
      <c r="P14" s="40"/>
      <c r="Q14" s="41" t="s">
        <v>32</v>
      </c>
      <c r="R14" s="42"/>
      <c r="S14" s="42"/>
      <c r="T14" s="42"/>
      <c r="U14" s="42"/>
      <c r="V14" s="42"/>
      <c r="W14" s="43"/>
      <c r="Y14" s="39" t="s">
        <v>31</v>
      </c>
      <c r="Z14" s="40"/>
      <c r="AA14" s="41" t="s">
        <v>32</v>
      </c>
      <c r="AB14" s="42"/>
      <c r="AC14" s="42"/>
      <c r="AD14" s="42"/>
      <c r="AE14" s="42"/>
      <c r="AF14" s="42"/>
      <c r="AG14" s="43"/>
      <c r="AI14" s="39" t="s">
        <v>31</v>
      </c>
      <c r="AJ14" s="40"/>
      <c r="AK14" s="41" t="s">
        <v>32</v>
      </c>
      <c r="AL14" s="42"/>
      <c r="AM14" s="42"/>
      <c r="AN14" s="42"/>
      <c r="AO14" s="42"/>
      <c r="AP14" s="42"/>
      <c r="AQ14" s="43"/>
      <c r="AS14" s="39" t="s">
        <v>31</v>
      </c>
      <c r="AT14" s="40"/>
      <c r="AU14" s="41" t="s">
        <v>32</v>
      </c>
      <c r="AV14" s="42"/>
      <c r="AW14" s="42"/>
      <c r="AX14" s="42"/>
      <c r="AY14" s="42"/>
      <c r="AZ14" s="42"/>
      <c r="BA14" s="43"/>
      <c r="BC14" s="39" t="s">
        <v>31</v>
      </c>
      <c r="BD14" s="40"/>
      <c r="BE14" s="41" t="s">
        <v>32</v>
      </c>
      <c r="BF14" s="42"/>
      <c r="BG14" s="42"/>
      <c r="BH14" s="42"/>
      <c r="BI14" s="42"/>
      <c r="BJ14" s="42"/>
      <c r="BK14" s="43"/>
      <c r="BM14" s="39" t="s">
        <v>31</v>
      </c>
      <c r="BN14" s="40"/>
      <c r="BO14" s="41" t="s">
        <v>32</v>
      </c>
      <c r="BP14" s="42"/>
      <c r="BQ14" s="42"/>
      <c r="BR14" s="42"/>
      <c r="BS14" s="42"/>
      <c r="BT14" s="42"/>
      <c r="BU14" s="43"/>
      <c r="BW14" s="39" t="s">
        <v>31</v>
      </c>
      <c r="BX14" s="40"/>
      <c r="BY14" s="41" t="s">
        <v>32</v>
      </c>
      <c r="BZ14" s="42"/>
      <c r="CA14" s="42"/>
      <c r="CB14" s="42"/>
      <c r="CC14" s="42"/>
      <c r="CD14" s="42"/>
      <c r="CE14" s="43"/>
      <c r="CG14" s="39" t="s">
        <v>31</v>
      </c>
      <c r="CH14" s="40"/>
      <c r="CI14" s="41" t="s">
        <v>32</v>
      </c>
      <c r="CJ14" s="42"/>
      <c r="CK14" s="42"/>
      <c r="CL14" s="42"/>
      <c r="CM14" s="42"/>
      <c r="CN14" s="42"/>
      <c r="CO14" s="43"/>
      <c r="CQ14" s="39" t="s">
        <v>31</v>
      </c>
      <c r="CR14" s="40"/>
      <c r="CS14" s="41" t="s">
        <v>32</v>
      </c>
      <c r="CT14" s="42"/>
      <c r="CU14" s="42"/>
      <c r="CV14" s="42"/>
      <c r="CW14" s="42"/>
      <c r="CX14" s="42"/>
      <c r="CY14" s="43"/>
      <c r="DA14" s="39" t="s">
        <v>31</v>
      </c>
      <c r="DB14" s="40"/>
      <c r="DC14" s="41" t="s">
        <v>32</v>
      </c>
      <c r="DD14" s="42"/>
      <c r="DE14" s="42"/>
      <c r="DF14" s="42"/>
      <c r="DG14" s="42"/>
      <c r="DH14" s="42"/>
      <c r="DI14" s="43"/>
      <c r="DK14" s="39" t="s">
        <v>31</v>
      </c>
      <c r="DL14" s="40"/>
      <c r="DM14" s="41" t="s">
        <v>32</v>
      </c>
      <c r="DN14" s="42"/>
      <c r="DO14" s="42"/>
      <c r="DP14" s="42"/>
      <c r="DQ14" s="42"/>
      <c r="DR14" s="42"/>
      <c r="DS14" s="43"/>
      <c r="DU14" s="39" t="s">
        <v>31</v>
      </c>
      <c r="DV14" s="40"/>
      <c r="DW14" s="41" t="s">
        <v>32</v>
      </c>
      <c r="DX14" s="42"/>
      <c r="DY14" s="42"/>
      <c r="DZ14" s="42"/>
      <c r="EA14" s="42"/>
      <c r="EB14" s="42"/>
      <c r="EC14" s="43"/>
      <c r="EE14" s="39" t="s">
        <v>31</v>
      </c>
      <c r="EF14" s="40"/>
      <c r="EG14" s="41" t="s">
        <v>32</v>
      </c>
      <c r="EH14" s="42"/>
      <c r="EI14" s="42"/>
      <c r="EJ14" s="42"/>
      <c r="EK14" s="42"/>
      <c r="EL14" s="42"/>
      <c r="EM14" s="43"/>
      <c r="EO14" s="39" t="s">
        <v>31</v>
      </c>
      <c r="EP14" s="40"/>
      <c r="EQ14" s="41" t="s">
        <v>32</v>
      </c>
      <c r="ER14" s="42"/>
      <c r="ES14" s="42"/>
      <c r="ET14" s="42"/>
      <c r="EU14" s="42"/>
      <c r="EV14" s="42"/>
      <c r="EW14" s="43"/>
      <c r="EY14" s="39" t="s">
        <v>31</v>
      </c>
      <c r="EZ14" s="40"/>
      <c r="FA14" s="41" t="s">
        <v>32</v>
      </c>
      <c r="FB14" s="42"/>
      <c r="FC14" s="42"/>
      <c r="FD14" s="42"/>
      <c r="FE14" s="42"/>
      <c r="FF14" s="42"/>
      <c r="FG14" s="43"/>
      <c r="FI14" s="39" t="s">
        <v>31</v>
      </c>
      <c r="FJ14" s="40"/>
      <c r="FK14" s="41" t="s">
        <v>32</v>
      </c>
      <c r="FL14" s="42"/>
      <c r="FM14" s="42"/>
      <c r="FN14" s="42"/>
      <c r="FO14" s="42"/>
      <c r="FP14" s="42"/>
      <c r="FQ14" s="43"/>
      <c r="FS14" s="39" t="s">
        <v>31</v>
      </c>
      <c r="FT14" s="40"/>
      <c r="FU14" s="41" t="s">
        <v>32</v>
      </c>
      <c r="FV14" s="42"/>
      <c r="FW14" s="42"/>
      <c r="FX14" s="42"/>
      <c r="FY14" s="42"/>
      <c r="FZ14" s="42"/>
      <c r="GA14" s="43"/>
      <c r="GC14" s="39" t="s">
        <v>31</v>
      </c>
      <c r="GD14" s="40"/>
      <c r="GE14" s="41" t="s">
        <v>32</v>
      </c>
      <c r="GF14" s="42"/>
      <c r="GG14" s="42"/>
      <c r="GH14" s="42"/>
      <c r="GI14" s="42"/>
      <c r="GJ14" s="42"/>
      <c r="GK14" s="43"/>
      <c r="GM14" s="39" t="s">
        <v>31</v>
      </c>
      <c r="GN14" s="40"/>
      <c r="GO14" s="41" t="s">
        <v>32</v>
      </c>
      <c r="GP14" s="42"/>
      <c r="GQ14" s="42"/>
      <c r="GR14" s="42"/>
      <c r="GS14" s="42"/>
      <c r="GT14" s="42"/>
      <c r="GU14" s="43"/>
      <c r="GW14" s="39" t="s">
        <v>31</v>
      </c>
      <c r="GX14" s="40"/>
      <c r="GY14" s="41" t="s">
        <v>32</v>
      </c>
      <c r="GZ14" s="42"/>
      <c r="HA14" s="42"/>
      <c r="HB14" s="42"/>
      <c r="HC14" s="42"/>
      <c r="HD14" s="42"/>
      <c r="HE14" s="43"/>
      <c r="HG14" s="39" t="s">
        <v>31</v>
      </c>
      <c r="HH14" s="40"/>
      <c r="HI14" s="41" t="s">
        <v>32</v>
      </c>
      <c r="HJ14" s="42"/>
      <c r="HK14" s="42"/>
      <c r="HL14" s="42"/>
      <c r="HM14" s="42"/>
      <c r="HN14" s="42"/>
      <c r="HO14" s="43"/>
      <c r="HQ14" s="39" t="s">
        <v>31</v>
      </c>
      <c r="HR14" s="40"/>
      <c r="HS14" s="41" t="s">
        <v>32</v>
      </c>
      <c r="HT14" s="42"/>
      <c r="HU14" s="42"/>
      <c r="HV14" s="42"/>
      <c r="HW14" s="42"/>
      <c r="HX14" s="42"/>
      <c r="HY14" s="43"/>
      <c r="IA14" s="39" t="s">
        <v>31</v>
      </c>
      <c r="IB14" s="40"/>
      <c r="IC14" s="41" t="s">
        <v>32</v>
      </c>
      <c r="ID14" s="42"/>
      <c r="IE14" s="42"/>
      <c r="IF14" s="42"/>
      <c r="IG14" s="42"/>
      <c r="IH14" s="42"/>
      <c r="II14" s="43"/>
      <c r="IK14" s="39" t="s">
        <v>31</v>
      </c>
      <c r="IL14" s="40"/>
      <c r="IM14" s="41" t="s">
        <v>32</v>
      </c>
      <c r="IN14" s="42"/>
      <c r="IO14" s="42"/>
      <c r="IP14" s="42"/>
      <c r="IQ14" s="42"/>
      <c r="IR14" s="42"/>
      <c r="IS14" s="43"/>
      <c r="IU14" s="39" t="s">
        <v>31</v>
      </c>
      <c r="IV14" s="40"/>
      <c r="IW14" s="41" t="s">
        <v>32</v>
      </c>
      <c r="IX14" s="42"/>
      <c r="IY14" s="42"/>
      <c r="IZ14" s="42"/>
      <c r="JA14" s="42"/>
      <c r="JB14" s="42"/>
      <c r="JC14" s="43"/>
      <c r="JE14" s="39" t="s">
        <v>31</v>
      </c>
      <c r="JF14" s="40"/>
      <c r="JG14" s="41" t="s">
        <v>32</v>
      </c>
      <c r="JH14" s="42"/>
      <c r="JI14" s="42"/>
      <c r="JJ14" s="42"/>
      <c r="JK14" s="42"/>
      <c r="JL14" s="42"/>
      <c r="JM14" s="43"/>
      <c r="JO14" s="39" t="s">
        <v>31</v>
      </c>
      <c r="JP14" s="40"/>
      <c r="JQ14" s="41" t="s">
        <v>32</v>
      </c>
      <c r="JR14" s="42"/>
      <c r="JS14" s="42"/>
      <c r="JT14" s="42"/>
      <c r="JU14" s="42"/>
      <c r="JV14" s="42"/>
      <c r="JW14" s="43"/>
      <c r="JY14" s="39" t="s">
        <v>31</v>
      </c>
      <c r="JZ14" s="40"/>
      <c r="KA14" s="41" t="s">
        <v>32</v>
      </c>
      <c r="KB14" s="42"/>
      <c r="KC14" s="42"/>
      <c r="KD14" s="42"/>
      <c r="KE14" s="42"/>
      <c r="KF14" s="42"/>
      <c r="KG14" s="43"/>
      <c r="KI14" s="39" t="s">
        <v>31</v>
      </c>
      <c r="KJ14" s="40"/>
      <c r="KK14" s="41" t="s">
        <v>32</v>
      </c>
      <c r="KL14" s="42"/>
      <c r="KM14" s="42"/>
      <c r="KN14" s="42"/>
      <c r="KO14" s="42"/>
      <c r="KP14" s="42"/>
      <c r="KQ14" s="43"/>
      <c r="KS14" s="39" t="s">
        <v>31</v>
      </c>
      <c r="KT14" s="40"/>
      <c r="KU14" s="41" t="s">
        <v>32</v>
      </c>
      <c r="KV14" s="42"/>
      <c r="KW14" s="42"/>
      <c r="KX14" s="42"/>
      <c r="KY14" s="42"/>
      <c r="KZ14" s="42"/>
      <c r="LA14" s="43"/>
      <c r="LC14" s="39" t="s">
        <v>31</v>
      </c>
      <c r="LD14" s="40"/>
      <c r="LE14" s="41" t="s">
        <v>32</v>
      </c>
      <c r="LF14" s="42"/>
      <c r="LG14" s="42"/>
      <c r="LH14" s="42"/>
      <c r="LI14" s="42"/>
      <c r="LJ14" s="42"/>
      <c r="LK14" s="43"/>
      <c r="LM14" s="39" t="s">
        <v>31</v>
      </c>
      <c r="LN14" s="40"/>
      <c r="LO14" s="41" t="s">
        <v>32</v>
      </c>
      <c r="LP14" s="42"/>
      <c r="LQ14" s="42"/>
      <c r="LR14" s="42"/>
      <c r="LS14" s="42"/>
      <c r="LT14" s="42"/>
      <c r="LU14" s="43"/>
      <c r="LW14" s="39" t="s">
        <v>31</v>
      </c>
      <c r="LX14" s="40"/>
      <c r="LY14" s="41" t="s">
        <v>32</v>
      </c>
      <c r="LZ14" s="42"/>
      <c r="MA14" s="42"/>
      <c r="MB14" s="42"/>
      <c r="MC14" s="42"/>
      <c r="MD14" s="42"/>
      <c r="ME14" s="43"/>
      <c r="MG14" s="39" t="s">
        <v>31</v>
      </c>
      <c r="MH14" s="40"/>
      <c r="MI14" s="41" t="s">
        <v>32</v>
      </c>
      <c r="MJ14" s="42"/>
      <c r="MK14" s="42"/>
      <c r="ML14" s="42"/>
      <c r="MM14" s="42"/>
      <c r="MN14" s="42"/>
      <c r="MO14" s="43"/>
      <c r="MQ14" s="39" t="s">
        <v>31</v>
      </c>
      <c r="MR14" s="40"/>
      <c r="MS14" s="41" t="s">
        <v>32</v>
      </c>
      <c r="MT14" s="42"/>
      <c r="MU14" s="42"/>
      <c r="MV14" s="42"/>
      <c r="MW14" s="42"/>
      <c r="MX14" s="42"/>
      <c r="MY14" s="43"/>
      <c r="NA14" s="39" t="s">
        <v>31</v>
      </c>
      <c r="NB14" s="40"/>
      <c r="NC14" s="41" t="s">
        <v>32</v>
      </c>
      <c r="ND14" s="42"/>
      <c r="NE14" s="42"/>
      <c r="NF14" s="42"/>
      <c r="NG14" s="42"/>
      <c r="NH14" s="42"/>
      <c r="NI14" s="43"/>
      <c r="NK14" s="39" t="s">
        <v>31</v>
      </c>
      <c r="NL14" s="40"/>
      <c r="NM14" s="41" t="s">
        <v>32</v>
      </c>
      <c r="NN14" s="42"/>
      <c r="NO14" s="42"/>
      <c r="NP14" s="42"/>
      <c r="NQ14" s="42"/>
      <c r="NR14" s="42"/>
      <c r="NS14" s="43"/>
      <c r="NU14" s="39" t="s">
        <v>31</v>
      </c>
      <c r="NV14" s="40"/>
      <c r="NW14" s="41" t="s">
        <v>32</v>
      </c>
      <c r="NX14" s="42"/>
      <c r="NY14" s="42"/>
      <c r="NZ14" s="42"/>
      <c r="OA14" s="42"/>
      <c r="OB14" s="42"/>
      <c r="OC14" s="43"/>
      <c r="OE14" s="39" t="s">
        <v>31</v>
      </c>
      <c r="OF14" s="40"/>
      <c r="OG14" s="41" t="s">
        <v>32</v>
      </c>
      <c r="OH14" s="42"/>
      <c r="OI14" s="42"/>
      <c r="OJ14" s="42"/>
      <c r="OK14" s="42"/>
      <c r="OL14" s="42"/>
      <c r="OM14" s="43"/>
      <c r="OO14" s="39" t="s">
        <v>31</v>
      </c>
      <c r="OP14" s="40"/>
      <c r="OQ14" s="41" t="s">
        <v>32</v>
      </c>
      <c r="OR14" s="42"/>
      <c r="OS14" s="42"/>
      <c r="OT14" s="42"/>
      <c r="OU14" s="42"/>
      <c r="OV14" s="42"/>
      <c r="OW14" s="43"/>
      <c r="OY14" s="39" t="s">
        <v>31</v>
      </c>
      <c r="OZ14" s="40"/>
      <c r="PA14" s="41" t="s">
        <v>32</v>
      </c>
      <c r="PB14" s="42"/>
      <c r="PC14" s="42"/>
      <c r="PD14" s="42"/>
      <c r="PE14" s="42"/>
      <c r="PF14" s="42"/>
      <c r="PG14" s="43"/>
      <c r="PI14" s="39" t="s">
        <v>31</v>
      </c>
      <c r="PJ14" s="40"/>
      <c r="PK14" s="41" t="s">
        <v>32</v>
      </c>
      <c r="PL14" s="42"/>
      <c r="PM14" s="42"/>
      <c r="PN14" s="42"/>
      <c r="PO14" s="42"/>
      <c r="PP14" s="42"/>
      <c r="PQ14" s="43"/>
      <c r="PR14" s="1"/>
      <c r="PS14" s="39" t="s">
        <v>31</v>
      </c>
      <c r="PT14" s="40"/>
      <c r="PU14" s="41" t="s">
        <v>32</v>
      </c>
      <c r="PV14" s="42"/>
      <c r="PW14" s="42"/>
      <c r="PX14" s="42"/>
      <c r="PY14" s="42"/>
      <c r="PZ14" s="42"/>
      <c r="QA14" s="43"/>
      <c r="QB14" s="1"/>
      <c r="QC14" s="39" t="s">
        <v>31</v>
      </c>
      <c r="QD14" s="40"/>
      <c r="QE14" s="41" t="s">
        <v>32</v>
      </c>
      <c r="QF14" s="42"/>
      <c r="QG14" s="42"/>
      <c r="QH14" s="42"/>
      <c r="QI14" s="42"/>
      <c r="QJ14" s="42"/>
      <c r="QK14" s="43"/>
      <c r="QL14" s="1"/>
      <c r="QM14" s="39" t="s">
        <v>31</v>
      </c>
      <c r="QN14" s="40"/>
      <c r="QO14" s="41" t="s">
        <v>32</v>
      </c>
      <c r="QP14" s="42"/>
      <c r="QQ14" s="42"/>
      <c r="QR14" s="42"/>
      <c r="QS14" s="42"/>
      <c r="QT14" s="42"/>
      <c r="QU14" s="43"/>
      <c r="QV14" s="1"/>
      <c r="QW14" s="39" t="s">
        <v>31</v>
      </c>
      <c r="QX14" s="40"/>
      <c r="QY14" s="41" t="s">
        <v>32</v>
      </c>
      <c r="QZ14" s="42"/>
      <c r="RA14" s="42"/>
      <c r="RB14" s="42"/>
      <c r="RC14" s="42"/>
      <c r="RD14" s="42"/>
      <c r="RE14" s="43"/>
      <c r="RF14" s="1"/>
      <c r="RG14" s="39" t="s">
        <v>31</v>
      </c>
      <c r="RH14" s="40"/>
      <c r="RI14" s="41" t="s">
        <v>32</v>
      </c>
      <c r="RJ14" s="42"/>
      <c r="RK14" s="42"/>
      <c r="RL14" s="42"/>
      <c r="RM14" s="42"/>
      <c r="RN14" s="42"/>
      <c r="RO14" s="43"/>
      <c r="RP14" s="1"/>
      <c r="RQ14" s="39" t="s">
        <v>31</v>
      </c>
      <c r="RR14" s="40"/>
      <c r="RS14" s="41" t="s">
        <v>32</v>
      </c>
      <c r="RT14" s="42"/>
      <c r="RU14" s="42"/>
      <c r="RV14" s="42"/>
      <c r="RW14" s="42"/>
      <c r="RX14" s="42"/>
      <c r="RY14" s="43"/>
      <c r="RZ14" s="1"/>
      <c r="SA14" s="39" t="s">
        <v>31</v>
      </c>
      <c r="SB14" s="40"/>
      <c r="SC14" s="41" t="s">
        <v>32</v>
      </c>
      <c r="SD14" s="42"/>
      <c r="SE14" s="42"/>
      <c r="SF14" s="42"/>
      <c r="SG14" s="42"/>
      <c r="SH14" s="42"/>
      <c r="SI14" s="43"/>
      <c r="SJ14" s="1"/>
      <c r="SK14" s="39" t="s">
        <v>31</v>
      </c>
      <c r="SL14" s="40"/>
      <c r="SM14" s="41" t="s">
        <v>32</v>
      </c>
      <c r="SN14" s="42"/>
      <c r="SO14" s="42"/>
      <c r="SP14" s="42"/>
      <c r="SQ14" s="42"/>
      <c r="SR14" s="42"/>
      <c r="SS14" s="43"/>
      <c r="ST14" s="1"/>
      <c r="SU14" s="39" t="s">
        <v>31</v>
      </c>
      <c r="SV14" s="40"/>
      <c r="SW14" s="41" t="s">
        <v>32</v>
      </c>
      <c r="SX14" s="42"/>
      <c r="SY14" s="42"/>
      <c r="SZ14" s="42"/>
      <c r="TA14" s="42"/>
      <c r="TB14" s="42"/>
      <c r="TC14" s="43"/>
      <c r="TD14" s="1"/>
      <c r="TE14" s="39" t="s">
        <v>31</v>
      </c>
      <c r="TF14" s="40"/>
      <c r="TG14" s="41" t="s">
        <v>32</v>
      </c>
      <c r="TH14" s="42"/>
      <c r="TI14" s="42"/>
      <c r="TJ14" s="42"/>
      <c r="TK14" s="42"/>
      <c r="TL14" s="42"/>
      <c r="TM14" s="43"/>
      <c r="TN14" s="1"/>
      <c r="TO14" s="39" t="s">
        <v>31</v>
      </c>
      <c r="TP14" s="40"/>
      <c r="TQ14" s="41" t="s">
        <v>32</v>
      </c>
      <c r="TR14" s="42"/>
      <c r="TS14" s="42"/>
      <c r="TT14" s="42"/>
      <c r="TU14" s="42"/>
      <c r="TV14" s="42"/>
      <c r="TW14" s="43"/>
      <c r="TX14" s="1"/>
      <c r="TY14" s="39" t="s">
        <v>31</v>
      </c>
      <c r="TZ14" s="40"/>
      <c r="UA14" s="41" t="s">
        <v>32</v>
      </c>
      <c r="UB14" s="42"/>
      <c r="UC14" s="42"/>
      <c r="UD14" s="42"/>
      <c r="UE14" s="42"/>
      <c r="UF14" s="42"/>
      <c r="UG14" s="43"/>
      <c r="UH14" s="1"/>
      <c r="UI14" s="39" t="s">
        <v>31</v>
      </c>
      <c r="UJ14" s="40"/>
      <c r="UK14" s="41" t="s">
        <v>32</v>
      </c>
      <c r="UL14" s="42"/>
      <c r="UM14" s="42"/>
      <c r="UN14" s="42"/>
      <c r="UO14" s="42"/>
      <c r="UP14" s="42"/>
      <c r="UQ14" s="43"/>
      <c r="UR14" s="1"/>
      <c r="US14" s="39" t="s">
        <v>31</v>
      </c>
      <c r="UT14" s="40"/>
      <c r="UU14" s="41" t="s">
        <v>32</v>
      </c>
      <c r="UV14" s="42"/>
      <c r="UW14" s="42"/>
      <c r="UX14" s="42"/>
      <c r="UY14" s="42"/>
      <c r="UZ14" s="42"/>
      <c r="VA14" s="43"/>
      <c r="VB14" s="1"/>
      <c r="VC14" s="39" t="s">
        <v>31</v>
      </c>
      <c r="VD14" s="40"/>
      <c r="VE14" s="41" t="s">
        <v>32</v>
      </c>
      <c r="VF14" s="42"/>
      <c r="VG14" s="42"/>
      <c r="VH14" s="42"/>
      <c r="VI14" s="42"/>
      <c r="VJ14" s="42"/>
      <c r="VK14" s="43"/>
      <c r="VL14" s="1"/>
      <c r="VM14" s="39" t="s">
        <v>31</v>
      </c>
      <c r="VN14" s="40"/>
      <c r="VO14" s="41" t="s">
        <v>32</v>
      </c>
      <c r="VP14" s="42"/>
      <c r="VQ14" s="42"/>
      <c r="VR14" s="42"/>
      <c r="VS14" s="42"/>
      <c r="VT14" s="42"/>
      <c r="VU14" s="43"/>
      <c r="VV14" s="1"/>
      <c r="VW14" s="39" t="s">
        <v>31</v>
      </c>
      <c r="VX14" s="40"/>
      <c r="VY14" s="41" t="s">
        <v>32</v>
      </c>
      <c r="VZ14" s="42"/>
      <c r="WA14" s="42"/>
      <c r="WB14" s="42"/>
      <c r="WC14" s="42"/>
      <c r="WD14" s="42"/>
      <c r="WE14" s="43"/>
      <c r="WF14" s="1"/>
      <c r="WG14" s="39" t="s">
        <v>31</v>
      </c>
      <c r="WH14" s="40"/>
      <c r="WI14" s="41" t="s">
        <v>32</v>
      </c>
      <c r="WJ14" s="42"/>
      <c r="WK14" s="42"/>
      <c r="WL14" s="42"/>
      <c r="WM14" s="42"/>
      <c r="WN14" s="42"/>
      <c r="WO14" s="43"/>
      <c r="WP14" s="1"/>
      <c r="WQ14" s="39" t="s">
        <v>31</v>
      </c>
      <c r="WR14" s="40"/>
      <c r="WS14" s="41" t="s">
        <v>32</v>
      </c>
      <c r="WT14" s="42"/>
      <c r="WU14" s="42"/>
      <c r="WV14" s="42"/>
      <c r="WW14" s="42"/>
      <c r="WX14" s="42"/>
      <c r="WY14" s="43"/>
      <c r="WZ14" s="1"/>
      <c r="XA14" s="39" t="s">
        <v>31</v>
      </c>
      <c r="XB14" s="40"/>
      <c r="XC14" s="41" t="s">
        <v>32</v>
      </c>
      <c r="XD14" s="42"/>
      <c r="XE14" s="42"/>
      <c r="XF14" s="42"/>
      <c r="XG14" s="42"/>
      <c r="XH14" s="42"/>
      <c r="XI14" s="43"/>
      <c r="XJ14" s="1"/>
      <c r="XK14" s="39" t="s">
        <v>31</v>
      </c>
      <c r="XL14" s="40"/>
      <c r="XM14" s="41" t="s">
        <v>32</v>
      </c>
      <c r="XN14" s="42"/>
      <c r="XO14" s="42"/>
      <c r="XP14" s="42"/>
      <c r="XQ14" s="42"/>
      <c r="XR14" s="42"/>
      <c r="XS14" s="43"/>
      <c r="XT14" s="1"/>
      <c r="XU14" s="39" t="s">
        <v>31</v>
      </c>
      <c r="XV14" s="40"/>
      <c r="XW14" s="41" t="s">
        <v>32</v>
      </c>
      <c r="XX14" s="42"/>
      <c r="XY14" s="42"/>
      <c r="XZ14" s="42"/>
      <c r="YA14" s="42"/>
      <c r="YB14" s="42"/>
      <c r="YC14" s="43"/>
      <c r="YD14" s="1"/>
      <c r="YE14" s="39" t="s">
        <v>31</v>
      </c>
      <c r="YF14" s="40"/>
      <c r="YG14" s="41" t="s">
        <v>32</v>
      </c>
      <c r="YH14" s="42"/>
      <c r="YI14" s="42"/>
      <c r="YJ14" s="42"/>
      <c r="YK14" s="42"/>
      <c r="YL14" s="42"/>
      <c r="YM14" s="43"/>
      <c r="YN14" s="1"/>
      <c r="YO14" s="39" t="s">
        <v>31</v>
      </c>
      <c r="YP14" s="40"/>
      <c r="YQ14" s="41" t="s">
        <v>32</v>
      </c>
      <c r="YR14" s="42"/>
      <c r="YS14" s="42"/>
      <c r="YT14" s="42"/>
      <c r="YU14" s="42"/>
      <c r="YV14" s="42"/>
      <c r="YW14" s="43"/>
      <c r="YX14" s="1"/>
      <c r="YY14" s="39" t="s">
        <v>31</v>
      </c>
      <c r="YZ14" s="40"/>
      <c r="ZA14" s="41" t="s">
        <v>32</v>
      </c>
      <c r="ZB14" s="42"/>
      <c r="ZC14" s="42"/>
      <c r="ZD14" s="42"/>
      <c r="ZE14" s="42"/>
      <c r="ZF14" s="42"/>
      <c r="ZG14" s="43"/>
      <c r="ZH14" s="1"/>
      <c r="ZI14" s="39" t="s">
        <v>31</v>
      </c>
      <c r="ZJ14" s="40"/>
      <c r="ZK14" s="41" t="s">
        <v>32</v>
      </c>
      <c r="ZL14" s="42"/>
      <c r="ZM14" s="42"/>
      <c r="ZN14" s="42"/>
      <c r="ZO14" s="42"/>
      <c r="ZP14" s="42"/>
      <c r="ZQ14" s="43"/>
      <c r="ZR14" s="1"/>
      <c r="ZS14" s="39" t="s">
        <v>31</v>
      </c>
      <c r="ZT14" s="40"/>
      <c r="ZU14" s="41" t="s">
        <v>32</v>
      </c>
      <c r="ZV14" s="42"/>
      <c r="ZW14" s="42"/>
      <c r="ZX14" s="42"/>
      <c r="ZY14" s="42"/>
      <c r="ZZ14" s="42"/>
      <c r="AAA14" s="43"/>
      <c r="AAB14" s="1"/>
      <c r="AAC14" s="39" t="s">
        <v>31</v>
      </c>
      <c r="AAD14" s="40"/>
      <c r="AAE14" s="41" t="s">
        <v>32</v>
      </c>
      <c r="AAF14" s="42"/>
      <c r="AAG14" s="42"/>
      <c r="AAH14" s="42"/>
      <c r="AAI14" s="42"/>
      <c r="AAJ14" s="42"/>
      <c r="AAK14" s="43"/>
      <c r="AAL14" s="1"/>
      <c r="AAM14" s="39" t="s">
        <v>31</v>
      </c>
      <c r="AAN14" s="40"/>
      <c r="AAO14" s="41" t="s">
        <v>32</v>
      </c>
      <c r="AAP14" s="42"/>
      <c r="AAQ14" s="42"/>
      <c r="AAR14" s="42"/>
      <c r="AAS14" s="42"/>
      <c r="AAT14" s="42"/>
      <c r="AAU14" s="43"/>
      <c r="AAV14" s="1"/>
      <c r="AAW14" s="39" t="s">
        <v>31</v>
      </c>
      <c r="AAX14" s="40"/>
      <c r="AAY14" s="41" t="s">
        <v>32</v>
      </c>
      <c r="AAZ14" s="42"/>
      <c r="ABA14" s="42"/>
      <c r="ABB14" s="42"/>
      <c r="ABC14" s="42"/>
      <c r="ABD14" s="42"/>
      <c r="ABE14" s="43"/>
      <c r="ABF14" s="1"/>
      <c r="ABG14" s="39" t="s">
        <v>31</v>
      </c>
      <c r="ABH14" s="40"/>
      <c r="ABI14" s="41" t="s">
        <v>32</v>
      </c>
      <c r="ABJ14" s="42"/>
      <c r="ABK14" s="42"/>
      <c r="ABL14" s="42"/>
      <c r="ABM14" s="42"/>
      <c r="ABN14" s="42"/>
      <c r="ABO14" s="43"/>
      <c r="ABP14" s="1"/>
      <c r="ABQ14" s="39" t="s">
        <v>31</v>
      </c>
      <c r="ABR14" s="40"/>
      <c r="ABS14" s="41" t="s">
        <v>32</v>
      </c>
      <c r="ABT14" s="42"/>
      <c r="ABU14" s="42"/>
      <c r="ABV14" s="42"/>
      <c r="ABW14" s="42"/>
      <c r="ABX14" s="42"/>
      <c r="ABY14" s="43"/>
      <c r="ABZ14" s="1"/>
      <c r="ACA14" s="39" t="s">
        <v>31</v>
      </c>
      <c r="ACB14" s="40"/>
      <c r="ACC14" s="41" t="s">
        <v>32</v>
      </c>
      <c r="ACD14" s="42"/>
      <c r="ACE14" s="42"/>
      <c r="ACF14" s="42"/>
      <c r="ACG14" s="42"/>
      <c r="ACH14" s="42"/>
      <c r="ACI14" s="43"/>
      <c r="ACJ14" s="1"/>
      <c r="ACK14" s="39" t="s">
        <v>31</v>
      </c>
      <c r="ACL14" s="40"/>
      <c r="ACM14" s="41" t="s">
        <v>32</v>
      </c>
      <c r="ACN14" s="42"/>
      <c r="ACO14" s="42"/>
      <c r="ACP14" s="42"/>
      <c r="ACQ14" s="42"/>
      <c r="ACR14" s="42"/>
      <c r="ACS14" s="43"/>
      <c r="ACT14" s="1"/>
      <c r="ACU14" s="39" t="s">
        <v>31</v>
      </c>
      <c r="ACV14" s="40"/>
      <c r="ACW14" s="41" t="s">
        <v>32</v>
      </c>
      <c r="ACX14" s="42"/>
      <c r="ACY14" s="42"/>
      <c r="ACZ14" s="42"/>
      <c r="ADA14" s="42"/>
      <c r="ADB14" s="42"/>
      <c r="ADC14" s="43"/>
      <c r="ADD14" s="1"/>
      <c r="ADE14" s="39" t="s">
        <v>31</v>
      </c>
      <c r="ADF14" s="40"/>
      <c r="ADG14" s="41" t="s">
        <v>32</v>
      </c>
      <c r="ADH14" s="42"/>
      <c r="ADI14" s="42"/>
      <c r="ADJ14" s="42"/>
      <c r="ADK14" s="42"/>
      <c r="ADL14" s="42"/>
      <c r="ADM14" s="43"/>
      <c r="ADN14" s="1"/>
      <c r="ADO14" s="39" t="s">
        <v>31</v>
      </c>
      <c r="ADP14" s="40"/>
      <c r="ADQ14" s="41" t="s">
        <v>32</v>
      </c>
      <c r="ADR14" s="42"/>
      <c r="ADS14" s="42"/>
      <c r="ADT14" s="42"/>
      <c r="ADU14" s="42"/>
      <c r="ADV14" s="42"/>
      <c r="ADW14" s="43"/>
      <c r="ADX14" s="1"/>
      <c r="ADY14" s="39" t="s">
        <v>31</v>
      </c>
      <c r="ADZ14" s="40"/>
      <c r="AEA14" s="41" t="s">
        <v>32</v>
      </c>
      <c r="AEB14" s="42"/>
      <c r="AEC14" s="42"/>
      <c r="AED14" s="42"/>
      <c r="AEE14" s="42"/>
      <c r="AEF14" s="42"/>
      <c r="AEG14" s="43"/>
      <c r="AEH14" s="1"/>
      <c r="AEI14" s="39" t="s">
        <v>31</v>
      </c>
      <c r="AEJ14" s="40"/>
      <c r="AEK14" s="41" t="s">
        <v>32</v>
      </c>
      <c r="AEL14" s="42"/>
      <c r="AEM14" s="42"/>
      <c r="AEN14" s="42"/>
      <c r="AEO14" s="42"/>
      <c r="AEP14" s="42"/>
      <c r="AEQ14" s="43"/>
      <c r="AER14" s="1"/>
      <c r="AES14" s="39" t="s">
        <v>31</v>
      </c>
      <c r="AET14" s="40"/>
      <c r="AEU14" s="41" t="s">
        <v>32</v>
      </c>
      <c r="AEV14" s="42"/>
      <c r="AEW14" s="42"/>
      <c r="AEX14" s="42"/>
      <c r="AEY14" s="42"/>
      <c r="AEZ14" s="42"/>
      <c r="AFA14" s="43"/>
      <c r="AFB14" s="1"/>
      <c r="AFC14" s="39" t="s">
        <v>31</v>
      </c>
      <c r="AFD14" s="40"/>
      <c r="AFE14" s="41" t="s">
        <v>32</v>
      </c>
      <c r="AFF14" s="42"/>
      <c r="AFG14" s="42"/>
      <c r="AFH14" s="42"/>
      <c r="AFI14" s="42"/>
      <c r="AFJ14" s="42"/>
      <c r="AFK14" s="43"/>
      <c r="AFL14" s="1"/>
      <c r="AFM14" s="39" t="s">
        <v>31</v>
      </c>
      <c r="AFN14" s="40"/>
      <c r="AFO14" s="41" t="s">
        <v>32</v>
      </c>
      <c r="AFP14" s="42"/>
      <c r="AFQ14" s="42"/>
      <c r="AFR14" s="42"/>
      <c r="AFS14" s="42"/>
      <c r="AFT14" s="42"/>
      <c r="AFU14" s="43"/>
      <c r="AFV14" s="1"/>
      <c r="AFW14" s="39" t="s">
        <v>31</v>
      </c>
      <c r="AFX14" s="40"/>
      <c r="AFY14" s="41" t="s">
        <v>32</v>
      </c>
      <c r="AFZ14" s="42"/>
      <c r="AGA14" s="42"/>
      <c r="AGB14" s="42"/>
      <c r="AGC14" s="42"/>
      <c r="AGD14" s="42"/>
      <c r="AGE14" s="43"/>
      <c r="AGF14" s="1"/>
      <c r="AGG14" s="39" t="s">
        <v>31</v>
      </c>
      <c r="AGH14" s="40"/>
      <c r="AGI14" s="41" t="s">
        <v>32</v>
      </c>
      <c r="AGJ14" s="42"/>
      <c r="AGK14" s="42"/>
      <c r="AGL14" s="42"/>
      <c r="AGM14" s="42"/>
      <c r="AGN14" s="42"/>
      <c r="AGO14" s="43"/>
      <c r="AGP14" s="1"/>
      <c r="AGQ14" s="39" t="s">
        <v>31</v>
      </c>
      <c r="AGR14" s="40"/>
      <c r="AGS14" s="41" t="s">
        <v>32</v>
      </c>
      <c r="AGT14" s="42"/>
      <c r="AGU14" s="42"/>
      <c r="AGV14" s="42"/>
      <c r="AGW14" s="42"/>
      <c r="AGX14" s="42"/>
      <c r="AGY14" s="43"/>
      <c r="AGZ14" s="1"/>
      <c r="AHA14" s="39" t="s">
        <v>31</v>
      </c>
      <c r="AHB14" s="40"/>
      <c r="AHC14" s="41" t="s">
        <v>32</v>
      </c>
      <c r="AHD14" s="42"/>
      <c r="AHE14" s="42"/>
      <c r="AHF14" s="42"/>
      <c r="AHG14" s="42"/>
      <c r="AHH14" s="42"/>
      <c r="AHI14" s="43"/>
      <c r="AHJ14" s="1"/>
      <c r="AHK14" s="39" t="s">
        <v>31</v>
      </c>
      <c r="AHL14" s="40"/>
      <c r="AHM14" s="41" t="s">
        <v>32</v>
      </c>
      <c r="AHN14" s="42"/>
      <c r="AHO14" s="42"/>
      <c r="AHP14" s="42"/>
      <c r="AHQ14" s="42"/>
      <c r="AHR14" s="42"/>
      <c r="AHS14" s="43"/>
      <c r="AHT14" s="1"/>
      <c r="AHU14" s="39" t="s">
        <v>31</v>
      </c>
      <c r="AHV14" s="40"/>
      <c r="AHW14" s="41" t="s">
        <v>32</v>
      </c>
      <c r="AHX14" s="42"/>
      <c r="AHY14" s="42"/>
      <c r="AHZ14" s="42"/>
      <c r="AIA14" s="42"/>
      <c r="AIB14" s="42"/>
      <c r="AIC14" s="43"/>
      <c r="AID14" s="1"/>
      <c r="AIE14" s="39" t="s">
        <v>31</v>
      </c>
      <c r="AIF14" s="40"/>
      <c r="AIG14" s="41" t="s">
        <v>32</v>
      </c>
      <c r="AIH14" s="42"/>
      <c r="AII14" s="42"/>
      <c r="AIJ14" s="42"/>
      <c r="AIK14" s="42"/>
      <c r="AIL14" s="42"/>
      <c r="AIM14" s="43"/>
      <c r="AIN14" s="1"/>
      <c r="AIO14" s="39" t="s">
        <v>31</v>
      </c>
      <c r="AIP14" s="40"/>
      <c r="AIQ14" s="41" t="s">
        <v>32</v>
      </c>
      <c r="AIR14" s="42"/>
      <c r="AIS14" s="42"/>
      <c r="AIT14" s="42"/>
      <c r="AIU14" s="42"/>
      <c r="AIV14" s="42"/>
      <c r="AIW14" s="43"/>
      <c r="AIX14" s="1"/>
      <c r="AIY14" s="39" t="s">
        <v>31</v>
      </c>
      <c r="AIZ14" s="40"/>
      <c r="AJA14" s="41" t="s">
        <v>32</v>
      </c>
      <c r="AJB14" s="42"/>
      <c r="AJC14" s="42"/>
      <c r="AJD14" s="42"/>
      <c r="AJE14" s="42"/>
      <c r="AJF14" s="42"/>
      <c r="AJG14" s="43"/>
      <c r="AJH14" s="1"/>
      <c r="AJI14" s="39" t="s">
        <v>31</v>
      </c>
      <c r="AJJ14" s="40"/>
      <c r="AJK14" s="41" t="s">
        <v>32</v>
      </c>
      <c r="AJL14" s="42"/>
      <c r="AJM14" s="42"/>
      <c r="AJN14" s="42"/>
      <c r="AJO14" s="42"/>
      <c r="AJP14" s="42"/>
      <c r="AJQ14" s="43"/>
      <c r="AJR14" s="1"/>
      <c r="AJS14" s="39" t="s">
        <v>31</v>
      </c>
      <c r="AJT14" s="40"/>
      <c r="AJU14" s="41" t="s">
        <v>32</v>
      </c>
      <c r="AJV14" s="42"/>
      <c r="AJW14" s="42"/>
      <c r="AJX14" s="42"/>
      <c r="AJY14" s="42"/>
      <c r="AJZ14" s="42"/>
      <c r="AKA14" s="43"/>
      <c r="AKB14" s="1"/>
      <c r="AKC14" s="39" t="s">
        <v>31</v>
      </c>
      <c r="AKD14" s="40"/>
      <c r="AKE14" s="41" t="s">
        <v>32</v>
      </c>
      <c r="AKF14" s="42"/>
      <c r="AKG14" s="42"/>
      <c r="AKH14" s="42"/>
      <c r="AKI14" s="42"/>
      <c r="AKJ14" s="42"/>
      <c r="AKK14" s="43"/>
      <c r="AKL14" s="1"/>
      <c r="AKM14" s="39" t="s">
        <v>31</v>
      </c>
      <c r="AKN14" s="40"/>
      <c r="AKO14" s="41" t="s">
        <v>32</v>
      </c>
      <c r="AKP14" s="42"/>
      <c r="AKQ14" s="42"/>
      <c r="AKR14" s="42"/>
      <c r="AKS14" s="42"/>
      <c r="AKT14" s="42"/>
      <c r="AKU14" s="43"/>
      <c r="AKV14" s="1"/>
      <c r="AKW14" s="39" t="s">
        <v>31</v>
      </c>
      <c r="AKX14" s="40"/>
      <c r="AKY14" s="41" t="s">
        <v>32</v>
      </c>
      <c r="AKZ14" s="42"/>
      <c r="ALA14" s="42"/>
      <c r="ALB14" s="42"/>
      <c r="ALC14" s="42"/>
      <c r="ALD14" s="42"/>
      <c r="ALE14" s="43"/>
      <c r="ALF14" s="1"/>
      <c r="ALG14" s="39" t="s">
        <v>31</v>
      </c>
      <c r="ALH14" s="40"/>
      <c r="ALI14" s="41" t="s">
        <v>32</v>
      </c>
      <c r="ALJ14" s="42"/>
      <c r="ALK14" s="42"/>
      <c r="ALL14" s="42"/>
      <c r="ALM14" s="42"/>
      <c r="ALN14" s="42"/>
      <c r="ALO14" s="43"/>
      <c r="ALP14" s="1"/>
      <c r="ALQ14" s="39" t="s">
        <v>31</v>
      </c>
      <c r="ALR14" s="40"/>
      <c r="ALS14" s="41" t="s">
        <v>32</v>
      </c>
      <c r="ALT14" s="42"/>
      <c r="ALU14" s="42"/>
      <c r="ALV14" s="42"/>
      <c r="ALW14" s="42"/>
      <c r="ALX14" s="42"/>
      <c r="ALY14" s="43"/>
      <c r="ALZ14" s="1"/>
      <c r="AMA14" s="39" t="s">
        <v>31</v>
      </c>
      <c r="AMB14" s="40"/>
      <c r="AMC14" s="41" t="s">
        <v>32</v>
      </c>
      <c r="AMD14" s="42"/>
      <c r="AME14" s="42"/>
      <c r="AMF14" s="42"/>
      <c r="AMG14" s="42"/>
      <c r="AMH14" s="42"/>
      <c r="AMI14" s="43"/>
      <c r="AMJ14" s="1"/>
      <c r="AMK14" s="39" t="s">
        <v>31</v>
      </c>
      <c r="AML14" s="40"/>
      <c r="AMM14" s="41" t="s">
        <v>32</v>
      </c>
      <c r="AMN14" s="42"/>
      <c r="AMO14" s="42"/>
      <c r="AMP14" s="42"/>
      <c r="AMQ14" s="42"/>
      <c r="AMR14" s="42"/>
      <c r="AMS14" s="43"/>
      <c r="AMT14" s="1"/>
      <c r="AMU14" s="39" t="s">
        <v>31</v>
      </c>
      <c r="AMV14" s="40"/>
      <c r="AMW14" s="41" t="s">
        <v>32</v>
      </c>
      <c r="AMX14" s="42"/>
      <c r="AMY14" s="42"/>
      <c r="AMZ14" s="42"/>
      <c r="ANA14" s="42"/>
      <c r="ANB14" s="42"/>
      <c r="ANC14" s="43"/>
      <c r="AND14" s="1"/>
      <c r="ANE14" s="39" t="s">
        <v>31</v>
      </c>
      <c r="ANF14" s="40"/>
      <c r="ANG14" s="41" t="s">
        <v>32</v>
      </c>
      <c r="ANH14" s="42"/>
      <c r="ANI14" s="42"/>
      <c r="ANJ14" s="42"/>
      <c r="ANK14" s="42"/>
      <c r="ANL14" s="42"/>
      <c r="ANM14" s="43"/>
      <c r="ANN14" s="1"/>
      <c r="ANO14" s="39" t="s">
        <v>31</v>
      </c>
      <c r="ANP14" s="40"/>
      <c r="ANQ14" s="41" t="s">
        <v>32</v>
      </c>
      <c r="ANR14" s="42"/>
      <c r="ANS14" s="42"/>
      <c r="ANT14" s="42"/>
      <c r="ANU14" s="42"/>
      <c r="ANV14" s="42"/>
      <c r="ANW14" s="43"/>
      <c r="ANX14" s="1"/>
      <c r="ANY14" s="39" t="s">
        <v>31</v>
      </c>
      <c r="ANZ14" s="40"/>
      <c r="AOA14" s="41" t="s">
        <v>32</v>
      </c>
      <c r="AOB14" s="42"/>
      <c r="AOC14" s="42"/>
      <c r="AOD14" s="42"/>
      <c r="AOE14" s="42"/>
      <c r="AOF14" s="42"/>
      <c r="AOG14" s="43"/>
      <c r="AOH14" s="1"/>
      <c r="AOI14" s="39"/>
      <c r="AOJ14" s="40"/>
      <c r="AOK14" s="41" t="s">
        <v>32</v>
      </c>
      <c r="AOL14" s="42"/>
      <c r="AOM14" s="42"/>
      <c r="AON14" s="42"/>
      <c r="AOO14" s="42"/>
      <c r="AOP14" s="42"/>
      <c r="AOQ14" s="43"/>
      <c r="AOR14" s="1"/>
      <c r="AOS14" s="39" t="s">
        <v>31</v>
      </c>
      <c r="AOT14" s="40"/>
      <c r="AOU14" s="41" t="s">
        <v>32</v>
      </c>
      <c r="AOV14" s="42"/>
      <c r="AOW14" s="42"/>
      <c r="AOX14" s="42"/>
      <c r="AOY14" s="42"/>
      <c r="AOZ14" s="42"/>
      <c r="APA14" s="43"/>
      <c r="APB14" s="1"/>
      <c r="APC14" s="39" t="s">
        <v>31</v>
      </c>
      <c r="APD14" s="40"/>
      <c r="APE14" s="41" t="s">
        <v>32</v>
      </c>
      <c r="APF14" s="42"/>
      <c r="APG14" s="42"/>
      <c r="APH14" s="42"/>
      <c r="API14" s="42"/>
      <c r="APJ14" s="42"/>
      <c r="APK14" s="43"/>
      <c r="APL14" s="1"/>
      <c r="APM14" s="39" t="s">
        <v>31</v>
      </c>
      <c r="APN14" s="40"/>
      <c r="APO14" s="41" t="s">
        <v>32</v>
      </c>
      <c r="APP14" s="42"/>
      <c r="APQ14" s="42"/>
      <c r="APR14" s="42"/>
      <c r="APS14" s="42"/>
      <c r="APT14" s="42"/>
      <c r="APU14" s="43"/>
      <c r="APV14" s="1"/>
      <c r="APW14" s="60" t="s">
        <v>31</v>
      </c>
      <c r="APX14" s="61"/>
      <c r="APY14" s="41" t="s">
        <v>32</v>
      </c>
      <c r="APZ14" s="42"/>
      <c r="AQA14" s="42"/>
      <c r="AQB14" s="42"/>
      <c r="AQC14" s="42"/>
      <c r="AQD14" s="42"/>
      <c r="AQE14" s="43"/>
    </row>
    <row r="15" spans="1:1123" ht="11.25" x14ac:dyDescent="0.2">
      <c r="A15" s="22" t="s">
        <v>33</v>
      </c>
      <c r="B15" s="14" t="s">
        <v>34</v>
      </c>
      <c r="C15" s="23"/>
      <c r="E15" s="24"/>
      <c r="F15" s="6" t="s">
        <v>20</v>
      </c>
      <c r="G15" s="44"/>
      <c r="H15" s="45"/>
      <c r="I15" s="45"/>
      <c r="J15" s="45"/>
      <c r="K15" s="45"/>
      <c r="L15" s="45"/>
      <c r="M15" s="46"/>
      <c r="O15" s="24"/>
      <c r="P15" s="6" t="s">
        <v>20</v>
      </c>
      <c r="Q15" s="44"/>
      <c r="R15" s="45"/>
      <c r="S15" s="45"/>
      <c r="T15" s="45"/>
      <c r="U15" s="45"/>
      <c r="V15" s="45"/>
      <c r="W15" s="46"/>
      <c r="Y15" s="24">
        <v>2</v>
      </c>
      <c r="Z15" s="6" t="s">
        <v>20</v>
      </c>
      <c r="AA15" s="44"/>
      <c r="AB15" s="45"/>
      <c r="AC15" s="45"/>
      <c r="AD15" s="45"/>
      <c r="AE15" s="45"/>
      <c r="AF15" s="45"/>
      <c r="AG15" s="46"/>
      <c r="AI15" s="24">
        <v>1</v>
      </c>
      <c r="AJ15" s="6" t="s">
        <v>20</v>
      </c>
      <c r="AK15" s="44"/>
      <c r="AL15" s="45"/>
      <c r="AM15" s="45"/>
      <c r="AN15" s="45"/>
      <c r="AO15" s="45"/>
      <c r="AP15" s="45"/>
      <c r="AQ15" s="46"/>
      <c r="AS15" s="24">
        <v>2</v>
      </c>
      <c r="AT15" s="6" t="s">
        <v>20</v>
      </c>
      <c r="AU15" s="44"/>
      <c r="AV15" s="45"/>
      <c r="AW15" s="45"/>
      <c r="AX15" s="45"/>
      <c r="AY15" s="45"/>
      <c r="AZ15" s="45"/>
      <c r="BA15" s="46"/>
      <c r="BC15" s="2">
        <v>4</v>
      </c>
      <c r="BD15" s="6" t="s">
        <v>20</v>
      </c>
      <c r="BE15" s="44"/>
      <c r="BF15" s="45"/>
      <c r="BG15" s="45"/>
      <c r="BH15" s="45"/>
      <c r="BI15" s="45"/>
      <c r="BJ15" s="45"/>
      <c r="BK15" s="46"/>
      <c r="BM15" s="2">
        <v>4</v>
      </c>
      <c r="BN15" s="6" t="s">
        <v>20</v>
      </c>
      <c r="BO15" s="44"/>
      <c r="BP15" s="45"/>
      <c r="BQ15" s="45"/>
      <c r="BR15" s="45"/>
      <c r="BS15" s="45"/>
      <c r="BT15" s="45"/>
      <c r="BU15" s="46"/>
      <c r="BW15" s="24">
        <v>1</v>
      </c>
      <c r="BX15" s="6" t="s">
        <v>20</v>
      </c>
      <c r="BY15" s="44"/>
      <c r="BZ15" s="45"/>
      <c r="CA15" s="45"/>
      <c r="CB15" s="45"/>
      <c r="CC15" s="45"/>
      <c r="CD15" s="45"/>
      <c r="CE15" s="46"/>
      <c r="CG15" s="24">
        <v>1</v>
      </c>
      <c r="CH15" s="6" t="s">
        <v>20</v>
      </c>
      <c r="CI15" s="44"/>
      <c r="CJ15" s="45"/>
      <c r="CK15" s="45"/>
      <c r="CL15" s="45"/>
      <c r="CM15" s="45"/>
      <c r="CN15" s="45"/>
      <c r="CO15" s="46"/>
      <c r="CQ15" s="24">
        <v>0</v>
      </c>
      <c r="CR15" s="6" t="s">
        <v>20</v>
      </c>
      <c r="CS15" s="44"/>
      <c r="CT15" s="45"/>
      <c r="CU15" s="45"/>
      <c r="CV15" s="45"/>
      <c r="CW15" s="45"/>
      <c r="CX15" s="45"/>
      <c r="CY15" s="46"/>
      <c r="DA15" s="24">
        <v>0</v>
      </c>
      <c r="DB15" s="6" t="s">
        <v>20</v>
      </c>
      <c r="DC15" s="44"/>
      <c r="DD15" s="45"/>
      <c r="DE15" s="45"/>
      <c r="DF15" s="45"/>
      <c r="DG15" s="45"/>
      <c r="DH15" s="45"/>
      <c r="DI15" s="46"/>
      <c r="DK15" s="24">
        <v>0</v>
      </c>
      <c r="DL15" s="6" t="s">
        <v>20</v>
      </c>
      <c r="DM15" s="44"/>
      <c r="DN15" s="45"/>
      <c r="DO15" s="45"/>
      <c r="DP15" s="45"/>
      <c r="DQ15" s="45"/>
      <c r="DR15" s="45"/>
      <c r="DS15" s="46"/>
      <c r="DU15" s="24">
        <v>2</v>
      </c>
      <c r="DV15" s="6" t="s">
        <v>20</v>
      </c>
      <c r="DW15" s="44"/>
      <c r="DX15" s="45"/>
      <c r="DY15" s="45"/>
      <c r="DZ15" s="45"/>
      <c r="EA15" s="45"/>
      <c r="EB15" s="45"/>
      <c r="EC15" s="46"/>
      <c r="EE15" s="24">
        <v>0</v>
      </c>
      <c r="EF15" s="6" t="s">
        <v>20</v>
      </c>
      <c r="EG15" s="44"/>
      <c r="EH15" s="45"/>
      <c r="EI15" s="45"/>
      <c r="EJ15" s="45"/>
      <c r="EK15" s="45"/>
      <c r="EL15" s="45"/>
      <c r="EM15" s="46"/>
      <c r="EO15" s="24">
        <v>0</v>
      </c>
      <c r="EP15" s="6" t="s">
        <v>20</v>
      </c>
      <c r="EQ15" s="44"/>
      <c r="ER15" s="45"/>
      <c r="ES15" s="45"/>
      <c r="ET15" s="45"/>
      <c r="EU15" s="45"/>
      <c r="EV15" s="45"/>
      <c r="EW15" s="46"/>
      <c r="EY15" s="24">
        <v>0</v>
      </c>
      <c r="EZ15" s="6" t="s">
        <v>20</v>
      </c>
      <c r="FA15" s="44"/>
      <c r="FB15" s="45"/>
      <c r="FC15" s="45"/>
      <c r="FD15" s="45"/>
      <c r="FE15" s="45"/>
      <c r="FF15" s="45"/>
      <c r="FG15" s="46"/>
      <c r="FI15" s="24">
        <v>2</v>
      </c>
      <c r="FJ15" s="6" t="s">
        <v>20</v>
      </c>
      <c r="FK15" s="44"/>
      <c r="FL15" s="45"/>
      <c r="FM15" s="45"/>
      <c r="FN15" s="45"/>
      <c r="FO15" s="45"/>
      <c r="FP15" s="45"/>
      <c r="FQ15" s="46"/>
      <c r="FS15" s="24">
        <v>3</v>
      </c>
      <c r="FT15" s="6" t="s">
        <v>20</v>
      </c>
      <c r="FU15" s="44"/>
      <c r="FV15" s="45"/>
      <c r="FW15" s="45"/>
      <c r="FX15" s="45"/>
      <c r="FY15" s="45"/>
      <c r="FZ15" s="45"/>
      <c r="GA15" s="46"/>
      <c r="GC15" s="24">
        <v>0</v>
      </c>
      <c r="GD15" s="6" t="s">
        <v>20</v>
      </c>
      <c r="GE15" s="44"/>
      <c r="GF15" s="45"/>
      <c r="GG15" s="45"/>
      <c r="GH15" s="45"/>
      <c r="GI15" s="45"/>
      <c r="GJ15" s="45"/>
      <c r="GK15" s="46"/>
      <c r="GM15" s="24">
        <v>2</v>
      </c>
      <c r="GN15" s="6" t="s">
        <v>20</v>
      </c>
      <c r="GO15" s="44"/>
      <c r="GP15" s="45"/>
      <c r="GQ15" s="45"/>
      <c r="GR15" s="45"/>
      <c r="GS15" s="45"/>
      <c r="GT15" s="45"/>
      <c r="GU15" s="46"/>
      <c r="GW15" s="24">
        <v>2</v>
      </c>
      <c r="GX15" s="6" t="s">
        <v>20</v>
      </c>
      <c r="GY15" s="44"/>
      <c r="GZ15" s="45"/>
      <c r="HA15" s="45"/>
      <c r="HB15" s="45"/>
      <c r="HC15" s="45"/>
      <c r="HD15" s="45"/>
      <c r="HE15" s="46"/>
      <c r="HG15" s="24">
        <v>3</v>
      </c>
      <c r="HH15" s="6" t="s">
        <v>20</v>
      </c>
      <c r="HI15" s="44"/>
      <c r="HJ15" s="45"/>
      <c r="HK15" s="45"/>
      <c r="HL15" s="45"/>
      <c r="HM15" s="45"/>
      <c r="HN15" s="45"/>
      <c r="HO15" s="46"/>
      <c r="HQ15" s="24">
        <v>3</v>
      </c>
      <c r="HR15" s="6" t="s">
        <v>20</v>
      </c>
      <c r="HS15" s="44"/>
      <c r="HT15" s="45"/>
      <c r="HU15" s="45"/>
      <c r="HV15" s="45"/>
      <c r="HW15" s="45"/>
      <c r="HX15" s="45"/>
      <c r="HY15" s="46"/>
      <c r="IA15" s="24">
        <v>2</v>
      </c>
      <c r="IB15" s="6" t="s">
        <v>20</v>
      </c>
      <c r="IC15" s="44"/>
      <c r="ID15" s="45"/>
      <c r="IE15" s="45"/>
      <c r="IF15" s="45"/>
      <c r="IG15" s="45"/>
      <c r="IH15" s="45"/>
      <c r="II15" s="46"/>
      <c r="IK15" s="24">
        <v>2</v>
      </c>
      <c r="IL15" s="6" t="s">
        <v>20</v>
      </c>
      <c r="IM15" s="44"/>
      <c r="IN15" s="45"/>
      <c r="IO15" s="45"/>
      <c r="IP15" s="45"/>
      <c r="IQ15" s="45"/>
      <c r="IR15" s="45"/>
      <c r="IS15" s="46"/>
      <c r="IU15" s="24">
        <v>1</v>
      </c>
      <c r="IV15" s="6" t="s">
        <v>20</v>
      </c>
      <c r="IW15" s="44"/>
      <c r="IX15" s="45"/>
      <c r="IY15" s="45"/>
      <c r="IZ15" s="45"/>
      <c r="JA15" s="45"/>
      <c r="JB15" s="45"/>
      <c r="JC15" s="46"/>
      <c r="JE15" s="24">
        <v>3</v>
      </c>
      <c r="JF15" s="6" t="s">
        <v>20</v>
      </c>
      <c r="JG15" s="44"/>
      <c r="JH15" s="45"/>
      <c r="JI15" s="45"/>
      <c r="JJ15" s="45"/>
      <c r="JK15" s="45"/>
      <c r="JL15" s="45"/>
      <c r="JM15" s="46"/>
      <c r="JO15" s="24">
        <v>1</v>
      </c>
      <c r="JP15" s="6" t="s">
        <v>20</v>
      </c>
      <c r="JQ15" s="44"/>
      <c r="JR15" s="45"/>
      <c r="JS15" s="45"/>
      <c r="JT15" s="45"/>
      <c r="JU15" s="45"/>
      <c r="JV15" s="45"/>
      <c r="JW15" s="46"/>
      <c r="JY15" s="24">
        <v>2</v>
      </c>
      <c r="JZ15" s="6" t="s">
        <v>20</v>
      </c>
      <c r="KA15" s="44"/>
      <c r="KB15" s="45"/>
      <c r="KC15" s="45"/>
      <c r="KD15" s="45"/>
      <c r="KE15" s="45"/>
      <c r="KF15" s="45"/>
      <c r="KG15" s="46"/>
      <c r="KI15" s="24">
        <v>5</v>
      </c>
      <c r="KJ15" s="6" t="s">
        <v>20</v>
      </c>
      <c r="KK15" s="44"/>
      <c r="KL15" s="45"/>
      <c r="KM15" s="45"/>
      <c r="KN15" s="45"/>
      <c r="KO15" s="45"/>
      <c r="KP15" s="45"/>
      <c r="KQ15" s="46"/>
      <c r="KS15" s="24">
        <v>5</v>
      </c>
      <c r="KT15" s="6" t="s">
        <v>20</v>
      </c>
      <c r="KU15" s="44"/>
      <c r="KV15" s="45"/>
      <c r="KW15" s="45"/>
      <c r="KX15" s="45"/>
      <c r="KY15" s="45"/>
      <c r="KZ15" s="45"/>
      <c r="LA15" s="46"/>
      <c r="LC15" s="24">
        <v>4</v>
      </c>
      <c r="LD15" s="6" t="s">
        <v>20</v>
      </c>
      <c r="LE15" s="44"/>
      <c r="LF15" s="45"/>
      <c r="LG15" s="45"/>
      <c r="LH15" s="45"/>
      <c r="LI15" s="45"/>
      <c r="LJ15" s="45"/>
      <c r="LK15" s="46"/>
      <c r="LM15" s="24">
        <v>4</v>
      </c>
      <c r="LN15" s="6" t="s">
        <v>20</v>
      </c>
      <c r="LO15" s="44"/>
      <c r="LP15" s="45"/>
      <c r="LQ15" s="45"/>
      <c r="LR15" s="45"/>
      <c r="LS15" s="45"/>
      <c r="LT15" s="45"/>
      <c r="LU15" s="46"/>
      <c r="LW15" s="24">
        <v>2</v>
      </c>
      <c r="LX15" s="6" t="s">
        <v>20</v>
      </c>
      <c r="LY15" s="44"/>
      <c r="LZ15" s="45"/>
      <c r="MA15" s="45"/>
      <c r="MB15" s="45"/>
      <c r="MC15" s="45"/>
      <c r="MD15" s="45"/>
      <c r="ME15" s="46"/>
      <c r="MG15" s="24">
        <v>4</v>
      </c>
      <c r="MH15" s="6" t="s">
        <v>20</v>
      </c>
      <c r="MI15" s="44"/>
      <c r="MJ15" s="45"/>
      <c r="MK15" s="45"/>
      <c r="ML15" s="45"/>
      <c r="MM15" s="45"/>
      <c r="MN15" s="45"/>
      <c r="MO15" s="46"/>
      <c r="MQ15" s="2">
        <v>2</v>
      </c>
      <c r="MR15" s="6" t="s">
        <v>20</v>
      </c>
      <c r="MS15" s="44"/>
      <c r="MT15" s="45"/>
      <c r="MU15" s="45"/>
      <c r="MV15" s="45"/>
      <c r="MW15" s="45"/>
      <c r="MX15" s="45"/>
      <c r="MY15" s="46"/>
      <c r="NA15" s="24">
        <v>3</v>
      </c>
      <c r="NB15" s="6" t="s">
        <v>20</v>
      </c>
      <c r="NC15" s="44"/>
      <c r="ND15" s="45"/>
      <c r="NE15" s="45"/>
      <c r="NF15" s="45"/>
      <c r="NG15" s="45"/>
      <c r="NH15" s="45"/>
      <c r="NI15" s="46"/>
      <c r="NK15" s="24">
        <v>4</v>
      </c>
      <c r="NL15" s="6" t="s">
        <v>20</v>
      </c>
      <c r="NM15" s="44"/>
      <c r="NN15" s="45"/>
      <c r="NO15" s="45"/>
      <c r="NP15" s="45"/>
      <c r="NQ15" s="45"/>
      <c r="NR15" s="45"/>
      <c r="NS15" s="46"/>
      <c r="NU15" s="24">
        <v>5</v>
      </c>
      <c r="NV15" s="6" t="s">
        <v>20</v>
      </c>
      <c r="NW15" s="44"/>
      <c r="NX15" s="45"/>
      <c r="NY15" s="45"/>
      <c r="NZ15" s="45"/>
      <c r="OA15" s="45"/>
      <c r="OB15" s="45"/>
      <c r="OC15" s="46"/>
      <c r="OE15" s="2">
        <v>6</v>
      </c>
      <c r="OF15" s="6" t="s">
        <v>20</v>
      </c>
      <c r="OG15" s="44"/>
      <c r="OH15" s="45"/>
      <c r="OI15" s="45"/>
      <c r="OJ15" s="45"/>
      <c r="OK15" s="45"/>
      <c r="OL15" s="45"/>
      <c r="OM15" s="46"/>
      <c r="OO15" s="24">
        <v>7</v>
      </c>
      <c r="OP15" s="6" t="s">
        <v>20</v>
      </c>
      <c r="OQ15" s="44"/>
      <c r="OR15" s="45"/>
      <c r="OS15" s="45"/>
      <c r="OT15" s="45"/>
      <c r="OU15" s="45"/>
      <c r="OV15" s="45"/>
      <c r="OW15" s="46"/>
      <c r="OY15" s="24">
        <v>4</v>
      </c>
      <c r="OZ15" s="6" t="s">
        <v>20</v>
      </c>
      <c r="PA15" s="44"/>
      <c r="PB15" s="45"/>
      <c r="PC15" s="45"/>
      <c r="PD15" s="45"/>
      <c r="PE15" s="45"/>
      <c r="PF15" s="45"/>
      <c r="PG15" s="46"/>
      <c r="PI15" s="24">
        <v>5</v>
      </c>
      <c r="PJ15" s="6" t="s">
        <v>20</v>
      </c>
      <c r="PK15" s="44"/>
      <c r="PL15" s="45"/>
      <c r="PM15" s="45"/>
      <c r="PN15" s="45"/>
      <c r="PO15" s="45"/>
      <c r="PP15" s="45"/>
      <c r="PQ15" s="46"/>
      <c r="PS15" s="2">
        <v>3</v>
      </c>
      <c r="PT15" s="6" t="s">
        <v>20</v>
      </c>
      <c r="PU15" s="44"/>
      <c r="PV15" s="45"/>
      <c r="PW15" s="45"/>
      <c r="PX15" s="45"/>
      <c r="PY15" s="45"/>
      <c r="PZ15" s="45"/>
      <c r="QA15" s="46"/>
      <c r="QC15" s="24">
        <v>4</v>
      </c>
      <c r="QD15" s="6" t="s">
        <v>20</v>
      </c>
      <c r="QE15" s="44"/>
      <c r="QF15" s="45"/>
      <c r="QG15" s="45"/>
      <c r="QH15" s="45"/>
      <c r="QI15" s="45"/>
      <c r="QJ15" s="45"/>
      <c r="QK15" s="46"/>
      <c r="QM15" s="24">
        <v>3</v>
      </c>
      <c r="QN15" s="6" t="s">
        <v>20</v>
      </c>
      <c r="QO15" s="44"/>
      <c r="QP15" s="45"/>
      <c r="QQ15" s="45"/>
      <c r="QR15" s="45"/>
      <c r="QS15" s="45"/>
      <c r="QT15" s="45"/>
      <c r="QU15" s="46"/>
      <c r="QW15" s="24">
        <v>4</v>
      </c>
      <c r="QX15" s="6" t="s">
        <v>20</v>
      </c>
      <c r="QY15" s="44"/>
      <c r="QZ15" s="45"/>
      <c r="RA15" s="45"/>
      <c r="RB15" s="45"/>
      <c r="RC15" s="45"/>
      <c r="RD15" s="45"/>
      <c r="RE15" s="46"/>
      <c r="RG15" s="24">
        <v>4</v>
      </c>
      <c r="RH15" s="6" t="s">
        <v>20</v>
      </c>
      <c r="RI15" s="44"/>
      <c r="RJ15" s="45"/>
      <c r="RK15" s="45"/>
      <c r="RL15" s="45"/>
      <c r="RM15" s="45"/>
      <c r="RN15" s="45"/>
      <c r="RO15" s="46"/>
      <c r="RQ15" s="24">
        <v>4</v>
      </c>
      <c r="RR15" s="6" t="s">
        <v>20</v>
      </c>
      <c r="RS15" s="44"/>
      <c r="RT15" s="45"/>
      <c r="RU15" s="45"/>
      <c r="RV15" s="45"/>
      <c r="RW15" s="45"/>
      <c r="RX15" s="45"/>
      <c r="RY15" s="46"/>
      <c r="SA15" s="2">
        <v>4</v>
      </c>
      <c r="SB15" s="6" t="s">
        <v>20</v>
      </c>
      <c r="SC15" s="44"/>
      <c r="SD15" s="45"/>
      <c r="SE15" s="45"/>
      <c r="SF15" s="45"/>
      <c r="SG15" s="45"/>
      <c r="SH15" s="45"/>
      <c r="SI15" s="46"/>
      <c r="SK15" s="24">
        <v>6</v>
      </c>
      <c r="SL15" s="6" t="s">
        <v>20</v>
      </c>
      <c r="SM15" s="44"/>
      <c r="SN15" s="45"/>
      <c r="SO15" s="45"/>
      <c r="SP15" s="45"/>
      <c r="SQ15" s="45"/>
      <c r="SR15" s="45"/>
      <c r="SS15" s="46"/>
      <c r="SU15" s="24">
        <v>4</v>
      </c>
      <c r="SV15" s="6" t="s">
        <v>20</v>
      </c>
      <c r="SW15" s="44"/>
      <c r="SX15" s="45"/>
      <c r="SY15" s="45"/>
      <c r="SZ15" s="45"/>
      <c r="TA15" s="45"/>
      <c r="TB15" s="45"/>
      <c r="TC15" s="46"/>
      <c r="TE15" s="24">
        <v>4</v>
      </c>
      <c r="TF15" s="6" t="s">
        <v>20</v>
      </c>
      <c r="TG15" s="44"/>
      <c r="TH15" s="45"/>
      <c r="TI15" s="45"/>
      <c r="TJ15" s="45"/>
      <c r="TK15" s="45"/>
      <c r="TL15" s="45"/>
      <c r="TM15" s="46"/>
      <c r="TO15" s="24">
        <v>2</v>
      </c>
      <c r="TP15" s="6" t="s">
        <v>20</v>
      </c>
      <c r="TQ15" s="44"/>
      <c r="TR15" s="45"/>
      <c r="TS15" s="45"/>
      <c r="TT15" s="45"/>
      <c r="TU15" s="45"/>
      <c r="TV15" s="45"/>
      <c r="TW15" s="46"/>
      <c r="TY15" s="24">
        <v>3</v>
      </c>
      <c r="TZ15" s="6" t="s">
        <v>20</v>
      </c>
      <c r="UA15" s="44"/>
      <c r="UB15" s="45"/>
      <c r="UC15" s="45"/>
      <c r="UD15" s="45"/>
      <c r="UE15" s="45"/>
      <c r="UF15" s="45"/>
      <c r="UG15" s="46"/>
      <c r="UI15" s="2">
        <v>3</v>
      </c>
      <c r="UJ15" s="6" t="s">
        <v>20</v>
      </c>
      <c r="UK15" s="44"/>
      <c r="UL15" s="45"/>
      <c r="UM15" s="45"/>
      <c r="UN15" s="45"/>
      <c r="UO15" s="45"/>
      <c r="UP15" s="45"/>
      <c r="UQ15" s="46"/>
      <c r="US15" s="24">
        <v>5</v>
      </c>
      <c r="UT15" s="6" t="s">
        <v>20</v>
      </c>
      <c r="UU15" s="44"/>
      <c r="UV15" s="45"/>
      <c r="UW15" s="45"/>
      <c r="UX15" s="45"/>
      <c r="UY15" s="45"/>
      <c r="UZ15" s="45"/>
      <c r="VA15" s="46"/>
      <c r="VC15" s="2">
        <v>1</v>
      </c>
      <c r="VD15" s="6" t="s">
        <v>20</v>
      </c>
      <c r="VE15" s="44"/>
      <c r="VF15" s="45"/>
      <c r="VG15" s="45"/>
      <c r="VH15" s="45"/>
      <c r="VI15" s="45"/>
      <c r="VJ15" s="45"/>
      <c r="VK15" s="46"/>
      <c r="VM15" s="24">
        <v>1</v>
      </c>
      <c r="VN15" s="6" t="s">
        <v>20</v>
      </c>
      <c r="VO15" s="44"/>
      <c r="VP15" s="45"/>
      <c r="VQ15" s="45"/>
      <c r="VR15" s="45"/>
      <c r="VS15" s="45"/>
      <c r="VT15" s="45"/>
      <c r="VU15" s="46"/>
      <c r="VW15" s="2">
        <v>0</v>
      </c>
      <c r="VX15" s="6" t="s">
        <v>20</v>
      </c>
      <c r="VY15" s="44"/>
      <c r="VZ15" s="45"/>
      <c r="WA15" s="45"/>
      <c r="WB15" s="45"/>
      <c r="WC15" s="45"/>
      <c r="WD15" s="45"/>
      <c r="WE15" s="46"/>
      <c r="WG15" s="2">
        <v>1</v>
      </c>
      <c r="WH15" s="6" t="s">
        <v>20</v>
      </c>
      <c r="WI15" s="44"/>
      <c r="WJ15" s="45"/>
      <c r="WK15" s="45"/>
      <c r="WL15" s="45"/>
      <c r="WM15" s="45"/>
      <c r="WN15" s="45"/>
      <c r="WO15" s="46"/>
      <c r="WQ15" s="2">
        <v>3</v>
      </c>
      <c r="WR15" s="6" t="s">
        <v>20</v>
      </c>
      <c r="WS15" s="44"/>
      <c r="WT15" s="45"/>
      <c r="WU15" s="45"/>
      <c r="WV15" s="45"/>
      <c r="WW15" s="45"/>
      <c r="WX15" s="45"/>
      <c r="WY15" s="46"/>
      <c r="XA15" s="24">
        <v>5</v>
      </c>
      <c r="XB15" s="6" t="s">
        <v>20</v>
      </c>
      <c r="XC15" s="44"/>
      <c r="XD15" s="45"/>
      <c r="XE15" s="45"/>
      <c r="XF15" s="45"/>
      <c r="XG15" s="45"/>
      <c r="XH15" s="45"/>
      <c r="XI15" s="46"/>
      <c r="XK15" s="24">
        <v>0</v>
      </c>
      <c r="XL15" s="6" t="s">
        <v>20</v>
      </c>
      <c r="XM15" s="44"/>
      <c r="XN15" s="45"/>
      <c r="XO15" s="45"/>
      <c r="XP15" s="45"/>
      <c r="XQ15" s="45"/>
      <c r="XR15" s="45"/>
      <c r="XS15" s="46"/>
      <c r="XU15" s="24">
        <v>1</v>
      </c>
      <c r="XV15" s="6" t="s">
        <v>20</v>
      </c>
      <c r="XW15" s="44"/>
      <c r="XX15" s="45"/>
      <c r="XY15" s="45"/>
      <c r="XZ15" s="45"/>
      <c r="YA15" s="45"/>
      <c r="YB15" s="45"/>
      <c r="YC15" s="46"/>
      <c r="YE15" s="24">
        <v>0</v>
      </c>
      <c r="YF15" s="6" t="s">
        <v>20</v>
      </c>
      <c r="YG15" s="44"/>
      <c r="YH15" s="45"/>
      <c r="YI15" s="45"/>
      <c r="YJ15" s="45"/>
      <c r="YK15" s="45"/>
      <c r="YL15" s="45"/>
      <c r="YM15" s="46"/>
      <c r="YO15" s="24">
        <v>1</v>
      </c>
      <c r="YP15" s="6" t="s">
        <v>20</v>
      </c>
      <c r="YQ15" s="44"/>
      <c r="YR15" s="45"/>
      <c r="YS15" s="45"/>
      <c r="YT15" s="45"/>
      <c r="YU15" s="45"/>
      <c r="YV15" s="45"/>
      <c r="YW15" s="46"/>
      <c r="YY15" s="24">
        <v>1</v>
      </c>
      <c r="YZ15" s="6" t="s">
        <v>20</v>
      </c>
      <c r="ZA15" s="44"/>
      <c r="ZB15" s="45"/>
      <c r="ZC15" s="45"/>
      <c r="ZD15" s="45"/>
      <c r="ZE15" s="45"/>
      <c r="ZF15" s="45"/>
      <c r="ZG15" s="46"/>
      <c r="ZI15" s="24">
        <v>4</v>
      </c>
      <c r="ZJ15" s="6" t="s">
        <v>20</v>
      </c>
      <c r="ZK15" s="44"/>
      <c r="ZL15" s="45"/>
      <c r="ZM15" s="45"/>
      <c r="ZN15" s="45"/>
      <c r="ZO15" s="45"/>
      <c r="ZP15" s="45"/>
      <c r="ZQ15" s="46"/>
      <c r="ZS15" s="24">
        <v>4</v>
      </c>
      <c r="ZT15" s="6" t="s">
        <v>20</v>
      </c>
      <c r="ZU15" s="44"/>
      <c r="ZV15" s="45"/>
      <c r="ZW15" s="45"/>
      <c r="ZX15" s="45"/>
      <c r="ZY15" s="45"/>
      <c r="ZZ15" s="45"/>
      <c r="AAA15" s="46"/>
      <c r="AAC15" s="24">
        <v>0</v>
      </c>
      <c r="AAD15" s="6" t="s">
        <v>20</v>
      </c>
      <c r="AAE15" s="44"/>
      <c r="AAF15" s="45"/>
      <c r="AAG15" s="45"/>
      <c r="AAH15" s="45"/>
      <c r="AAI15" s="45"/>
      <c r="AAJ15" s="45"/>
      <c r="AAK15" s="46"/>
      <c r="AAM15" s="2">
        <v>2</v>
      </c>
      <c r="AAN15" s="6" t="s">
        <v>20</v>
      </c>
      <c r="AAO15" s="44"/>
      <c r="AAP15" s="45"/>
      <c r="AAQ15" s="45"/>
      <c r="AAR15" s="45"/>
      <c r="AAS15" s="45"/>
      <c r="AAT15" s="45"/>
      <c r="AAU15" s="46"/>
      <c r="AAW15" s="2">
        <v>3</v>
      </c>
      <c r="AAX15" s="6" t="s">
        <v>20</v>
      </c>
      <c r="AAY15" s="44"/>
      <c r="AAZ15" s="45"/>
      <c r="ABA15" s="45"/>
      <c r="ABB15" s="45"/>
      <c r="ABC15" s="45"/>
      <c r="ABD15" s="45"/>
      <c r="ABE15" s="46"/>
      <c r="ABG15" s="24">
        <v>0</v>
      </c>
      <c r="ABH15" s="6" t="s">
        <v>20</v>
      </c>
      <c r="ABI15" s="44"/>
      <c r="ABJ15" s="45"/>
      <c r="ABK15" s="45"/>
      <c r="ABL15" s="45"/>
      <c r="ABM15" s="45"/>
      <c r="ABN15" s="45"/>
      <c r="ABO15" s="46"/>
      <c r="ABQ15" s="2">
        <v>1</v>
      </c>
      <c r="ABR15" s="6" t="s">
        <v>20</v>
      </c>
      <c r="ABS15" s="44"/>
      <c r="ABT15" s="45"/>
      <c r="ABU15" s="45"/>
      <c r="ABV15" s="45"/>
      <c r="ABW15" s="45"/>
      <c r="ABX15" s="45"/>
      <c r="ABY15" s="46"/>
      <c r="ACA15" s="24">
        <v>0</v>
      </c>
      <c r="ACB15" s="6" t="s">
        <v>20</v>
      </c>
      <c r="ACC15" s="44"/>
      <c r="ACD15" s="45"/>
      <c r="ACE15" s="45"/>
      <c r="ACF15" s="45"/>
      <c r="ACG15" s="45"/>
      <c r="ACH15" s="45"/>
      <c r="ACI15" s="46"/>
      <c r="ACK15" s="24">
        <v>1</v>
      </c>
      <c r="ACL15" s="6" t="s">
        <v>20</v>
      </c>
      <c r="ACM15" s="44"/>
      <c r="ACN15" s="45"/>
      <c r="ACO15" s="45"/>
      <c r="ACP15" s="45"/>
      <c r="ACQ15" s="45"/>
      <c r="ACR15" s="45"/>
      <c r="ACS15" s="46"/>
      <c r="ACU15" s="24">
        <v>2</v>
      </c>
      <c r="ACV15" s="6" t="s">
        <v>20</v>
      </c>
      <c r="ACW15" s="44"/>
      <c r="ACX15" s="45"/>
      <c r="ACY15" s="45"/>
      <c r="ACZ15" s="45"/>
      <c r="ADA15" s="45"/>
      <c r="ADB15" s="45"/>
      <c r="ADC15" s="46"/>
      <c r="ADE15" s="24">
        <v>3</v>
      </c>
      <c r="ADF15" s="6" t="s">
        <v>20</v>
      </c>
      <c r="ADG15" s="44"/>
      <c r="ADH15" s="45"/>
      <c r="ADI15" s="45"/>
      <c r="ADJ15" s="45"/>
      <c r="ADK15" s="45"/>
      <c r="ADL15" s="45"/>
      <c r="ADM15" s="46"/>
      <c r="ADO15" s="24">
        <v>1</v>
      </c>
      <c r="ADP15" s="6" t="s">
        <v>20</v>
      </c>
      <c r="ADQ15" s="44"/>
      <c r="ADR15" s="45"/>
      <c r="ADS15" s="45"/>
      <c r="ADT15" s="45"/>
      <c r="ADU15" s="45"/>
      <c r="ADV15" s="45"/>
      <c r="ADW15" s="46"/>
      <c r="ADY15" s="24">
        <v>1</v>
      </c>
      <c r="ADZ15" s="6" t="s">
        <v>20</v>
      </c>
      <c r="AEA15" s="44"/>
      <c r="AEB15" s="45"/>
      <c r="AEC15" s="45"/>
      <c r="AED15" s="45"/>
      <c r="AEE15" s="45"/>
      <c r="AEF15" s="45"/>
      <c r="AEG15" s="46"/>
      <c r="AEI15" s="2">
        <v>3</v>
      </c>
      <c r="AEJ15" s="6" t="s">
        <v>20</v>
      </c>
      <c r="AEK15" s="44"/>
      <c r="AEL15" s="45"/>
      <c r="AEM15" s="45"/>
      <c r="AEN15" s="45"/>
      <c r="AEO15" s="45"/>
      <c r="AEP15" s="45"/>
      <c r="AEQ15" s="46"/>
      <c r="AES15" s="24">
        <v>3</v>
      </c>
      <c r="AET15" s="6" t="s">
        <v>20</v>
      </c>
      <c r="AEU15" s="44"/>
      <c r="AEV15" s="45"/>
      <c r="AEW15" s="45"/>
      <c r="AEX15" s="45"/>
      <c r="AEY15" s="45"/>
      <c r="AEZ15" s="45"/>
      <c r="AFA15" s="46"/>
      <c r="AFC15" s="2">
        <v>1</v>
      </c>
      <c r="AFD15" s="6" t="s">
        <v>20</v>
      </c>
      <c r="AFE15" s="44"/>
      <c r="AFF15" s="45"/>
      <c r="AFG15" s="45"/>
      <c r="AFH15" s="45"/>
      <c r="AFI15" s="45"/>
      <c r="AFJ15" s="45"/>
      <c r="AFK15" s="46"/>
      <c r="AFM15" s="2">
        <v>1</v>
      </c>
      <c r="AFN15" s="6" t="s">
        <v>20</v>
      </c>
      <c r="AFO15" s="44"/>
      <c r="AFP15" s="45"/>
      <c r="AFQ15" s="45"/>
      <c r="AFR15" s="45"/>
      <c r="AFS15" s="45"/>
      <c r="AFT15" s="45"/>
      <c r="AFU15" s="46"/>
      <c r="AFW15" s="24">
        <v>0</v>
      </c>
      <c r="AFX15" s="6" t="s">
        <v>20</v>
      </c>
      <c r="AFY15" s="44"/>
      <c r="AFZ15" s="45"/>
      <c r="AGA15" s="45"/>
      <c r="AGB15" s="45"/>
      <c r="AGC15" s="45"/>
      <c r="AGD15" s="45"/>
      <c r="AGE15" s="46"/>
      <c r="AGG15" s="24">
        <v>3</v>
      </c>
      <c r="AGH15" s="6" t="s">
        <v>20</v>
      </c>
      <c r="AGI15" s="44"/>
      <c r="AGJ15" s="45"/>
      <c r="AGK15" s="45"/>
      <c r="AGL15" s="45"/>
      <c r="AGM15" s="45"/>
      <c r="AGN15" s="45"/>
      <c r="AGO15" s="46"/>
      <c r="AGQ15" s="24">
        <v>3</v>
      </c>
      <c r="AGR15" s="6" t="s">
        <v>20</v>
      </c>
      <c r="AGS15" s="44"/>
      <c r="AGT15" s="45"/>
      <c r="AGU15" s="45"/>
      <c r="AGV15" s="45"/>
      <c r="AGW15" s="45"/>
      <c r="AGX15" s="45"/>
      <c r="AGY15" s="46"/>
      <c r="AHA15" s="24">
        <v>4</v>
      </c>
      <c r="AHB15" s="6" t="s">
        <v>20</v>
      </c>
      <c r="AHC15" s="44"/>
      <c r="AHD15" s="45"/>
      <c r="AHE15" s="45"/>
      <c r="AHF15" s="45"/>
      <c r="AHG15" s="45"/>
      <c r="AHH15" s="45"/>
      <c r="AHI15" s="46"/>
      <c r="AHK15" s="2">
        <v>0</v>
      </c>
      <c r="AHL15" s="6" t="s">
        <v>20</v>
      </c>
      <c r="AHM15" s="44"/>
      <c r="AHN15" s="45"/>
      <c r="AHO15" s="45"/>
      <c r="AHP15" s="45"/>
      <c r="AHQ15" s="45"/>
      <c r="AHR15" s="45"/>
      <c r="AHS15" s="46"/>
      <c r="AHU15" s="2">
        <v>0</v>
      </c>
      <c r="AHV15" s="6" t="s">
        <v>20</v>
      </c>
      <c r="AHW15" s="44"/>
      <c r="AHX15" s="45"/>
      <c r="AHY15" s="45"/>
      <c r="AHZ15" s="45"/>
      <c r="AIA15" s="45"/>
      <c r="AIB15" s="45"/>
      <c r="AIC15" s="46"/>
      <c r="AIE15" s="24">
        <v>0</v>
      </c>
      <c r="AIF15" s="6" t="s">
        <v>20</v>
      </c>
      <c r="AIG15" s="44"/>
      <c r="AIH15" s="45"/>
      <c r="AII15" s="45"/>
      <c r="AIJ15" s="45"/>
      <c r="AIK15" s="45"/>
      <c r="AIL15" s="45"/>
      <c r="AIM15" s="46"/>
      <c r="AIO15" s="24">
        <v>0</v>
      </c>
      <c r="AIP15" s="6" t="s">
        <v>20</v>
      </c>
      <c r="AIQ15" s="44"/>
      <c r="AIR15" s="45"/>
      <c r="AIS15" s="45"/>
      <c r="AIT15" s="45"/>
      <c r="AIU15" s="45"/>
      <c r="AIV15" s="45"/>
      <c r="AIW15" s="46"/>
      <c r="AIY15" s="24">
        <v>0</v>
      </c>
      <c r="AIZ15" s="6" t="s">
        <v>20</v>
      </c>
      <c r="AJA15" s="44"/>
      <c r="AJB15" s="45"/>
      <c r="AJC15" s="45"/>
      <c r="AJD15" s="45"/>
      <c r="AJE15" s="45"/>
      <c r="AJF15" s="45"/>
      <c r="AJG15" s="46"/>
      <c r="AJI15" s="2">
        <v>3</v>
      </c>
      <c r="AJJ15" s="6" t="s">
        <v>20</v>
      </c>
      <c r="AJK15" s="44"/>
      <c r="AJL15" s="45"/>
      <c r="AJM15" s="45"/>
      <c r="AJN15" s="45"/>
      <c r="AJO15" s="45"/>
      <c r="AJP15" s="45"/>
      <c r="AJQ15" s="46"/>
      <c r="AJS15" s="24">
        <v>1</v>
      </c>
      <c r="AJT15" s="6" t="s">
        <v>20</v>
      </c>
      <c r="AJU15" s="44"/>
      <c r="AJV15" s="45"/>
      <c r="AJW15" s="45"/>
      <c r="AJX15" s="45"/>
      <c r="AJY15" s="45"/>
      <c r="AJZ15" s="45"/>
      <c r="AKA15" s="46"/>
      <c r="AKC15" s="2">
        <v>2</v>
      </c>
      <c r="AKD15" s="6" t="s">
        <v>20</v>
      </c>
      <c r="AKE15" s="44"/>
      <c r="AKF15" s="45"/>
      <c r="AKG15" s="45"/>
      <c r="AKH15" s="45"/>
      <c r="AKI15" s="45"/>
      <c r="AKJ15" s="45"/>
      <c r="AKK15" s="46"/>
      <c r="AKM15" s="24">
        <v>1</v>
      </c>
      <c r="AKN15" s="6" t="s">
        <v>20</v>
      </c>
      <c r="AKO15" s="44"/>
      <c r="AKP15" s="45"/>
      <c r="AKQ15" s="45"/>
      <c r="AKR15" s="45"/>
      <c r="AKS15" s="45"/>
      <c r="AKT15" s="45"/>
      <c r="AKU15" s="46"/>
      <c r="AKW15" s="2">
        <v>1</v>
      </c>
      <c r="AKX15" s="6" t="s">
        <v>20</v>
      </c>
      <c r="AKY15" s="44"/>
      <c r="AKZ15" s="45"/>
      <c r="ALA15" s="45"/>
      <c r="ALB15" s="45"/>
      <c r="ALC15" s="45"/>
      <c r="ALD15" s="45"/>
      <c r="ALE15" s="46"/>
      <c r="ALG15" s="2">
        <v>0</v>
      </c>
      <c r="ALH15" s="6" t="s">
        <v>20</v>
      </c>
      <c r="ALI15" s="44"/>
      <c r="ALJ15" s="45"/>
      <c r="ALK15" s="45"/>
      <c r="ALL15" s="45"/>
      <c r="ALM15" s="45"/>
      <c r="ALN15" s="45"/>
      <c r="ALO15" s="46"/>
      <c r="ALQ15" s="24">
        <v>0</v>
      </c>
      <c r="ALR15" s="6" t="s">
        <v>20</v>
      </c>
      <c r="ALS15" s="44"/>
      <c r="ALT15" s="45"/>
      <c r="ALU15" s="45"/>
      <c r="ALV15" s="45"/>
      <c r="ALW15" s="45"/>
      <c r="ALX15" s="45"/>
      <c r="ALY15" s="46"/>
      <c r="AMA15" s="24">
        <v>1</v>
      </c>
      <c r="AMB15" s="6" t="s">
        <v>20</v>
      </c>
      <c r="AMC15" s="44"/>
      <c r="AMD15" s="45"/>
      <c r="AME15" s="45"/>
      <c r="AMF15" s="45"/>
      <c r="AMG15" s="45"/>
      <c r="AMH15" s="45"/>
      <c r="AMI15" s="46"/>
      <c r="AMK15" s="24">
        <v>1</v>
      </c>
      <c r="AML15" s="6" t="s">
        <v>20</v>
      </c>
      <c r="AMM15" s="44"/>
      <c r="AMN15" s="45"/>
      <c r="AMO15" s="45"/>
      <c r="AMP15" s="45"/>
      <c r="AMQ15" s="45"/>
      <c r="AMR15" s="45"/>
      <c r="AMS15" s="46"/>
      <c r="AMU15" s="2">
        <v>0</v>
      </c>
      <c r="AMV15" s="6" t="s">
        <v>20</v>
      </c>
      <c r="AMW15" s="44"/>
      <c r="AMX15" s="45"/>
      <c r="AMY15" s="45"/>
      <c r="AMZ15" s="45"/>
      <c r="ANA15" s="45"/>
      <c r="ANB15" s="45"/>
      <c r="ANC15" s="46"/>
      <c r="ANE15" s="2">
        <v>1</v>
      </c>
      <c r="ANF15" s="6" t="s">
        <v>20</v>
      </c>
      <c r="ANG15" s="44"/>
      <c r="ANH15" s="45"/>
      <c r="ANI15" s="45"/>
      <c r="ANJ15" s="45"/>
      <c r="ANK15" s="45"/>
      <c r="ANL15" s="45"/>
      <c r="ANM15" s="46"/>
      <c r="ANO15" s="24">
        <v>1</v>
      </c>
      <c r="ANP15" s="6" t="s">
        <v>20</v>
      </c>
      <c r="ANQ15" s="44"/>
      <c r="ANR15" s="45"/>
      <c r="ANS15" s="45"/>
      <c r="ANT15" s="45"/>
      <c r="ANU15" s="45"/>
      <c r="ANV15" s="45"/>
      <c r="ANW15" s="46"/>
      <c r="ANY15" s="24">
        <v>1</v>
      </c>
      <c r="ANZ15" s="6" t="s">
        <v>20</v>
      </c>
      <c r="AOA15" s="44"/>
      <c r="AOB15" s="45"/>
      <c r="AOC15" s="45"/>
      <c r="AOD15" s="45"/>
      <c r="AOE15" s="45"/>
      <c r="AOF15" s="45"/>
      <c r="AOG15" s="46"/>
      <c r="AOI15" s="24">
        <v>0</v>
      </c>
      <c r="AOJ15" s="6" t="s">
        <v>20</v>
      </c>
      <c r="AOK15" s="44"/>
      <c r="AOL15" s="45"/>
      <c r="AOM15" s="45"/>
      <c r="AON15" s="45"/>
      <c r="AOO15" s="45"/>
      <c r="AOP15" s="45"/>
      <c r="AOQ15" s="46"/>
      <c r="AOS15" s="24">
        <v>1</v>
      </c>
      <c r="AOT15" s="6" t="s">
        <v>20</v>
      </c>
      <c r="AOU15" s="44"/>
      <c r="AOV15" s="45"/>
      <c r="AOW15" s="45"/>
      <c r="AOX15" s="45"/>
      <c r="AOY15" s="45"/>
      <c r="AOZ15" s="45"/>
      <c r="APA15" s="46"/>
      <c r="APC15" s="24">
        <v>0</v>
      </c>
      <c r="APD15" s="6" t="s">
        <v>20</v>
      </c>
      <c r="APE15" s="44"/>
      <c r="APF15" s="45"/>
      <c r="APG15" s="45"/>
      <c r="APH15" s="45"/>
      <c r="API15" s="45"/>
      <c r="APJ15" s="45"/>
      <c r="APK15" s="46"/>
      <c r="APM15" s="24">
        <v>0</v>
      </c>
      <c r="APN15" s="6" t="s">
        <v>20</v>
      </c>
      <c r="APO15" s="44"/>
      <c r="APP15" s="45"/>
      <c r="APQ15" s="45"/>
      <c r="APR15" s="45"/>
      <c r="APS15" s="45"/>
      <c r="APT15" s="45"/>
      <c r="APU15" s="46"/>
      <c r="APW15" s="2"/>
      <c r="APX15" s="6" t="s">
        <v>20</v>
      </c>
      <c r="APY15" s="44"/>
      <c r="APZ15" s="45"/>
      <c r="AQA15" s="45"/>
      <c r="AQB15" s="45"/>
      <c r="AQC15" s="45"/>
      <c r="AQD15" s="45"/>
      <c r="AQE15" s="46"/>
    </row>
    <row r="16" spans="1:1123" ht="11.25" x14ac:dyDescent="0.2">
      <c r="B16" s="15"/>
      <c r="C16" s="8"/>
      <c r="E16" s="18"/>
      <c r="F16" s="17"/>
      <c r="G16" s="18"/>
      <c r="H16" s="17"/>
      <c r="J16" s="18"/>
      <c r="K16" s="19"/>
      <c r="M16" s="19"/>
      <c r="O16" s="18"/>
      <c r="P16" s="17"/>
      <c r="Q16" s="18"/>
      <c r="R16" s="17"/>
      <c r="T16" s="18"/>
      <c r="U16" s="19"/>
      <c r="W16" s="19"/>
      <c r="Y16" s="18"/>
      <c r="Z16" s="17"/>
      <c r="AA16" s="18"/>
      <c r="AB16" s="17"/>
      <c r="AD16" s="18"/>
      <c r="AE16" s="19"/>
      <c r="AG16" s="19"/>
      <c r="AI16" s="18"/>
      <c r="AJ16" s="17"/>
      <c r="AK16" s="18"/>
      <c r="AL16" s="17"/>
      <c r="AN16" s="18"/>
      <c r="AO16" s="19"/>
      <c r="AQ16" s="19"/>
      <c r="AS16" s="18"/>
      <c r="AT16" s="17"/>
      <c r="AU16" s="18"/>
      <c r="AV16" s="17"/>
      <c r="AX16" s="18"/>
      <c r="AY16" s="19"/>
      <c r="BA16" s="19"/>
      <c r="BC16" s="16"/>
      <c r="BD16" s="17"/>
      <c r="BE16" s="16"/>
      <c r="BF16" s="17"/>
      <c r="BH16" s="18"/>
      <c r="BI16" s="19"/>
      <c r="BK16" s="19"/>
      <c r="BM16" s="16"/>
      <c r="BN16" s="17"/>
      <c r="BO16" s="16"/>
      <c r="BP16" s="17"/>
      <c r="BR16" s="18"/>
      <c r="BS16" s="19"/>
      <c r="BU16" s="19"/>
      <c r="BW16" s="18"/>
      <c r="BX16" s="17"/>
      <c r="BY16" s="18"/>
      <c r="BZ16" s="17"/>
      <c r="CB16" s="18"/>
      <c r="CC16" s="19"/>
      <c r="CE16" s="19"/>
      <c r="CG16" s="18"/>
      <c r="CH16" s="17"/>
      <c r="CI16" s="18"/>
      <c r="CJ16" s="17"/>
      <c r="CL16" s="18"/>
      <c r="CM16" s="19"/>
      <c r="CO16" s="19"/>
      <c r="CQ16" s="18"/>
      <c r="CR16" s="17"/>
      <c r="CS16" s="18"/>
      <c r="CT16" s="17"/>
      <c r="CV16" s="18"/>
      <c r="CW16" s="19"/>
      <c r="CY16" s="19"/>
      <c r="DA16" s="18">
        <v>90</v>
      </c>
      <c r="DB16" s="17"/>
      <c r="DC16" s="18"/>
      <c r="DD16" s="17"/>
      <c r="DF16" s="18"/>
      <c r="DG16" s="19"/>
      <c r="DI16" s="19"/>
      <c r="DK16" s="18"/>
      <c r="DL16" s="17"/>
      <c r="DM16" s="18"/>
      <c r="DN16" s="17"/>
      <c r="DP16" s="18"/>
      <c r="DQ16" s="19"/>
      <c r="DS16" s="19"/>
      <c r="DU16" s="18"/>
      <c r="DV16" s="17"/>
      <c r="DW16" s="18"/>
      <c r="DX16" s="17"/>
      <c r="DZ16" s="18"/>
      <c r="EA16" s="19"/>
      <c r="EC16" s="19"/>
      <c r="EE16" s="18"/>
      <c r="EF16" s="17"/>
      <c r="EG16" s="18"/>
      <c r="EH16" s="17"/>
      <c r="EJ16" s="18"/>
      <c r="EK16" s="19"/>
      <c r="EM16" s="19"/>
      <c r="EO16" s="18"/>
      <c r="EP16" s="17"/>
      <c r="EQ16" s="18"/>
      <c r="ER16" s="17"/>
      <c r="ET16" s="18"/>
      <c r="EU16" s="19"/>
      <c r="EW16" s="19"/>
      <c r="EY16" s="18"/>
      <c r="EZ16" s="17"/>
      <c r="FA16" s="18"/>
      <c r="FB16" s="17"/>
      <c r="FD16" s="18"/>
      <c r="FE16" s="19"/>
      <c r="FG16" s="19"/>
      <c r="FI16" s="18"/>
      <c r="FJ16" s="17"/>
      <c r="FK16" s="18"/>
      <c r="FL16" s="17"/>
      <c r="FN16" s="18"/>
      <c r="FO16" s="19"/>
      <c r="FQ16" s="19"/>
      <c r="FS16" s="18"/>
      <c r="FT16" s="17"/>
      <c r="FU16" s="18"/>
      <c r="FV16" s="17"/>
      <c r="FX16" s="18"/>
      <c r="FY16" s="19"/>
      <c r="GA16" s="19"/>
      <c r="GC16" s="18"/>
      <c r="GD16" s="17"/>
      <c r="GE16" s="18"/>
      <c r="GF16" s="17"/>
      <c r="GH16" s="18"/>
      <c r="GI16" s="19"/>
      <c r="GK16" s="19"/>
      <c r="GM16" s="18"/>
      <c r="GN16" s="17"/>
      <c r="GO16" s="18"/>
      <c r="GP16" s="17"/>
      <c r="GR16" s="18"/>
      <c r="GS16" s="19"/>
      <c r="GU16" s="19"/>
      <c r="GW16" s="18"/>
      <c r="GX16" s="17"/>
      <c r="GY16" s="18"/>
      <c r="GZ16" s="17"/>
      <c r="HB16" s="18"/>
      <c r="HC16" s="19"/>
      <c r="HE16" s="19"/>
      <c r="HG16" s="18"/>
      <c r="HH16" s="17"/>
      <c r="HI16" s="18"/>
      <c r="HJ16" s="17"/>
      <c r="HL16" s="18"/>
      <c r="HM16" s="19"/>
      <c r="HO16" s="19"/>
      <c r="HQ16" s="18"/>
      <c r="HR16" s="17"/>
      <c r="HS16" s="18"/>
      <c r="HT16" s="17"/>
      <c r="HV16" s="18"/>
      <c r="HW16" s="19"/>
      <c r="HY16" s="19"/>
      <c r="IA16" s="18"/>
      <c r="IB16" s="17"/>
      <c r="IC16" s="18"/>
      <c r="ID16" s="17"/>
      <c r="IF16" s="18"/>
      <c r="IG16" s="19"/>
      <c r="II16" s="19"/>
      <c r="IK16" s="18"/>
      <c r="IL16" s="17"/>
      <c r="IM16" s="18"/>
      <c r="IN16" s="17"/>
      <c r="IP16" s="18"/>
      <c r="IQ16" s="19"/>
      <c r="IS16" s="19"/>
      <c r="IU16" s="18"/>
      <c r="IV16" s="17"/>
      <c r="IW16" s="18"/>
      <c r="IX16" s="17"/>
      <c r="IZ16" s="18"/>
      <c r="JA16" s="19"/>
      <c r="JC16" s="19"/>
      <c r="JE16" s="18"/>
      <c r="JF16" s="17"/>
      <c r="JG16" s="18"/>
      <c r="JH16" s="17"/>
      <c r="JJ16" s="18"/>
      <c r="JK16" s="19"/>
      <c r="JM16" s="19"/>
      <c r="JO16" s="18"/>
      <c r="JP16" s="17"/>
      <c r="JQ16" s="18"/>
      <c r="JR16" s="17"/>
      <c r="JT16" s="18"/>
      <c r="JU16" s="19"/>
      <c r="JW16" s="19"/>
      <c r="JY16" s="18"/>
      <c r="JZ16" s="17"/>
      <c r="KA16" s="18"/>
      <c r="KB16" s="17"/>
      <c r="KD16" s="18"/>
      <c r="KE16" s="19"/>
      <c r="KG16" s="19"/>
      <c r="KI16" s="18"/>
      <c r="KJ16" s="17"/>
      <c r="KK16" s="18"/>
      <c r="KL16" s="17"/>
      <c r="KN16" s="18"/>
      <c r="KO16" s="19"/>
      <c r="KQ16" s="19"/>
      <c r="KS16" s="18"/>
      <c r="KT16" s="17"/>
      <c r="KU16" s="18"/>
      <c r="KV16" s="17"/>
      <c r="KX16" s="18"/>
      <c r="KY16" s="19"/>
      <c r="LA16" s="19"/>
      <c r="LC16" s="18"/>
      <c r="LD16" s="17"/>
      <c r="LE16" s="18"/>
      <c r="LF16" s="17"/>
      <c r="LH16" s="18"/>
      <c r="LI16" s="19"/>
      <c r="LK16" s="19"/>
      <c r="LM16" s="18"/>
      <c r="LN16" s="17"/>
      <c r="LO16" s="18"/>
      <c r="LP16" s="17"/>
      <c r="LR16" s="18"/>
      <c r="LS16" s="19"/>
      <c r="LU16" s="19"/>
      <c r="LW16" s="18"/>
      <c r="LX16" s="17"/>
      <c r="LY16" s="18"/>
      <c r="LZ16" s="17"/>
      <c r="MB16" s="18"/>
      <c r="MC16" s="19"/>
      <c r="ME16" s="19"/>
      <c r="MG16" s="18"/>
      <c r="MH16" s="17"/>
      <c r="MI16" s="18"/>
      <c r="MJ16" s="17"/>
      <c r="ML16" s="18"/>
      <c r="MM16" s="19"/>
      <c r="MO16" s="19"/>
      <c r="MQ16" s="16"/>
      <c r="MR16" s="17"/>
      <c r="MS16" s="16"/>
      <c r="MT16" s="17"/>
      <c r="MV16" s="18"/>
      <c r="MW16" s="19"/>
      <c r="MY16" s="19"/>
      <c r="NA16" s="18"/>
      <c r="NB16" s="17"/>
      <c r="NC16" s="18"/>
      <c r="ND16" s="17"/>
      <c r="NF16" s="18"/>
      <c r="NG16" s="19"/>
      <c r="NI16" s="19"/>
      <c r="NK16" s="18"/>
      <c r="NL16" s="17"/>
      <c r="NM16" s="18"/>
      <c r="NN16" s="17"/>
      <c r="NP16" s="18"/>
      <c r="NQ16" s="19"/>
      <c r="NS16" s="19"/>
      <c r="NU16" s="18"/>
      <c r="NV16" s="17"/>
      <c r="NW16" s="18"/>
      <c r="NX16" s="17"/>
      <c r="NZ16" s="18"/>
      <c r="OA16" s="19"/>
      <c r="OC16" s="19"/>
      <c r="OE16" s="16"/>
      <c r="OF16" s="17"/>
      <c r="OG16" s="16"/>
      <c r="OH16" s="17"/>
      <c r="OJ16" s="18"/>
      <c r="OK16" s="19"/>
      <c r="OM16" s="19"/>
      <c r="OO16" s="18"/>
      <c r="OP16" s="17"/>
      <c r="OQ16" s="18"/>
      <c r="OR16" s="17"/>
      <c r="OT16" s="18"/>
      <c r="OU16" s="19"/>
      <c r="OW16" s="19"/>
      <c r="OY16" s="18"/>
      <c r="OZ16" s="17"/>
      <c r="PA16" s="18"/>
      <c r="PB16" s="17"/>
      <c r="PD16" s="18"/>
      <c r="PE16" s="19"/>
      <c r="PG16" s="19"/>
      <c r="PI16" s="18"/>
      <c r="PJ16" s="17"/>
      <c r="PK16" s="18"/>
      <c r="PL16" s="17"/>
      <c r="PN16" s="18"/>
      <c r="PO16" s="19"/>
      <c r="PQ16" s="19"/>
      <c r="PR16" s="21"/>
      <c r="PS16" s="16"/>
      <c r="PT16" s="17"/>
      <c r="PU16" s="16"/>
      <c r="PV16" s="17"/>
      <c r="PX16" s="18"/>
      <c r="PY16" s="19"/>
      <c r="QA16" s="19"/>
      <c r="QB16" s="21"/>
      <c r="QC16" s="18"/>
      <c r="QD16" s="17"/>
      <c r="QE16" s="18"/>
      <c r="QF16" s="17"/>
      <c r="QH16" s="18"/>
      <c r="QI16" s="19"/>
      <c r="QK16" s="19"/>
      <c r="QL16" s="21"/>
      <c r="QM16" s="18"/>
      <c r="QN16" s="17"/>
      <c r="QO16" s="18"/>
      <c r="QP16" s="17"/>
      <c r="QR16" s="18"/>
      <c r="QS16" s="19"/>
      <c r="QU16" s="19"/>
      <c r="QV16" s="21"/>
      <c r="QW16" s="18"/>
      <c r="QX16" s="17"/>
      <c r="QY16" s="18"/>
      <c r="QZ16" s="17"/>
      <c r="RB16" s="18"/>
      <c r="RC16" s="19"/>
      <c r="RE16" s="19"/>
      <c r="RF16" s="21"/>
      <c r="RG16" s="18"/>
      <c r="RH16" s="17"/>
      <c r="RI16" s="18"/>
      <c r="RJ16" s="17"/>
      <c r="RL16" s="18"/>
      <c r="RM16" s="19"/>
      <c r="RO16" s="19"/>
      <c r="RP16" s="21"/>
      <c r="RQ16" s="18"/>
      <c r="RR16" s="17"/>
      <c r="RS16" s="18"/>
      <c r="RT16" s="17"/>
      <c r="RV16" s="18"/>
      <c r="RW16" s="19"/>
      <c r="RY16" s="19"/>
      <c r="RZ16" s="21"/>
      <c r="SA16" s="16"/>
      <c r="SB16" s="17"/>
      <c r="SC16" s="16"/>
      <c r="SD16" s="17"/>
      <c r="SF16" s="18"/>
      <c r="SG16" s="19"/>
      <c r="SI16" s="19"/>
      <c r="SJ16" s="21"/>
      <c r="SK16" s="18"/>
      <c r="SL16" s="17"/>
      <c r="SM16" s="18"/>
      <c r="SN16" s="17"/>
      <c r="SP16" s="18"/>
      <c r="SQ16" s="19"/>
      <c r="SS16" s="19"/>
      <c r="ST16" s="21"/>
      <c r="SU16" s="18"/>
      <c r="SV16" s="17"/>
      <c r="SW16" s="18"/>
      <c r="SX16" s="17"/>
      <c r="SZ16" s="18"/>
      <c r="TA16" s="19"/>
      <c r="TC16" s="19"/>
      <c r="TD16" s="21"/>
      <c r="TE16" s="18"/>
      <c r="TF16" s="17"/>
      <c r="TG16" s="18"/>
      <c r="TH16" s="17"/>
      <c r="TJ16" s="18"/>
      <c r="TK16" s="19"/>
      <c r="TM16" s="19"/>
      <c r="TN16" s="21"/>
      <c r="TO16" s="18"/>
      <c r="TP16" s="17"/>
      <c r="TQ16" s="18"/>
      <c r="TR16" s="17"/>
      <c r="TT16" s="18"/>
      <c r="TU16" s="19"/>
      <c r="TW16" s="19"/>
      <c r="TX16" s="21"/>
      <c r="TY16" s="18"/>
      <c r="TZ16" s="17"/>
      <c r="UA16" s="18"/>
      <c r="UB16" s="17"/>
      <c r="UD16" s="18"/>
      <c r="UE16" s="19"/>
      <c r="UG16" s="19"/>
      <c r="UH16" s="21"/>
      <c r="UI16" s="16"/>
      <c r="UJ16" s="17"/>
      <c r="UK16" s="16"/>
      <c r="UL16" s="17"/>
      <c r="UN16" s="18"/>
      <c r="UO16" s="19"/>
      <c r="UQ16" s="19"/>
      <c r="UR16" s="21"/>
      <c r="US16" s="18"/>
      <c r="UT16" s="17"/>
      <c r="UU16" s="18"/>
      <c r="UV16" s="17"/>
      <c r="UX16" s="18"/>
      <c r="UY16" s="19"/>
      <c r="VA16" s="19"/>
      <c r="VB16" s="21"/>
      <c r="VC16" s="16"/>
      <c r="VD16" s="17"/>
      <c r="VE16" s="16"/>
      <c r="VF16" s="17"/>
      <c r="VH16" s="18"/>
      <c r="VI16" s="19"/>
      <c r="VK16" s="19"/>
      <c r="VL16" s="21"/>
      <c r="VM16" s="18"/>
      <c r="VN16" s="17"/>
      <c r="VO16" s="18"/>
      <c r="VP16" s="17"/>
      <c r="VR16" s="18"/>
      <c r="VS16" s="19"/>
      <c r="VU16" s="19"/>
      <c r="VV16" s="21"/>
      <c r="VW16" s="16"/>
      <c r="VX16" s="17"/>
      <c r="VY16" s="16"/>
      <c r="VZ16" s="17"/>
      <c r="WB16" s="18"/>
      <c r="WC16" s="19"/>
      <c r="WE16" s="19"/>
      <c r="WF16" s="21"/>
      <c r="WG16" s="16"/>
      <c r="WH16" s="17"/>
      <c r="WI16" s="16"/>
      <c r="WJ16" s="17"/>
      <c r="WL16" s="18"/>
      <c r="WM16" s="19"/>
      <c r="WO16" s="19"/>
      <c r="WP16" s="21"/>
      <c r="WQ16" s="16"/>
      <c r="WR16" s="17"/>
      <c r="WS16" s="16"/>
      <c r="WT16" s="17"/>
      <c r="WV16" s="18"/>
      <c r="WW16" s="19"/>
      <c r="WY16" s="19"/>
      <c r="WZ16" s="21"/>
      <c r="XA16" s="18"/>
      <c r="XB16" s="17"/>
      <c r="XC16" s="18"/>
      <c r="XD16" s="17"/>
      <c r="XF16" s="18"/>
      <c r="XG16" s="19"/>
      <c r="XI16" s="19"/>
      <c r="XJ16" s="21"/>
      <c r="XK16" s="18"/>
      <c r="XL16" s="17"/>
      <c r="XM16" s="18"/>
      <c r="XN16" s="17"/>
      <c r="XP16" s="18"/>
      <c r="XQ16" s="19"/>
      <c r="XS16" s="19"/>
      <c r="XT16" s="21"/>
      <c r="XU16" s="18"/>
      <c r="XV16" s="17"/>
      <c r="XW16" s="18"/>
      <c r="XX16" s="17"/>
      <c r="XZ16" s="18"/>
      <c r="YA16" s="19"/>
      <c r="YC16" s="19"/>
      <c r="YD16" s="21"/>
      <c r="YE16" s="18"/>
      <c r="YF16" s="17"/>
      <c r="YG16" s="18"/>
      <c r="YH16" s="17"/>
      <c r="YJ16" s="18"/>
      <c r="YK16" s="19"/>
      <c r="YM16" s="19"/>
      <c r="YN16" s="21"/>
      <c r="YO16" s="18"/>
      <c r="YP16" s="17"/>
      <c r="YQ16" s="18"/>
      <c r="YR16" s="17"/>
      <c r="YT16" s="18"/>
      <c r="YU16" s="19"/>
      <c r="YW16" s="19"/>
      <c r="YX16" s="21"/>
      <c r="YY16" s="18"/>
      <c r="YZ16" s="17"/>
      <c r="ZA16" s="18"/>
      <c r="ZB16" s="17"/>
      <c r="ZD16" s="18"/>
      <c r="ZE16" s="19"/>
      <c r="ZG16" s="19"/>
      <c r="ZH16" s="21"/>
      <c r="ZI16" s="18"/>
      <c r="ZJ16" s="17"/>
      <c r="ZK16" s="18"/>
      <c r="ZL16" s="17"/>
      <c r="ZN16" s="18"/>
      <c r="ZO16" s="19"/>
      <c r="ZQ16" s="19"/>
      <c r="ZR16" s="21"/>
      <c r="ZS16" s="18"/>
      <c r="ZT16" s="17"/>
      <c r="ZU16" s="18"/>
      <c r="ZV16" s="17"/>
      <c r="ZX16" s="18"/>
      <c r="ZY16" s="19"/>
      <c r="AAA16" s="19"/>
      <c r="AAB16" s="21"/>
      <c r="AAC16" s="18"/>
      <c r="AAD16" s="17"/>
      <c r="AAE16" s="18"/>
      <c r="AAF16" s="17"/>
      <c r="AAH16" s="18"/>
      <c r="AAI16" s="19"/>
      <c r="AAK16" s="19"/>
      <c r="AAL16" s="21"/>
      <c r="AAM16" s="16"/>
      <c r="AAN16" s="17"/>
      <c r="AAO16" s="16"/>
      <c r="AAP16" s="17"/>
      <c r="AAR16" s="18"/>
      <c r="AAS16" s="19"/>
      <c r="AAU16" s="19"/>
      <c r="AAV16" s="21"/>
      <c r="AAW16" s="16"/>
      <c r="AAX16" s="17"/>
      <c r="AAY16" s="16"/>
      <c r="AAZ16" s="17"/>
      <c r="ABB16" s="18"/>
      <c r="ABC16" s="19"/>
      <c r="ABE16" s="19"/>
      <c r="ABF16" s="21"/>
      <c r="ABG16" s="18"/>
      <c r="ABH16" s="17"/>
      <c r="ABI16" s="18"/>
      <c r="ABJ16" s="17"/>
      <c r="ABL16" s="18"/>
      <c r="ABM16" s="19"/>
      <c r="ABO16" s="19"/>
      <c r="ABP16" s="21"/>
      <c r="ABQ16" s="16"/>
      <c r="ABR16" s="17"/>
      <c r="ABS16" s="16"/>
      <c r="ABT16" s="17"/>
      <c r="ABV16" s="18"/>
      <c r="ABW16" s="19"/>
      <c r="ABY16" s="19"/>
      <c r="ABZ16" s="21"/>
      <c r="ACA16" s="18"/>
      <c r="ACB16" s="17"/>
      <c r="ACC16" s="18"/>
      <c r="ACD16" s="17"/>
      <c r="ACF16" s="18"/>
      <c r="ACG16" s="19"/>
      <c r="ACI16" s="19"/>
      <c r="ACJ16" s="21"/>
      <c r="ACK16" s="18"/>
      <c r="ACL16" s="17"/>
      <c r="ACM16" s="18"/>
      <c r="ACN16" s="17"/>
      <c r="ACP16" s="18"/>
      <c r="ACQ16" s="19"/>
      <c r="ACS16" s="19"/>
      <c r="ACT16" s="21"/>
      <c r="ACU16" s="18"/>
      <c r="ACV16" s="17"/>
      <c r="ACW16" s="18"/>
      <c r="ACX16" s="17"/>
      <c r="ACZ16" s="18"/>
      <c r="ADA16" s="19"/>
      <c r="ADC16" s="19"/>
      <c r="ADD16" s="21"/>
      <c r="ADE16" s="18"/>
      <c r="ADF16" s="17"/>
      <c r="ADG16" s="18"/>
      <c r="ADH16" s="17"/>
      <c r="ADJ16" s="18"/>
      <c r="ADK16" s="19"/>
      <c r="ADM16" s="19"/>
      <c r="ADN16" s="21"/>
      <c r="ADO16" s="18"/>
      <c r="ADP16" s="17"/>
      <c r="ADQ16" s="18"/>
      <c r="ADR16" s="17"/>
      <c r="ADT16" s="18"/>
      <c r="ADU16" s="19"/>
      <c r="ADW16" s="19"/>
      <c r="ADX16" s="21"/>
      <c r="ADY16" s="18"/>
      <c r="ADZ16" s="17"/>
      <c r="AEA16" s="18"/>
      <c r="AEB16" s="17"/>
      <c r="AED16" s="18"/>
      <c r="AEE16" s="19"/>
      <c r="AEG16" s="19"/>
      <c r="AEH16" s="21"/>
      <c r="AEI16" s="16"/>
      <c r="AEJ16" s="17"/>
      <c r="AEK16" s="16"/>
      <c r="AEL16" s="17"/>
      <c r="AEN16" s="18"/>
      <c r="AEO16" s="19"/>
      <c r="AEQ16" s="19"/>
      <c r="AER16" s="21"/>
      <c r="AES16" s="18"/>
      <c r="AET16" s="17"/>
      <c r="AEU16" s="18"/>
      <c r="AEV16" s="17"/>
      <c r="AEX16" s="18"/>
      <c r="AEY16" s="19"/>
      <c r="AFA16" s="19"/>
      <c r="AFB16" s="21"/>
      <c r="AFC16" s="16"/>
      <c r="AFD16" s="17"/>
      <c r="AFE16" s="16"/>
      <c r="AFF16" s="17"/>
      <c r="AFH16" s="18"/>
      <c r="AFI16" s="19"/>
      <c r="AFK16" s="19"/>
      <c r="AFL16" s="21"/>
      <c r="AFM16" s="16"/>
      <c r="AFN16" s="17"/>
      <c r="AFO16" s="16"/>
      <c r="AFP16" s="17"/>
      <c r="AFR16" s="18"/>
      <c r="AFS16" s="19"/>
      <c r="AFU16" s="19"/>
      <c r="AFV16" s="21"/>
      <c r="AFW16" s="18"/>
      <c r="AFX16" s="17"/>
      <c r="AFY16" s="18"/>
      <c r="AFZ16" s="17"/>
      <c r="AGB16" s="18"/>
      <c r="AGC16" s="19"/>
      <c r="AGE16" s="19"/>
      <c r="AGF16" s="21"/>
      <c r="AGG16" s="18"/>
      <c r="AGH16" s="17"/>
      <c r="AGI16" s="18"/>
      <c r="AGJ16" s="17"/>
      <c r="AGL16" s="18"/>
      <c r="AGM16" s="19"/>
      <c r="AGO16" s="19"/>
      <c r="AGP16" s="21"/>
      <c r="AGQ16" s="18"/>
      <c r="AGR16" s="17"/>
      <c r="AGS16" s="18"/>
      <c r="AGT16" s="17"/>
      <c r="AGV16" s="18"/>
      <c r="AGW16" s="19"/>
      <c r="AGY16" s="19"/>
      <c r="AGZ16" s="21"/>
      <c r="AHA16" s="18"/>
      <c r="AHB16" s="17"/>
      <c r="AHC16" s="18"/>
      <c r="AHD16" s="17"/>
      <c r="AHF16" s="18"/>
      <c r="AHG16" s="19"/>
      <c r="AHI16" s="19"/>
      <c r="AHJ16" s="21"/>
      <c r="AHK16" s="16"/>
      <c r="AHL16" s="17"/>
      <c r="AHM16" s="16"/>
      <c r="AHN16" s="17"/>
      <c r="AHP16" s="18"/>
      <c r="AHQ16" s="19"/>
      <c r="AHS16" s="19"/>
      <c r="AHT16" s="21"/>
      <c r="AHU16" s="16"/>
      <c r="AHV16" s="17"/>
      <c r="AHW16" s="16"/>
      <c r="AHX16" s="17"/>
      <c r="AHZ16" s="18"/>
      <c r="AIA16" s="19"/>
      <c r="AIC16" s="19"/>
      <c r="AID16" s="21"/>
      <c r="AIE16" s="18"/>
      <c r="AIF16" s="17"/>
      <c r="AIG16" s="18"/>
      <c r="AIH16" s="17"/>
      <c r="AIJ16" s="18"/>
      <c r="AIK16" s="19"/>
      <c r="AIM16" s="19"/>
      <c r="AIN16" s="21"/>
      <c r="AIO16" s="18"/>
      <c r="AIP16" s="17"/>
      <c r="AIQ16" s="18"/>
      <c r="AIR16" s="17"/>
      <c r="AIT16" s="18"/>
      <c r="AIU16" s="19"/>
      <c r="AIW16" s="19"/>
      <c r="AIX16" s="21"/>
      <c r="AIY16" s="18"/>
      <c r="AIZ16" s="17"/>
      <c r="AJA16" s="18"/>
      <c r="AJB16" s="17"/>
      <c r="AJD16" s="18"/>
      <c r="AJE16" s="19"/>
      <c r="AJG16" s="19"/>
      <c r="AJH16" s="21"/>
      <c r="AJI16" s="16"/>
      <c r="AJJ16" s="17"/>
      <c r="AJK16" s="16"/>
      <c r="AJL16" s="17"/>
      <c r="AJN16" s="18"/>
      <c r="AJO16" s="19"/>
      <c r="AJQ16" s="19"/>
      <c r="AJR16" s="21"/>
      <c r="AJS16" s="18"/>
      <c r="AJT16" s="17"/>
      <c r="AJU16" s="18"/>
      <c r="AJV16" s="17"/>
      <c r="AJX16" s="18"/>
      <c r="AJY16" s="19"/>
      <c r="AKA16" s="19"/>
      <c r="AKB16" s="21"/>
      <c r="AKC16" s="16"/>
      <c r="AKD16" s="17"/>
      <c r="AKE16" s="16"/>
      <c r="AKF16" s="17"/>
      <c r="AKH16" s="18"/>
      <c r="AKI16" s="19"/>
      <c r="AKK16" s="19"/>
      <c r="AKL16" s="21"/>
      <c r="AKM16" s="18"/>
      <c r="AKN16" s="17"/>
      <c r="AKO16" s="18"/>
      <c r="AKP16" s="17"/>
      <c r="AKR16" s="18"/>
      <c r="AKS16" s="19"/>
      <c r="AKU16" s="19"/>
      <c r="AKV16" s="21"/>
      <c r="AKW16" s="16"/>
      <c r="AKX16" s="17"/>
      <c r="AKY16" s="16"/>
      <c r="AKZ16" s="17"/>
      <c r="ALB16" s="18"/>
      <c r="ALC16" s="19"/>
      <c r="ALE16" s="19"/>
      <c r="ALF16" s="21"/>
      <c r="ALG16" s="16"/>
      <c r="ALH16" s="17"/>
      <c r="ALI16" s="16"/>
      <c r="ALJ16" s="17"/>
      <c r="ALL16" s="18"/>
      <c r="ALM16" s="19"/>
      <c r="ALO16" s="19"/>
      <c r="ALP16" s="21"/>
      <c r="ALQ16" s="18"/>
      <c r="ALR16" s="17"/>
      <c r="ALS16" s="18"/>
      <c r="ALT16" s="17"/>
      <c r="ALV16" s="18"/>
      <c r="ALW16" s="19"/>
      <c r="ALY16" s="19"/>
      <c r="ALZ16" s="21"/>
      <c r="AMA16" s="18"/>
      <c r="AMB16" s="17"/>
      <c r="AMC16" s="18"/>
      <c r="AMD16" s="17"/>
      <c r="AMF16" s="18"/>
      <c r="AMG16" s="19"/>
      <c r="AMI16" s="19"/>
      <c r="AMJ16" s="21"/>
      <c r="AMK16" s="18"/>
      <c r="AML16" s="17"/>
      <c r="AMM16" s="18"/>
      <c r="AMN16" s="17"/>
      <c r="AMP16" s="18"/>
      <c r="AMQ16" s="19"/>
      <c r="AMS16" s="19"/>
      <c r="AMT16" s="21"/>
      <c r="AMU16" s="16"/>
      <c r="AMV16" s="17"/>
      <c r="AMW16" s="16"/>
      <c r="AMX16" s="17"/>
      <c r="AMZ16" s="18"/>
      <c r="ANA16" s="19"/>
      <c r="ANC16" s="19"/>
      <c r="AND16" s="21"/>
      <c r="ANE16" s="16"/>
      <c r="ANF16" s="17"/>
      <c r="ANG16" s="16"/>
      <c r="ANH16" s="17"/>
      <c r="ANJ16" s="18"/>
      <c r="ANK16" s="19"/>
      <c r="ANM16" s="19"/>
      <c r="ANN16" s="21"/>
      <c r="ANO16" s="18"/>
      <c r="ANP16" s="17"/>
      <c r="ANQ16" s="18"/>
      <c r="ANR16" s="17"/>
      <c r="ANT16" s="18"/>
      <c r="ANU16" s="19"/>
      <c r="ANW16" s="19"/>
      <c r="ANX16" s="21"/>
      <c r="ANY16" s="18"/>
      <c r="ANZ16" s="17"/>
      <c r="AOA16" s="18"/>
      <c r="AOB16" s="17"/>
      <c r="AOD16" s="18"/>
      <c r="AOE16" s="19"/>
      <c r="AOG16" s="19"/>
      <c r="AOH16" s="21"/>
      <c r="AOI16" s="18"/>
      <c r="AOJ16" s="17"/>
      <c r="AOK16" s="18"/>
      <c r="AOL16" s="17"/>
      <c r="AON16" s="18"/>
      <c r="AOO16" s="19"/>
      <c r="AOQ16" s="19"/>
      <c r="AOR16" s="21"/>
      <c r="AOS16" s="18"/>
      <c r="AOT16" s="17"/>
      <c r="AOU16" s="18"/>
      <c r="AOV16" s="17"/>
      <c r="AOX16" s="18"/>
      <c r="AOY16" s="19"/>
      <c r="APA16" s="19"/>
      <c r="APB16" s="21"/>
      <c r="APC16" s="18"/>
      <c r="APD16" s="17"/>
      <c r="APE16" s="18"/>
      <c r="APF16" s="17"/>
      <c r="APH16" s="18"/>
      <c r="API16" s="19"/>
      <c r="APK16" s="19"/>
      <c r="APL16" s="21"/>
      <c r="APM16" s="18"/>
      <c r="APN16" s="17"/>
      <c r="APO16" s="18"/>
      <c r="APP16" s="17"/>
      <c r="APR16" s="18"/>
      <c r="APS16" s="19"/>
      <c r="APU16" s="19"/>
      <c r="APV16" s="21"/>
      <c r="APW16" s="16"/>
      <c r="APX16" s="17"/>
      <c r="APY16" s="16"/>
      <c r="APZ16" s="17"/>
      <c r="AQB16" s="18"/>
      <c r="AQC16" s="19"/>
      <c r="AQE16" s="19"/>
    </row>
    <row r="17" spans="1:1123" s="21" customFormat="1" ht="9" customHeight="1" x14ac:dyDescent="0.2">
      <c r="A17" s="20" t="s">
        <v>35</v>
      </c>
      <c r="B17" s="4" t="s">
        <v>9</v>
      </c>
      <c r="C17" s="4" t="s">
        <v>10</v>
      </c>
      <c r="E17" s="39" t="s">
        <v>36</v>
      </c>
      <c r="F17" s="40"/>
      <c r="G17" s="47" t="s">
        <v>37</v>
      </c>
      <c r="H17" s="48"/>
      <c r="I17" s="48"/>
      <c r="J17" s="48"/>
      <c r="K17" s="48"/>
      <c r="L17" s="48"/>
      <c r="M17" s="49"/>
      <c r="O17" s="39" t="s">
        <v>36</v>
      </c>
      <c r="P17" s="40"/>
      <c r="Q17" s="47" t="s">
        <v>37</v>
      </c>
      <c r="R17" s="48"/>
      <c r="S17" s="48"/>
      <c r="T17" s="48"/>
      <c r="U17" s="48"/>
      <c r="V17" s="48"/>
      <c r="W17" s="49"/>
      <c r="Y17" s="39" t="s">
        <v>36</v>
      </c>
      <c r="Z17" s="40"/>
      <c r="AA17" s="47" t="s">
        <v>37</v>
      </c>
      <c r="AB17" s="48"/>
      <c r="AC17" s="48"/>
      <c r="AD17" s="48"/>
      <c r="AE17" s="48"/>
      <c r="AF17" s="48"/>
      <c r="AG17" s="49"/>
      <c r="AI17" s="39" t="s">
        <v>36</v>
      </c>
      <c r="AJ17" s="40"/>
      <c r="AK17" s="47" t="s">
        <v>37</v>
      </c>
      <c r="AL17" s="48"/>
      <c r="AM17" s="48"/>
      <c r="AN17" s="48"/>
      <c r="AO17" s="48"/>
      <c r="AP17" s="48"/>
      <c r="AQ17" s="49"/>
      <c r="AS17" s="39" t="s">
        <v>36</v>
      </c>
      <c r="AT17" s="40"/>
      <c r="AU17" s="47" t="s">
        <v>37</v>
      </c>
      <c r="AV17" s="48"/>
      <c r="AW17" s="48"/>
      <c r="AX17" s="48"/>
      <c r="AY17" s="48"/>
      <c r="AZ17" s="48"/>
      <c r="BA17" s="49"/>
      <c r="BC17" s="39" t="s">
        <v>36</v>
      </c>
      <c r="BD17" s="40"/>
      <c r="BE17" s="47" t="s">
        <v>37</v>
      </c>
      <c r="BF17" s="48"/>
      <c r="BG17" s="48"/>
      <c r="BH17" s="48"/>
      <c r="BI17" s="48"/>
      <c r="BJ17" s="48"/>
      <c r="BK17" s="49"/>
      <c r="BM17" s="39" t="s">
        <v>36</v>
      </c>
      <c r="BN17" s="40"/>
      <c r="BO17" s="47" t="s">
        <v>37</v>
      </c>
      <c r="BP17" s="48"/>
      <c r="BQ17" s="48"/>
      <c r="BR17" s="48"/>
      <c r="BS17" s="48"/>
      <c r="BT17" s="48"/>
      <c r="BU17" s="49"/>
      <c r="BW17" s="39" t="s">
        <v>36</v>
      </c>
      <c r="BX17" s="40"/>
      <c r="BY17" s="47" t="s">
        <v>37</v>
      </c>
      <c r="BZ17" s="48"/>
      <c r="CA17" s="48"/>
      <c r="CB17" s="48"/>
      <c r="CC17" s="48"/>
      <c r="CD17" s="48"/>
      <c r="CE17" s="49"/>
      <c r="CG17" s="39" t="s">
        <v>36</v>
      </c>
      <c r="CH17" s="40"/>
      <c r="CI17" s="47" t="s">
        <v>37</v>
      </c>
      <c r="CJ17" s="48"/>
      <c r="CK17" s="48"/>
      <c r="CL17" s="48"/>
      <c r="CM17" s="48"/>
      <c r="CN17" s="48"/>
      <c r="CO17" s="49"/>
      <c r="CQ17" s="39" t="s">
        <v>36</v>
      </c>
      <c r="CR17" s="40"/>
      <c r="CS17" s="47" t="s">
        <v>37</v>
      </c>
      <c r="CT17" s="48"/>
      <c r="CU17" s="48"/>
      <c r="CV17" s="48"/>
      <c r="CW17" s="48"/>
      <c r="CX17" s="48"/>
      <c r="CY17" s="49"/>
      <c r="DA17" s="39" t="s">
        <v>36</v>
      </c>
      <c r="DB17" s="40"/>
      <c r="DC17" s="47" t="s">
        <v>37</v>
      </c>
      <c r="DD17" s="48"/>
      <c r="DE17" s="48"/>
      <c r="DF17" s="48"/>
      <c r="DG17" s="48"/>
      <c r="DH17" s="48"/>
      <c r="DI17" s="49"/>
      <c r="DK17" s="39" t="s">
        <v>36</v>
      </c>
      <c r="DL17" s="40"/>
      <c r="DM17" s="47" t="s">
        <v>37</v>
      </c>
      <c r="DN17" s="48"/>
      <c r="DO17" s="48"/>
      <c r="DP17" s="48"/>
      <c r="DQ17" s="48"/>
      <c r="DR17" s="48"/>
      <c r="DS17" s="49"/>
      <c r="DU17" s="39" t="s">
        <v>36</v>
      </c>
      <c r="DV17" s="40"/>
      <c r="DW17" s="47" t="s">
        <v>37</v>
      </c>
      <c r="DX17" s="48"/>
      <c r="DY17" s="48"/>
      <c r="DZ17" s="48"/>
      <c r="EA17" s="48"/>
      <c r="EB17" s="48"/>
      <c r="EC17" s="49"/>
      <c r="EE17" s="39" t="s">
        <v>36</v>
      </c>
      <c r="EF17" s="40"/>
      <c r="EG17" s="47" t="s">
        <v>37</v>
      </c>
      <c r="EH17" s="48"/>
      <c r="EI17" s="48"/>
      <c r="EJ17" s="48"/>
      <c r="EK17" s="48"/>
      <c r="EL17" s="48"/>
      <c r="EM17" s="49"/>
      <c r="EO17" s="39" t="s">
        <v>36</v>
      </c>
      <c r="EP17" s="40"/>
      <c r="EQ17" s="47" t="s">
        <v>37</v>
      </c>
      <c r="ER17" s="48"/>
      <c r="ES17" s="48"/>
      <c r="ET17" s="48"/>
      <c r="EU17" s="48"/>
      <c r="EV17" s="48"/>
      <c r="EW17" s="49"/>
      <c r="EY17" s="39" t="s">
        <v>36</v>
      </c>
      <c r="EZ17" s="40"/>
      <c r="FA17" s="47" t="s">
        <v>37</v>
      </c>
      <c r="FB17" s="48"/>
      <c r="FC17" s="48"/>
      <c r="FD17" s="48"/>
      <c r="FE17" s="48"/>
      <c r="FF17" s="48"/>
      <c r="FG17" s="49"/>
      <c r="FI17" s="39" t="s">
        <v>36</v>
      </c>
      <c r="FJ17" s="40"/>
      <c r="FK17" s="47" t="s">
        <v>37</v>
      </c>
      <c r="FL17" s="48"/>
      <c r="FM17" s="48"/>
      <c r="FN17" s="48"/>
      <c r="FO17" s="48"/>
      <c r="FP17" s="48"/>
      <c r="FQ17" s="49"/>
      <c r="FS17" s="39" t="s">
        <v>36</v>
      </c>
      <c r="FT17" s="40"/>
      <c r="FU17" s="47" t="s">
        <v>37</v>
      </c>
      <c r="FV17" s="48"/>
      <c r="FW17" s="48"/>
      <c r="FX17" s="48"/>
      <c r="FY17" s="48"/>
      <c r="FZ17" s="48"/>
      <c r="GA17" s="49"/>
      <c r="GC17" s="39" t="s">
        <v>36</v>
      </c>
      <c r="GD17" s="40"/>
      <c r="GE17" s="47" t="s">
        <v>37</v>
      </c>
      <c r="GF17" s="48"/>
      <c r="GG17" s="48"/>
      <c r="GH17" s="48"/>
      <c r="GI17" s="48"/>
      <c r="GJ17" s="48"/>
      <c r="GK17" s="49"/>
      <c r="GM17" s="39" t="s">
        <v>36</v>
      </c>
      <c r="GN17" s="40"/>
      <c r="GO17" s="47" t="s">
        <v>37</v>
      </c>
      <c r="GP17" s="48"/>
      <c r="GQ17" s="48"/>
      <c r="GR17" s="48"/>
      <c r="GS17" s="48"/>
      <c r="GT17" s="48"/>
      <c r="GU17" s="49"/>
      <c r="GW17" s="39" t="s">
        <v>36</v>
      </c>
      <c r="GX17" s="40"/>
      <c r="GY17" s="47" t="s">
        <v>37</v>
      </c>
      <c r="GZ17" s="48"/>
      <c r="HA17" s="48"/>
      <c r="HB17" s="48"/>
      <c r="HC17" s="48"/>
      <c r="HD17" s="48"/>
      <c r="HE17" s="49"/>
      <c r="HG17" s="39" t="s">
        <v>36</v>
      </c>
      <c r="HH17" s="40"/>
      <c r="HI17" s="47" t="s">
        <v>37</v>
      </c>
      <c r="HJ17" s="48"/>
      <c r="HK17" s="48"/>
      <c r="HL17" s="48"/>
      <c r="HM17" s="48"/>
      <c r="HN17" s="48"/>
      <c r="HO17" s="49"/>
      <c r="HQ17" s="39" t="s">
        <v>36</v>
      </c>
      <c r="HR17" s="40"/>
      <c r="HS17" s="47" t="s">
        <v>37</v>
      </c>
      <c r="HT17" s="48"/>
      <c r="HU17" s="48"/>
      <c r="HV17" s="48"/>
      <c r="HW17" s="48"/>
      <c r="HX17" s="48"/>
      <c r="HY17" s="49"/>
      <c r="IA17" s="39" t="s">
        <v>36</v>
      </c>
      <c r="IB17" s="40"/>
      <c r="IC17" s="47" t="s">
        <v>37</v>
      </c>
      <c r="ID17" s="48"/>
      <c r="IE17" s="48"/>
      <c r="IF17" s="48"/>
      <c r="IG17" s="48"/>
      <c r="IH17" s="48"/>
      <c r="II17" s="49"/>
      <c r="IK17" s="39" t="s">
        <v>36</v>
      </c>
      <c r="IL17" s="40"/>
      <c r="IM17" s="47" t="s">
        <v>37</v>
      </c>
      <c r="IN17" s="48"/>
      <c r="IO17" s="48"/>
      <c r="IP17" s="48"/>
      <c r="IQ17" s="48"/>
      <c r="IR17" s="48"/>
      <c r="IS17" s="49"/>
      <c r="IU17" s="39" t="s">
        <v>36</v>
      </c>
      <c r="IV17" s="40"/>
      <c r="IW17" s="47" t="s">
        <v>37</v>
      </c>
      <c r="IX17" s="48"/>
      <c r="IY17" s="48"/>
      <c r="IZ17" s="48"/>
      <c r="JA17" s="48"/>
      <c r="JB17" s="48"/>
      <c r="JC17" s="49"/>
      <c r="JE17" s="39" t="s">
        <v>36</v>
      </c>
      <c r="JF17" s="40"/>
      <c r="JG17" s="47" t="s">
        <v>37</v>
      </c>
      <c r="JH17" s="48"/>
      <c r="JI17" s="48"/>
      <c r="JJ17" s="48"/>
      <c r="JK17" s="48"/>
      <c r="JL17" s="48"/>
      <c r="JM17" s="49"/>
      <c r="JO17" s="39" t="s">
        <v>36</v>
      </c>
      <c r="JP17" s="40"/>
      <c r="JQ17" s="47" t="s">
        <v>37</v>
      </c>
      <c r="JR17" s="48"/>
      <c r="JS17" s="48"/>
      <c r="JT17" s="48"/>
      <c r="JU17" s="48"/>
      <c r="JV17" s="48"/>
      <c r="JW17" s="49"/>
      <c r="JY17" s="39" t="s">
        <v>36</v>
      </c>
      <c r="JZ17" s="40"/>
      <c r="KA17" s="47" t="s">
        <v>37</v>
      </c>
      <c r="KB17" s="48"/>
      <c r="KC17" s="48"/>
      <c r="KD17" s="48"/>
      <c r="KE17" s="48"/>
      <c r="KF17" s="48"/>
      <c r="KG17" s="49"/>
      <c r="KI17" s="39" t="s">
        <v>36</v>
      </c>
      <c r="KJ17" s="40"/>
      <c r="KK17" s="47" t="s">
        <v>37</v>
      </c>
      <c r="KL17" s="48"/>
      <c r="KM17" s="48"/>
      <c r="KN17" s="48"/>
      <c r="KO17" s="48"/>
      <c r="KP17" s="48"/>
      <c r="KQ17" s="49"/>
      <c r="KS17" s="39" t="s">
        <v>36</v>
      </c>
      <c r="KT17" s="40"/>
      <c r="KU17" s="47" t="s">
        <v>37</v>
      </c>
      <c r="KV17" s="48"/>
      <c r="KW17" s="48"/>
      <c r="KX17" s="48"/>
      <c r="KY17" s="48"/>
      <c r="KZ17" s="48"/>
      <c r="LA17" s="49"/>
      <c r="LC17" s="39" t="s">
        <v>36</v>
      </c>
      <c r="LD17" s="40"/>
      <c r="LE17" s="47" t="s">
        <v>37</v>
      </c>
      <c r="LF17" s="48"/>
      <c r="LG17" s="48"/>
      <c r="LH17" s="48"/>
      <c r="LI17" s="48"/>
      <c r="LJ17" s="48"/>
      <c r="LK17" s="49"/>
      <c r="LM17" s="39" t="s">
        <v>36</v>
      </c>
      <c r="LN17" s="40"/>
      <c r="LO17" s="47" t="s">
        <v>37</v>
      </c>
      <c r="LP17" s="48"/>
      <c r="LQ17" s="48"/>
      <c r="LR17" s="48"/>
      <c r="LS17" s="48"/>
      <c r="LT17" s="48"/>
      <c r="LU17" s="49"/>
      <c r="LW17" s="39" t="s">
        <v>36</v>
      </c>
      <c r="LX17" s="40"/>
      <c r="LY17" s="47" t="s">
        <v>37</v>
      </c>
      <c r="LZ17" s="48"/>
      <c r="MA17" s="48"/>
      <c r="MB17" s="48"/>
      <c r="MC17" s="48"/>
      <c r="MD17" s="48"/>
      <c r="ME17" s="49"/>
      <c r="MG17" s="39" t="s">
        <v>36</v>
      </c>
      <c r="MH17" s="40"/>
      <c r="MI17" s="47" t="s">
        <v>37</v>
      </c>
      <c r="MJ17" s="48"/>
      <c r="MK17" s="48"/>
      <c r="ML17" s="48"/>
      <c r="MM17" s="48"/>
      <c r="MN17" s="48"/>
      <c r="MO17" s="49"/>
      <c r="MQ17" s="39" t="s">
        <v>36</v>
      </c>
      <c r="MR17" s="40"/>
      <c r="MS17" s="47" t="s">
        <v>37</v>
      </c>
      <c r="MT17" s="48"/>
      <c r="MU17" s="48"/>
      <c r="MV17" s="48"/>
      <c r="MW17" s="48"/>
      <c r="MX17" s="48"/>
      <c r="MY17" s="49"/>
      <c r="NA17" s="39" t="s">
        <v>36</v>
      </c>
      <c r="NB17" s="40"/>
      <c r="NC17" s="47" t="s">
        <v>37</v>
      </c>
      <c r="ND17" s="48"/>
      <c r="NE17" s="48"/>
      <c r="NF17" s="48"/>
      <c r="NG17" s="48"/>
      <c r="NH17" s="48"/>
      <c r="NI17" s="49"/>
      <c r="NK17" s="39" t="s">
        <v>36</v>
      </c>
      <c r="NL17" s="40"/>
      <c r="NM17" s="47" t="s">
        <v>37</v>
      </c>
      <c r="NN17" s="48"/>
      <c r="NO17" s="48"/>
      <c r="NP17" s="48"/>
      <c r="NQ17" s="48"/>
      <c r="NR17" s="48"/>
      <c r="NS17" s="49"/>
      <c r="NU17" s="39" t="s">
        <v>36</v>
      </c>
      <c r="NV17" s="40"/>
      <c r="NW17" s="47" t="s">
        <v>37</v>
      </c>
      <c r="NX17" s="48"/>
      <c r="NY17" s="48"/>
      <c r="NZ17" s="48"/>
      <c r="OA17" s="48"/>
      <c r="OB17" s="48"/>
      <c r="OC17" s="49"/>
      <c r="OE17" s="39" t="s">
        <v>36</v>
      </c>
      <c r="OF17" s="40"/>
      <c r="OG17" s="47" t="s">
        <v>37</v>
      </c>
      <c r="OH17" s="48"/>
      <c r="OI17" s="48"/>
      <c r="OJ17" s="48"/>
      <c r="OK17" s="48"/>
      <c r="OL17" s="48"/>
      <c r="OM17" s="49"/>
      <c r="OO17" s="39" t="s">
        <v>36</v>
      </c>
      <c r="OP17" s="40"/>
      <c r="OQ17" s="47" t="s">
        <v>37</v>
      </c>
      <c r="OR17" s="48"/>
      <c r="OS17" s="48"/>
      <c r="OT17" s="48"/>
      <c r="OU17" s="48"/>
      <c r="OV17" s="48"/>
      <c r="OW17" s="49"/>
      <c r="OY17" s="39" t="s">
        <v>36</v>
      </c>
      <c r="OZ17" s="40"/>
      <c r="PA17" s="47" t="s">
        <v>37</v>
      </c>
      <c r="PB17" s="48"/>
      <c r="PC17" s="48"/>
      <c r="PD17" s="48"/>
      <c r="PE17" s="48"/>
      <c r="PF17" s="48"/>
      <c r="PG17" s="49"/>
      <c r="PI17" s="39" t="s">
        <v>36</v>
      </c>
      <c r="PJ17" s="40"/>
      <c r="PK17" s="47" t="s">
        <v>37</v>
      </c>
      <c r="PL17" s="48"/>
      <c r="PM17" s="48"/>
      <c r="PN17" s="48"/>
      <c r="PO17" s="48"/>
      <c r="PP17" s="48"/>
      <c r="PQ17" s="49"/>
      <c r="PR17" s="1"/>
      <c r="PS17" s="39" t="s">
        <v>36</v>
      </c>
      <c r="PT17" s="40"/>
      <c r="PU17" s="47" t="s">
        <v>37</v>
      </c>
      <c r="PV17" s="48"/>
      <c r="PW17" s="48"/>
      <c r="PX17" s="48"/>
      <c r="PY17" s="48"/>
      <c r="PZ17" s="48"/>
      <c r="QA17" s="49"/>
      <c r="QB17" s="1"/>
      <c r="QC17" s="39" t="s">
        <v>36</v>
      </c>
      <c r="QD17" s="40"/>
      <c r="QE17" s="47" t="s">
        <v>37</v>
      </c>
      <c r="QF17" s="48"/>
      <c r="QG17" s="48"/>
      <c r="QH17" s="48"/>
      <c r="QI17" s="48"/>
      <c r="QJ17" s="48"/>
      <c r="QK17" s="49"/>
      <c r="QL17" s="1"/>
      <c r="QM17" s="39" t="s">
        <v>36</v>
      </c>
      <c r="QN17" s="40"/>
      <c r="QO17" s="47" t="s">
        <v>37</v>
      </c>
      <c r="QP17" s="48"/>
      <c r="QQ17" s="48"/>
      <c r="QR17" s="48"/>
      <c r="QS17" s="48"/>
      <c r="QT17" s="48"/>
      <c r="QU17" s="49"/>
      <c r="QV17" s="1"/>
      <c r="QW17" s="39" t="s">
        <v>36</v>
      </c>
      <c r="QX17" s="40"/>
      <c r="QY17" s="47" t="s">
        <v>37</v>
      </c>
      <c r="QZ17" s="48"/>
      <c r="RA17" s="48"/>
      <c r="RB17" s="48"/>
      <c r="RC17" s="48"/>
      <c r="RD17" s="48"/>
      <c r="RE17" s="49"/>
      <c r="RF17" s="1"/>
      <c r="RG17" s="39" t="s">
        <v>36</v>
      </c>
      <c r="RH17" s="40"/>
      <c r="RI17" s="47" t="s">
        <v>37</v>
      </c>
      <c r="RJ17" s="48"/>
      <c r="RK17" s="48"/>
      <c r="RL17" s="48"/>
      <c r="RM17" s="48"/>
      <c r="RN17" s="48"/>
      <c r="RO17" s="49"/>
      <c r="RP17" s="1"/>
      <c r="RQ17" s="39" t="s">
        <v>36</v>
      </c>
      <c r="RR17" s="40"/>
      <c r="RS17" s="47" t="s">
        <v>37</v>
      </c>
      <c r="RT17" s="48"/>
      <c r="RU17" s="48"/>
      <c r="RV17" s="48"/>
      <c r="RW17" s="48"/>
      <c r="RX17" s="48"/>
      <c r="RY17" s="49"/>
      <c r="RZ17" s="1"/>
      <c r="SA17" s="39" t="s">
        <v>36</v>
      </c>
      <c r="SB17" s="40"/>
      <c r="SC17" s="47" t="s">
        <v>37</v>
      </c>
      <c r="SD17" s="48"/>
      <c r="SE17" s="48"/>
      <c r="SF17" s="48"/>
      <c r="SG17" s="48"/>
      <c r="SH17" s="48"/>
      <c r="SI17" s="49"/>
      <c r="SJ17" s="1"/>
      <c r="SK17" s="39" t="s">
        <v>36</v>
      </c>
      <c r="SL17" s="40"/>
      <c r="SM17" s="47" t="s">
        <v>37</v>
      </c>
      <c r="SN17" s="48"/>
      <c r="SO17" s="48"/>
      <c r="SP17" s="48"/>
      <c r="SQ17" s="48"/>
      <c r="SR17" s="48"/>
      <c r="SS17" s="49"/>
      <c r="ST17" s="1"/>
      <c r="SU17" s="39" t="s">
        <v>36</v>
      </c>
      <c r="SV17" s="40"/>
      <c r="SW17" s="47" t="s">
        <v>37</v>
      </c>
      <c r="SX17" s="48"/>
      <c r="SY17" s="48"/>
      <c r="SZ17" s="48"/>
      <c r="TA17" s="48"/>
      <c r="TB17" s="48"/>
      <c r="TC17" s="49"/>
      <c r="TD17" s="1"/>
      <c r="TE17" s="39" t="s">
        <v>36</v>
      </c>
      <c r="TF17" s="40"/>
      <c r="TG17" s="47" t="s">
        <v>37</v>
      </c>
      <c r="TH17" s="48"/>
      <c r="TI17" s="48"/>
      <c r="TJ17" s="48"/>
      <c r="TK17" s="48"/>
      <c r="TL17" s="48"/>
      <c r="TM17" s="49"/>
      <c r="TN17" s="1"/>
      <c r="TO17" s="39" t="s">
        <v>36</v>
      </c>
      <c r="TP17" s="40"/>
      <c r="TQ17" s="47" t="s">
        <v>37</v>
      </c>
      <c r="TR17" s="48"/>
      <c r="TS17" s="48"/>
      <c r="TT17" s="48"/>
      <c r="TU17" s="48"/>
      <c r="TV17" s="48"/>
      <c r="TW17" s="49"/>
      <c r="TX17" s="1"/>
      <c r="TY17" s="39" t="s">
        <v>36</v>
      </c>
      <c r="TZ17" s="40"/>
      <c r="UA17" s="47" t="s">
        <v>37</v>
      </c>
      <c r="UB17" s="48"/>
      <c r="UC17" s="48"/>
      <c r="UD17" s="48"/>
      <c r="UE17" s="48"/>
      <c r="UF17" s="48"/>
      <c r="UG17" s="49"/>
      <c r="UH17" s="1"/>
      <c r="UI17" s="39" t="s">
        <v>36</v>
      </c>
      <c r="UJ17" s="40"/>
      <c r="UK17" s="47" t="s">
        <v>37</v>
      </c>
      <c r="UL17" s="48"/>
      <c r="UM17" s="48"/>
      <c r="UN17" s="48"/>
      <c r="UO17" s="48"/>
      <c r="UP17" s="48"/>
      <c r="UQ17" s="49"/>
      <c r="UR17" s="1"/>
      <c r="US17" s="39" t="s">
        <v>36</v>
      </c>
      <c r="UT17" s="40"/>
      <c r="UU17" s="47" t="s">
        <v>37</v>
      </c>
      <c r="UV17" s="48"/>
      <c r="UW17" s="48"/>
      <c r="UX17" s="48"/>
      <c r="UY17" s="48"/>
      <c r="UZ17" s="48"/>
      <c r="VA17" s="49"/>
      <c r="VB17" s="1"/>
      <c r="VC17" s="39" t="s">
        <v>36</v>
      </c>
      <c r="VD17" s="40"/>
      <c r="VE17" s="47" t="s">
        <v>37</v>
      </c>
      <c r="VF17" s="48"/>
      <c r="VG17" s="48"/>
      <c r="VH17" s="48"/>
      <c r="VI17" s="48"/>
      <c r="VJ17" s="48"/>
      <c r="VK17" s="49"/>
      <c r="VL17" s="1"/>
      <c r="VM17" s="39" t="s">
        <v>36</v>
      </c>
      <c r="VN17" s="40"/>
      <c r="VO17" s="47" t="s">
        <v>37</v>
      </c>
      <c r="VP17" s="48"/>
      <c r="VQ17" s="48"/>
      <c r="VR17" s="48"/>
      <c r="VS17" s="48"/>
      <c r="VT17" s="48"/>
      <c r="VU17" s="49"/>
      <c r="VV17" s="1"/>
      <c r="VW17" s="39" t="s">
        <v>36</v>
      </c>
      <c r="VX17" s="40"/>
      <c r="VY17" s="47" t="s">
        <v>37</v>
      </c>
      <c r="VZ17" s="48"/>
      <c r="WA17" s="48"/>
      <c r="WB17" s="48"/>
      <c r="WC17" s="48"/>
      <c r="WD17" s="48"/>
      <c r="WE17" s="49"/>
      <c r="WF17" s="1"/>
      <c r="WG17" s="39" t="s">
        <v>36</v>
      </c>
      <c r="WH17" s="40"/>
      <c r="WI17" s="47" t="s">
        <v>37</v>
      </c>
      <c r="WJ17" s="48"/>
      <c r="WK17" s="48"/>
      <c r="WL17" s="48"/>
      <c r="WM17" s="48"/>
      <c r="WN17" s="48"/>
      <c r="WO17" s="49"/>
      <c r="WP17" s="1"/>
      <c r="WQ17" s="39" t="s">
        <v>36</v>
      </c>
      <c r="WR17" s="40"/>
      <c r="WS17" s="47" t="s">
        <v>37</v>
      </c>
      <c r="WT17" s="48"/>
      <c r="WU17" s="48"/>
      <c r="WV17" s="48"/>
      <c r="WW17" s="48"/>
      <c r="WX17" s="48"/>
      <c r="WY17" s="49"/>
      <c r="WZ17" s="1"/>
      <c r="XA17" s="39" t="s">
        <v>36</v>
      </c>
      <c r="XB17" s="40"/>
      <c r="XC17" s="47" t="s">
        <v>37</v>
      </c>
      <c r="XD17" s="48"/>
      <c r="XE17" s="48"/>
      <c r="XF17" s="48"/>
      <c r="XG17" s="48"/>
      <c r="XH17" s="48"/>
      <c r="XI17" s="49"/>
      <c r="XJ17" s="1"/>
      <c r="XK17" s="39" t="s">
        <v>36</v>
      </c>
      <c r="XL17" s="40"/>
      <c r="XM17" s="47" t="s">
        <v>37</v>
      </c>
      <c r="XN17" s="48"/>
      <c r="XO17" s="48"/>
      <c r="XP17" s="48"/>
      <c r="XQ17" s="48"/>
      <c r="XR17" s="48"/>
      <c r="XS17" s="49"/>
      <c r="XT17" s="1"/>
      <c r="XU17" s="39" t="s">
        <v>36</v>
      </c>
      <c r="XV17" s="40"/>
      <c r="XW17" s="47" t="s">
        <v>37</v>
      </c>
      <c r="XX17" s="48"/>
      <c r="XY17" s="48"/>
      <c r="XZ17" s="48"/>
      <c r="YA17" s="48"/>
      <c r="YB17" s="48"/>
      <c r="YC17" s="49"/>
      <c r="YD17" s="1"/>
      <c r="YE17" s="39" t="s">
        <v>36</v>
      </c>
      <c r="YF17" s="40"/>
      <c r="YG17" s="47" t="s">
        <v>37</v>
      </c>
      <c r="YH17" s="48"/>
      <c r="YI17" s="48"/>
      <c r="YJ17" s="48"/>
      <c r="YK17" s="48"/>
      <c r="YL17" s="48"/>
      <c r="YM17" s="49"/>
      <c r="YN17" s="1"/>
      <c r="YO17" s="39" t="s">
        <v>36</v>
      </c>
      <c r="YP17" s="40"/>
      <c r="YQ17" s="47" t="s">
        <v>37</v>
      </c>
      <c r="YR17" s="48"/>
      <c r="YS17" s="48"/>
      <c r="YT17" s="48"/>
      <c r="YU17" s="48"/>
      <c r="YV17" s="48"/>
      <c r="YW17" s="49"/>
      <c r="YX17" s="1"/>
      <c r="YY17" s="39" t="s">
        <v>36</v>
      </c>
      <c r="YZ17" s="40"/>
      <c r="ZA17" s="47" t="s">
        <v>37</v>
      </c>
      <c r="ZB17" s="48"/>
      <c r="ZC17" s="48"/>
      <c r="ZD17" s="48"/>
      <c r="ZE17" s="48"/>
      <c r="ZF17" s="48"/>
      <c r="ZG17" s="49"/>
      <c r="ZH17" s="1"/>
      <c r="ZI17" s="39" t="s">
        <v>36</v>
      </c>
      <c r="ZJ17" s="40"/>
      <c r="ZK17" s="47" t="s">
        <v>37</v>
      </c>
      <c r="ZL17" s="48"/>
      <c r="ZM17" s="48"/>
      <c r="ZN17" s="48"/>
      <c r="ZO17" s="48"/>
      <c r="ZP17" s="48"/>
      <c r="ZQ17" s="49"/>
      <c r="ZR17" s="1"/>
      <c r="ZS17" s="39" t="s">
        <v>36</v>
      </c>
      <c r="ZT17" s="40"/>
      <c r="ZU17" s="47" t="s">
        <v>37</v>
      </c>
      <c r="ZV17" s="48"/>
      <c r="ZW17" s="48"/>
      <c r="ZX17" s="48"/>
      <c r="ZY17" s="48"/>
      <c r="ZZ17" s="48"/>
      <c r="AAA17" s="49"/>
      <c r="AAB17" s="1"/>
      <c r="AAC17" s="39" t="s">
        <v>36</v>
      </c>
      <c r="AAD17" s="40"/>
      <c r="AAE17" s="47" t="s">
        <v>37</v>
      </c>
      <c r="AAF17" s="48"/>
      <c r="AAG17" s="48"/>
      <c r="AAH17" s="48"/>
      <c r="AAI17" s="48"/>
      <c r="AAJ17" s="48"/>
      <c r="AAK17" s="49"/>
      <c r="AAL17" s="1"/>
      <c r="AAM17" s="39" t="s">
        <v>36</v>
      </c>
      <c r="AAN17" s="40"/>
      <c r="AAO17" s="47" t="s">
        <v>37</v>
      </c>
      <c r="AAP17" s="48"/>
      <c r="AAQ17" s="48"/>
      <c r="AAR17" s="48"/>
      <c r="AAS17" s="48"/>
      <c r="AAT17" s="48"/>
      <c r="AAU17" s="49"/>
      <c r="AAV17" s="1"/>
      <c r="AAW17" s="39" t="s">
        <v>36</v>
      </c>
      <c r="AAX17" s="40"/>
      <c r="AAY17" s="47" t="s">
        <v>37</v>
      </c>
      <c r="AAZ17" s="48"/>
      <c r="ABA17" s="48"/>
      <c r="ABB17" s="48"/>
      <c r="ABC17" s="48"/>
      <c r="ABD17" s="48"/>
      <c r="ABE17" s="49"/>
      <c r="ABF17" s="1"/>
      <c r="ABG17" s="39" t="s">
        <v>36</v>
      </c>
      <c r="ABH17" s="40"/>
      <c r="ABI17" s="47" t="s">
        <v>37</v>
      </c>
      <c r="ABJ17" s="48"/>
      <c r="ABK17" s="48"/>
      <c r="ABL17" s="48"/>
      <c r="ABM17" s="48"/>
      <c r="ABN17" s="48"/>
      <c r="ABO17" s="49"/>
      <c r="ABP17" s="1"/>
      <c r="ABQ17" s="39" t="s">
        <v>36</v>
      </c>
      <c r="ABR17" s="40"/>
      <c r="ABS17" s="47" t="s">
        <v>37</v>
      </c>
      <c r="ABT17" s="48"/>
      <c r="ABU17" s="48"/>
      <c r="ABV17" s="48"/>
      <c r="ABW17" s="48"/>
      <c r="ABX17" s="48"/>
      <c r="ABY17" s="49"/>
      <c r="ABZ17" s="1"/>
      <c r="ACA17" s="39" t="s">
        <v>36</v>
      </c>
      <c r="ACB17" s="40"/>
      <c r="ACC17" s="47" t="s">
        <v>37</v>
      </c>
      <c r="ACD17" s="48"/>
      <c r="ACE17" s="48"/>
      <c r="ACF17" s="48"/>
      <c r="ACG17" s="48"/>
      <c r="ACH17" s="48"/>
      <c r="ACI17" s="49"/>
      <c r="ACJ17" s="1"/>
      <c r="ACK17" s="39" t="s">
        <v>36</v>
      </c>
      <c r="ACL17" s="40"/>
      <c r="ACM17" s="47" t="s">
        <v>37</v>
      </c>
      <c r="ACN17" s="48"/>
      <c r="ACO17" s="48"/>
      <c r="ACP17" s="48"/>
      <c r="ACQ17" s="48"/>
      <c r="ACR17" s="48"/>
      <c r="ACS17" s="49"/>
      <c r="ACT17" s="1"/>
      <c r="ACU17" s="39" t="s">
        <v>36</v>
      </c>
      <c r="ACV17" s="40"/>
      <c r="ACW17" s="47" t="s">
        <v>37</v>
      </c>
      <c r="ACX17" s="48"/>
      <c r="ACY17" s="48"/>
      <c r="ACZ17" s="48"/>
      <c r="ADA17" s="48"/>
      <c r="ADB17" s="48"/>
      <c r="ADC17" s="49"/>
      <c r="ADD17" s="1"/>
      <c r="ADE17" s="39" t="s">
        <v>36</v>
      </c>
      <c r="ADF17" s="40"/>
      <c r="ADG17" s="47" t="s">
        <v>37</v>
      </c>
      <c r="ADH17" s="48"/>
      <c r="ADI17" s="48"/>
      <c r="ADJ17" s="48"/>
      <c r="ADK17" s="48"/>
      <c r="ADL17" s="48"/>
      <c r="ADM17" s="49"/>
      <c r="ADN17" s="1"/>
      <c r="ADO17" s="39" t="s">
        <v>36</v>
      </c>
      <c r="ADP17" s="40"/>
      <c r="ADQ17" s="47" t="s">
        <v>37</v>
      </c>
      <c r="ADR17" s="48"/>
      <c r="ADS17" s="48"/>
      <c r="ADT17" s="48"/>
      <c r="ADU17" s="48"/>
      <c r="ADV17" s="48"/>
      <c r="ADW17" s="49"/>
      <c r="ADX17" s="1"/>
      <c r="ADY17" s="39" t="s">
        <v>36</v>
      </c>
      <c r="ADZ17" s="40"/>
      <c r="AEA17" s="47" t="s">
        <v>37</v>
      </c>
      <c r="AEB17" s="48"/>
      <c r="AEC17" s="48"/>
      <c r="AED17" s="48"/>
      <c r="AEE17" s="48"/>
      <c r="AEF17" s="48"/>
      <c r="AEG17" s="49"/>
      <c r="AEH17" s="1"/>
      <c r="AEI17" s="39" t="s">
        <v>36</v>
      </c>
      <c r="AEJ17" s="40"/>
      <c r="AEK17" s="47" t="s">
        <v>37</v>
      </c>
      <c r="AEL17" s="48"/>
      <c r="AEM17" s="48"/>
      <c r="AEN17" s="48"/>
      <c r="AEO17" s="48"/>
      <c r="AEP17" s="48"/>
      <c r="AEQ17" s="49"/>
      <c r="AER17" s="1"/>
      <c r="AES17" s="39" t="s">
        <v>36</v>
      </c>
      <c r="AET17" s="40"/>
      <c r="AEU17" s="47" t="s">
        <v>37</v>
      </c>
      <c r="AEV17" s="48"/>
      <c r="AEW17" s="48"/>
      <c r="AEX17" s="48"/>
      <c r="AEY17" s="48"/>
      <c r="AEZ17" s="48"/>
      <c r="AFA17" s="49"/>
      <c r="AFB17" s="1"/>
      <c r="AFC17" s="39" t="s">
        <v>36</v>
      </c>
      <c r="AFD17" s="40"/>
      <c r="AFE17" s="47" t="s">
        <v>37</v>
      </c>
      <c r="AFF17" s="48"/>
      <c r="AFG17" s="48"/>
      <c r="AFH17" s="48"/>
      <c r="AFI17" s="48"/>
      <c r="AFJ17" s="48"/>
      <c r="AFK17" s="49"/>
      <c r="AFL17" s="1"/>
      <c r="AFM17" s="39" t="s">
        <v>36</v>
      </c>
      <c r="AFN17" s="40"/>
      <c r="AFO17" s="47" t="s">
        <v>37</v>
      </c>
      <c r="AFP17" s="48"/>
      <c r="AFQ17" s="48"/>
      <c r="AFR17" s="48"/>
      <c r="AFS17" s="48"/>
      <c r="AFT17" s="48"/>
      <c r="AFU17" s="49"/>
      <c r="AFV17" s="1"/>
      <c r="AFW17" s="39" t="s">
        <v>36</v>
      </c>
      <c r="AFX17" s="40"/>
      <c r="AFY17" s="47" t="s">
        <v>37</v>
      </c>
      <c r="AFZ17" s="48"/>
      <c r="AGA17" s="48"/>
      <c r="AGB17" s="48"/>
      <c r="AGC17" s="48"/>
      <c r="AGD17" s="48"/>
      <c r="AGE17" s="49"/>
      <c r="AGF17" s="1"/>
      <c r="AGG17" s="39" t="s">
        <v>36</v>
      </c>
      <c r="AGH17" s="40"/>
      <c r="AGI17" s="47" t="s">
        <v>37</v>
      </c>
      <c r="AGJ17" s="48"/>
      <c r="AGK17" s="48"/>
      <c r="AGL17" s="48"/>
      <c r="AGM17" s="48"/>
      <c r="AGN17" s="48"/>
      <c r="AGO17" s="49"/>
      <c r="AGP17" s="1"/>
      <c r="AGQ17" s="39" t="s">
        <v>36</v>
      </c>
      <c r="AGR17" s="40"/>
      <c r="AGS17" s="47" t="s">
        <v>37</v>
      </c>
      <c r="AGT17" s="48"/>
      <c r="AGU17" s="48"/>
      <c r="AGV17" s="48"/>
      <c r="AGW17" s="48"/>
      <c r="AGX17" s="48"/>
      <c r="AGY17" s="49"/>
      <c r="AGZ17" s="1"/>
      <c r="AHA17" s="39" t="s">
        <v>36</v>
      </c>
      <c r="AHB17" s="40"/>
      <c r="AHC17" s="47" t="s">
        <v>37</v>
      </c>
      <c r="AHD17" s="48"/>
      <c r="AHE17" s="48"/>
      <c r="AHF17" s="48"/>
      <c r="AHG17" s="48"/>
      <c r="AHH17" s="48"/>
      <c r="AHI17" s="49"/>
      <c r="AHJ17" s="1"/>
      <c r="AHK17" s="39" t="s">
        <v>36</v>
      </c>
      <c r="AHL17" s="40"/>
      <c r="AHM17" s="47" t="s">
        <v>37</v>
      </c>
      <c r="AHN17" s="48"/>
      <c r="AHO17" s="48"/>
      <c r="AHP17" s="48"/>
      <c r="AHQ17" s="48"/>
      <c r="AHR17" s="48"/>
      <c r="AHS17" s="49"/>
      <c r="AHT17" s="1"/>
      <c r="AHU17" s="39" t="s">
        <v>36</v>
      </c>
      <c r="AHV17" s="40"/>
      <c r="AHW17" s="47" t="s">
        <v>37</v>
      </c>
      <c r="AHX17" s="48"/>
      <c r="AHY17" s="48"/>
      <c r="AHZ17" s="48"/>
      <c r="AIA17" s="48"/>
      <c r="AIB17" s="48"/>
      <c r="AIC17" s="49"/>
      <c r="AID17" s="1"/>
      <c r="AIE17" s="39" t="s">
        <v>36</v>
      </c>
      <c r="AIF17" s="40"/>
      <c r="AIG17" s="47" t="s">
        <v>37</v>
      </c>
      <c r="AIH17" s="48"/>
      <c r="AII17" s="48"/>
      <c r="AIJ17" s="48"/>
      <c r="AIK17" s="48"/>
      <c r="AIL17" s="48"/>
      <c r="AIM17" s="49"/>
      <c r="AIN17" s="1"/>
      <c r="AIO17" s="39" t="s">
        <v>36</v>
      </c>
      <c r="AIP17" s="40"/>
      <c r="AIQ17" s="47" t="s">
        <v>37</v>
      </c>
      <c r="AIR17" s="48"/>
      <c r="AIS17" s="48"/>
      <c r="AIT17" s="48"/>
      <c r="AIU17" s="48"/>
      <c r="AIV17" s="48"/>
      <c r="AIW17" s="49"/>
      <c r="AIX17" s="1"/>
      <c r="AIY17" s="39" t="s">
        <v>36</v>
      </c>
      <c r="AIZ17" s="40"/>
      <c r="AJA17" s="47" t="s">
        <v>37</v>
      </c>
      <c r="AJB17" s="48"/>
      <c r="AJC17" s="48"/>
      <c r="AJD17" s="48"/>
      <c r="AJE17" s="48"/>
      <c r="AJF17" s="48"/>
      <c r="AJG17" s="49"/>
      <c r="AJH17" s="1"/>
      <c r="AJI17" s="39" t="s">
        <v>36</v>
      </c>
      <c r="AJJ17" s="40"/>
      <c r="AJK17" s="47" t="s">
        <v>37</v>
      </c>
      <c r="AJL17" s="48"/>
      <c r="AJM17" s="48"/>
      <c r="AJN17" s="48"/>
      <c r="AJO17" s="48"/>
      <c r="AJP17" s="48"/>
      <c r="AJQ17" s="49"/>
      <c r="AJR17" s="1"/>
      <c r="AJS17" s="39" t="s">
        <v>36</v>
      </c>
      <c r="AJT17" s="40"/>
      <c r="AJU17" s="47" t="s">
        <v>37</v>
      </c>
      <c r="AJV17" s="48"/>
      <c r="AJW17" s="48"/>
      <c r="AJX17" s="48"/>
      <c r="AJY17" s="48"/>
      <c r="AJZ17" s="48"/>
      <c r="AKA17" s="49"/>
      <c r="AKB17" s="1"/>
      <c r="AKC17" s="39" t="s">
        <v>36</v>
      </c>
      <c r="AKD17" s="40"/>
      <c r="AKE17" s="47" t="s">
        <v>37</v>
      </c>
      <c r="AKF17" s="48"/>
      <c r="AKG17" s="48"/>
      <c r="AKH17" s="48"/>
      <c r="AKI17" s="48"/>
      <c r="AKJ17" s="48"/>
      <c r="AKK17" s="49"/>
      <c r="AKL17" s="1"/>
      <c r="AKM17" s="39" t="s">
        <v>36</v>
      </c>
      <c r="AKN17" s="40"/>
      <c r="AKO17" s="47" t="s">
        <v>37</v>
      </c>
      <c r="AKP17" s="48"/>
      <c r="AKQ17" s="48"/>
      <c r="AKR17" s="48"/>
      <c r="AKS17" s="48"/>
      <c r="AKT17" s="48"/>
      <c r="AKU17" s="49"/>
      <c r="AKV17" s="1"/>
      <c r="AKW17" s="39" t="s">
        <v>36</v>
      </c>
      <c r="AKX17" s="40"/>
      <c r="AKY17" s="47" t="s">
        <v>37</v>
      </c>
      <c r="AKZ17" s="48"/>
      <c r="ALA17" s="48"/>
      <c r="ALB17" s="48"/>
      <c r="ALC17" s="48"/>
      <c r="ALD17" s="48"/>
      <c r="ALE17" s="49"/>
      <c r="ALF17" s="1"/>
      <c r="ALG17" s="39" t="s">
        <v>36</v>
      </c>
      <c r="ALH17" s="40"/>
      <c r="ALI17" s="47" t="s">
        <v>37</v>
      </c>
      <c r="ALJ17" s="48"/>
      <c r="ALK17" s="48"/>
      <c r="ALL17" s="48"/>
      <c r="ALM17" s="48"/>
      <c r="ALN17" s="48"/>
      <c r="ALO17" s="49"/>
      <c r="ALP17" s="1"/>
      <c r="ALQ17" s="39" t="s">
        <v>36</v>
      </c>
      <c r="ALR17" s="40"/>
      <c r="ALS17" s="47" t="s">
        <v>37</v>
      </c>
      <c r="ALT17" s="48"/>
      <c r="ALU17" s="48"/>
      <c r="ALV17" s="48"/>
      <c r="ALW17" s="48"/>
      <c r="ALX17" s="48"/>
      <c r="ALY17" s="49"/>
      <c r="ALZ17" s="1"/>
      <c r="AMA17" s="39" t="s">
        <v>36</v>
      </c>
      <c r="AMB17" s="40"/>
      <c r="AMC17" s="47" t="s">
        <v>37</v>
      </c>
      <c r="AMD17" s="48"/>
      <c r="AME17" s="48"/>
      <c r="AMF17" s="48"/>
      <c r="AMG17" s="48"/>
      <c r="AMH17" s="48"/>
      <c r="AMI17" s="49"/>
      <c r="AMJ17" s="1"/>
      <c r="AMK17" s="39" t="s">
        <v>36</v>
      </c>
      <c r="AML17" s="40"/>
      <c r="AMM17" s="47" t="s">
        <v>37</v>
      </c>
      <c r="AMN17" s="48"/>
      <c r="AMO17" s="48"/>
      <c r="AMP17" s="48"/>
      <c r="AMQ17" s="48"/>
      <c r="AMR17" s="48"/>
      <c r="AMS17" s="49"/>
      <c r="AMT17" s="1"/>
      <c r="AMU17" s="39" t="s">
        <v>36</v>
      </c>
      <c r="AMV17" s="40"/>
      <c r="AMW17" s="47" t="s">
        <v>37</v>
      </c>
      <c r="AMX17" s="48"/>
      <c r="AMY17" s="48"/>
      <c r="AMZ17" s="48"/>
      <c r="ANA17" s="48"/>
      <c r="ANB17" s="48"/>
      <c r="ANC17" s="49"/>
      <c r="AND17" s="1"/>
      <c r="ANE17" s="39" t="s">
        <v>36</v>
      </c>
      <c r="ANF17" s="40"/>
      <c r="ANG17" s="47" t="s">
        <v>37</v>
      </c>
      <c r="ANH17" s="48"/>
      <c r="ANI17" s="48"/>
      <c r="ANJ17" s="48"/>
      <c r="ANK17" s="48"/>
      <c r="ANL17" s="48"/>
      <c r="ANM17" s="49"/>
      <c r="ANN17" s="1"/>
      <c r="ANO17" s="39" t="s">
        <v>36</v>
      </c>
      <c r="ANP17" s="40"/>
      <c r="ANQ17" s="47" t="s">
        <v>37</v>
      </c>
      <c r="ANR17" s="48"/>
      <c r="ANS17" s="48"/>
      <c r="ANT17" s="48"/>
      <c r="ANU17" s="48"/>
      <c r="ANV17" s="48"/>
      <c r="ANW17" s="49"/>
      <c r="ANX17" s="1"/>
      <c r="ANY17" s="39" t="s">
        <v>36</v>
      </c>
      <c r="ANZ17" s="40"/>
      <c r="AOA17" s="47" t="s">
        <v>37</v>
      </c>
      <c r="AOB17" s="48"/>
      <c r="AOC17" s="48"/>
      <c r="AOD17" s="48"/>
      <c r="AOE17" s="48"/>
      <c r="AOF17" s="48"/>
      <c r="AOG17" s="49"/>
      <c r="AOH17" s="1"/>
      <c r="AOI17" s="39" t="s">
        <v>36</v>
      </c>
      <c r="AOJ17" s="40"/>
      <c r="AOK17" s="47" t="s">
        <v>37</v>
      </c>
      <c r="AOL17" s="48"/>
      <c r="AOM17" s="48"/>
      <c r="AON17" s="48"/>
      <c r="AOO17" s="48"/>
      <c r="AOP17" s="48"/>
      <c r="AOQ17" s="49"/>
      <c r="AOR17" s="1"/>
      <c r="AOS17" s="39" t="s">
        <v>36</v>
      </c>
      <c r="AOT17" s="40"/>
      <c r="AOU17" s="47" t="s">
        <v>37</v>
      </c>
      <c r="AOV17" s="48"/>
      <c r="AOW17" s="48"/>
      <c r="AOX17" s="48"/>
      <c r="AOY17" s="48"/>
      <c r="AOZ17" s="48"/>
      <c r="APA17" s="49"/>
      <c r="APB17" s="1"/>
      <c r="APC17" s="39" t="s">
        <v>36</v>
      </c>
      <c r="APD17" s="40"/>
      <c r="APE17" s="47" t="s">
        <v>37</v>
      </c>
      <c r="APF17" s="48"/>
      <c r="APG17" s="48"/>
      <c r="APH17" s="48"/>
      <c r="API17" s="48"/>
      <c r="APJ17" s="48"/>
      <c r="APK17" s="49"/>
      <c r="APL17" s="1"/>
      <c r="APM17" s="39" t="s">
        <v>36</v>
      </c>
      <c r="APN17" s="40"/>
      <c r="APO17" s="47" t="s">
        <v>37</v>
      </c>
      <c r="APP17" s="48"/>
      <c r="APQ17" s="48"/>
      <c r="APR17" s="48"/>
      <c r="APS17" s="48"/>
      <c r="APT17" s="48"/>
      <c r="APU17" s="49"/>
      <c r="APV17" s="1"/>
      <c r="APW17" s="60" t="s">
        <v>36</v>
      </c>
      <c r="APX17" s="61"/>
      <c r="APY17" s="47" t="s">
        <v>37</v>
      </c>
      <c r="APZ17" s="48"/>
      <c r="AQA17" s="48"/>
      <c r="AQB17" s="48"/>
      <c r="AQC17" s="48"/>
      <c r="AQD17" s="48"/>
      <c r="AQE17" s="49"/>
    </row>
    <row r="18" spans="1:1123" ht="11.25" x14ac:dyDescent="0.2">
      <c r="A18" s="22" t="s">
        <v>38</v>
      </c>
      <c r="B18" s="13" t="s">
        <v>39</v>
      </c>
      <c r="C18" s="13">
        <v>20</v>
      </c>
      <c r="E18" s="24"/>
      <c r="F18" s="6" t="s">
        <v>39</v>
      </c>
      <c r="G18" s="50"/>
      <c r="H18" s="51"/>
      <c r="I18" s="51"/>
      <c r="J18" s="51"/>
      <c r="K18" s="51"/>
      <c r="L18" s="51"/>
      <c r="M18" s="52"/>
      <c r="O18" s="24"/>
      <c r="P18" s="6" t="s">
        <v>39</v>
      </c>
      <c r="Q18" s="50"/>
      <c r="R18" s="51"/>
      <c r="S18" s="51"/>
      <c r="T18" s="51"/>
      <c r="U18" s="51"/>
      <c r="V18" s="51"/>
      <c r="W18" s="52"/>
      <c r="Y18" s="24">
        <v>90</v>
      </c>
      <c r="Z18" s="6" t="s">
        <v>39</v>
      </c>
      <c r="AA18" s="50"/>
      <c r="AB18" s="51"/>
      <c r="AC18" s="51"/>
      <c r="AD18" s="51"/>
      <c r="AE18" s="51"/>
      <c r="AF18" s="51"/>
      <c r="AG18" s="52"/>
      <c r="AI18" s="24">
        <v>90</v>
      </c>
      <c r="AJ18" s="6" t="s">
        <v>39</v>
      </c>
      <c r="AK18" s="50"/>
      <c r="AL18" s="51"/>
      <c r="AM18" s="51"/>
      <c r="AN18" s="51"/>
      <c r="AO18" s="51"/>
      <c r="AP18" s="51"/>
      <c r="AQ18" s="52"/>
      <c r="AS18" s="24">
        <v>90</v>
      </c>
      <c r="AT18" s="6" t="s">
        <v>39</v>
      </c>
      <c r="AU18" s="50"/>
      <c r="AV18" s="51"/>
      <c r="AW18" s="51"/>
      <c r="AX18" s="51"/>
      <c r="AY18" s="51"/>
      <c r="AZ18" s="51"/>
      <c r="BA18" s="52"/>
      <c r="BC18" s="2">
        <v>90</v>
      </c>
      <c r="BD18" s="6" t="s">
        <v>39</v>
      </c>
      <c r="BE18" s="50"/>
      <c r="BF18" s="51"/>
      <c r="BG18" s="51"/>
      <c r="BH18" s="51"/>
      <c r="BI18" s="51"/>
      <c r="BJ18" s="51"/>
      <c r="BK18" s="52"/>
      <c r="BM18" s="2">
        <v>90</v>
      </c>
      <c r="BN18" s="6" t="s">
        <v>39</v>
      </c>
      <c r="BO18" s="50"/>
      <c r="BP18" s="51"/>
      <c r="BQ18" s="51"/>
      <c r="BR18" s="51"/>
      <c r="BS18" s="51"/>
      <c r="BT18" s="51"/>
      <c r="BU18" s="52"/>
      <c r="BW18" s="24">
        <v>90</v>
      </c>
      <c r="BX18" s="6" t="s">
        <v>39</v>
      </c>
      <c r="BY18" s="50"/>
      <c r="BZ18" s="51"/>
      <c r="CA18" s="51"/>
      <c r="CB18" s="51"/>
      <c r="CC18" s="51"/>
      <c r="CD18" s="51"/>
      <c r="CE18" s="52"/>
      <c r="CG18" s="24">
        <v>90</v>
      </c>
      <c r="CH18" s="6" t="s">
        <v>39</v>
      </c>
      <c r="CI18" s="50"/>
      <c r="CJ18" s="51"/>
      <c r="CK18" s="51"/>
      <c r="CL18" s="51"/>
      <c r="CM18" s="51"/>
      <c r="CN18" s="51"/>
      <c r="CO18" s="52"/>
      <c r="CQ18" s="24">
        <v>90</v>
      </c>
      <c r="CR18" s="6" t="s">
        <v>39</v>
      </c>
      <c r="CS18" s="50"/>
      <c r="CT18" s="51"/>
      <c r="CU18" s="51"/>
      <c r="CV18" s="51"/>
      <c r="CW18" s="51"/>
      <c r="CX18" s="51"/>
      <c r="CY18" s="52"/>
      <c r="DA18" s="2">
        <v>90</v>
      </c>
      <c r="DB18" s="6" t="s">
        <v>39</v>
      </c>
      <c r="DC18" s="50"/>
      <c r="DD18" s="51"/>
      <c r="DE18" s="51"/>
      <c r="DF18" s="51"/>
      <c r="DG18" s="51"/>
      <c r="DH18" s="51"/>
      <c r="DI18" s="52"/>
      <c r="DK18" s="24">
        <v>90</v>
      </c>
      <c r="DL18" s="6" t="s">
        <v>39</v>
      </c>
      <c r="DM18" s="50"/>
      <c r="DN18" s="51"/>
      <c r="DO18" s="51"/>
      <c r="DP18" s="51"/>
      <c r="DQ18" s="51"/>
      <c r="DR18" s="51"/>
      <c r="DS18" s="52"/>
      <c r="DU18" s="24">
        <v>90</v>
      </c>
      <c r="DV18" s="6" t="s">
        <v>39</v>
      </c>
      <c r="DW18" s="50"/>
      <c r="DX18" s="51"/>
      <c r="DY18" s="51"/>
      <c r="DZ18" s="51"/>
      <c r="EA18" s="51"/>
      <c r="EB18" s="51"/>
      <c r="EC18" s="52"/>
      <c r="EE18" s="24">
        <v>90</v>
      </c>
      <c r="EF18" s="6" t="s">
        <v>39</v>
      </c>
      <c r="EG18" s="50"/>
      <c r="EH18" s="51"/>
      <c r="EI18" s="51"/>
      <c r="EJ18" s="51"/>
      <c r="EK18" s="51"/>
      <c r="EL18" s="51"/>
      <c r="EM18" s="52"/>
      <c r="EO18" s="24">
        <v>100</v>
      </c>
      <c r="EP18" s="6" t="s">
        <v>39</v>
      </c>
      <c r="EQ18" s="50"/>
      <c r="ER18" s="51"/>
      <c r="ES18" s="51"/>
      <c r="ET18" s="51"/>
      <c r="EU18" s="51"/>
      <c r="EV18" s="51"/>
      <c r="EW18" s="52"/>
      <c r="EY18" s="24">
        <v>90</v>
      </c>
      <c r="EZ18" s="6" t="s">
        <v>39</v>
      </c>
      <c r="FA18" s="50"/>
      <c r="FB18" s="51"/>
      <c r="FC18" s="51"/>
      <c r="FD18" s="51"/>
      <c r="FE18" s="51"/>
      <c r="FF18" s="51"/>
      <c r="FG18" s="52"/>
      <c r="FI18" s="24">
        <v>90</v>
      </c>
      <c r="FJ18" s="6" t="s">
        <v>39</v>
      </c>
      <c r="FK18" s="50"/>
      <c r="FL18" s="51"/>
      <c r="FM18" s="51"/>
      <c r="FN18" s="51"/>
      <c r="FO18" s="51"/>
      <c r="FP18" s="51"/>
      <c r="FQ18" s="52"/>
      <c r="FS18" s="24">
        <v>90</v>
      </c>
      <c r="FT18" s="6" t="s">
        <v>39</v>
      </c>
      <c r="FU18" s="50"/>
      <c r="FV18" s="51"/>
      <c r="FW18" s="51"/>
      <c r="FX18" s="51"/>
      <c r="FY18" s="51"/>
      <c r="FZ18" s="51"/>
      <c r="GA18" s="52"/>
      <c r="GC18" s="24">
        <v>90</v>
      </c>
      <c r="GD18" s="6" t="s">
        <v>39</v>
      </c>
      <c r="GE18" s="50"/>
      <c r="GF18" s="51"/>
      <c r="GG18" s="51"/>
      <c r="GH18" s="51"/>
      <c r="GI18" s="51"/>
      <c r="GJ18" s="51"/>
      <c r="GK18" s="52"/>
      <c r="GM18" s="24">
        <v>90</v>
      </c>
      <c r="GN18" s="6" t="s">
        <v>39</v>
      </c>
      <c r="GO18" s="50"/>
      <c r="GP18" s="51"/>
      <c r="GQ18" s="51"/>
      <c r="GR18" s="51"/>
      <c r="GS18" s="51"/>
      <c r="GT18" s="51"/>
      <c r="GU18" s="52"/>
      <c r="GW18" s="24">
        <v>90</v>
      </c>
      <c r="GX18" s="6" t="s">
        <v>39</v>
      </c>
      <c r="GY18" s="50"/>
      <c r="GZ18" s="51"/>
      <c r="HA18" s="51"/>
      <c r="HB18" s="51"/>
      <c r="HC18" s="51"/>
      <c r="HD18" s="51"/>
      <c r="HE18" s="52"/>
      <c r="HG18" s="24">
        <v>90</v>
      </c>
      <c r="HH18" s="6" t="s">
        <v>39</v>
      </c>
      <c r="HI18" s="50"/>
      <c r="HJ18" s="51"/>
      <c r="HK18" s="51"/>
      <c r="HL18" s="51"/>
      <c r="HM18" s="51"/>
      <c r="HN18" s="51"/>
      <c r="HO18" s="52"/>
      <c r="HQ18" s="24">
        <v>90</v>
      </c>
      <c r="HR18" s="6" t="s">
        <v>39</v>
      </c>
      <c r="HS18" s="50"/>
      <c r="HT18" s="51"/>
      <c r="HU18" s="51"/>
      <c r="HV18" s="51"/>
      <c r="HW18" s="51"/>
      <c r="HX18" s="51"/>
      <c r="HY18" s="52"/>
      <c r="IA18" s="24">
        <v>90</v>
      </c>
      <c r="IB18" s="6" t="s">
        <v>39</v>
      </c>
      <c r="IC18" s="50"/>
      <c r="ID18" s="51"/>
      <c r="IE18" s="51"/>
      <c r="IF18" s="51"/>
      <c r="IG18" s="51"/>
      <c r="IH18" s="51"/>
      <c r="II18" s="52"/>
      <c r="IK18" s="24">
        <v>90</v>
      </c>
      <c r="IL18" s="6" t="s">
        <v>39</v>
      </c>
      <c r="IM18" s="50"/>
      <c r="IN18" s="51"/>
      <c r="IO18" s="51"/>
      <c r="IP18" s="51"/>
      <c r="IQ18" s="51"/>
      <c r="IR18" s="51"/>
      <c r="IS18" s="52"/>
      <c r="IU18" s="24">
        <v>90</v>
      </c>
      <c r="IV18" s="6" t="s">
        <v>39</v>
      </c>
      <c r="IW18" s="50"/>
      <c r="IX18" s="51"/>
      <c r="IY18" s="51"/>
      <c r="IZ18" s="51"/>
      <c r="JA18" s="51"/>
      <c r="JB18" s="51"/>
      <c r="JC18" s="52"/>
      <c r="JE18" s="24">
        <v>90</v>
      </c>
      <c r="JF18" s="6" t="s">
        <v>39</v>
      </c>
      <c r="JG18" s="50"/>
      <c r="JH18" s="51"/>
      <c r="JI18" s="51"/>
      <c r="JJ18" s="51"/>
      <c r="JK18" s="51"/>
      <c r="JL18" s="51"/>
      <c r="JM18" s="52"/>
      <c r="JO18" s="24">
        <v>90</v>
      </c>
      <c r="JP18" s="6" t="s">
        <v>39</v>
      </c>
      <c r="JQ18" s="50"/>
      <c r="JR18" s="51"/>
      <c r="JS18" s="51"/>
      <c r="JT18" s="51"/>
      <c r="JU18" s="51"/>
      <c r="JV18" s="51"/>
      <c r="JW18" s="52"/>
      <c r="JY18" s="24">
        <v>90</v>
      </c>
      <c r="JZ18" s="6" t="s">
        <v>39</v>
      </c>
      <c r="KA18" s="50"/>
      <c r="KB18" s="51"/>
      <c r="KC18" s="51"/>
      <c r="KD18" s="51"/>
      <c r="KE18" s="51"/>
      <c r="KF18" s="51"/>
      <c r="KG18" s="52"/>
      <c r="KI18" s="24">
        <v>90</v>
      </c>
      <c r="KJ18" s="6" t="s">
        <v>39</v>
      </c>
      <c r="KK18" s="50"/>
      <c r="KL18" s="51"/>
      <c r="KM18" s="51"/>
      <c r="KN18" s="51"/>
      <c r="KO18" s="51"/>
      <c r="KP18" s="51"/>
      <c r="KQ18" s="52"/>
      <c r="KS18" s="24">
        <v>90</v>
      </c>
      <c r="KT18" s="6" t="s">
        <v>39</v>
      </c>
      <c r="KU18" s="50"/>
      <c r="KV18" s="51"/>
      <c r="KW18" s="51"/>
      <c r="KX18" s="51"/>
      <c r="KY18" s="51"/>
      <c r="KZ18" s="51"/>
      <c r="LA18" s="52"/>
      <c r="LC18" s="24">
        <v>90</v>
      </c>
      <c r="LD18" s="6" t="s">
        <v>39</v>
      </c>
      <c r="LE18" s="50"/>
      <c r="LF18" s="51"/>
      <c r="LG18" s="51"/>
      <c r="LH18" s="51"/>
      <c r="LI18" s="51"/>
      <c r="LJ18" s="51"/>
      <c r="LK18" s="52"/>
      <c r="LM18" s="24">
        <v>90</v>
      </c>
      <c r="LN18" s="6" t="s">
        <v>39</v>
      </c>
      <c r="LO18" s="50"/>
      <c r="LP18" s="51"/>
      <c r="LQ18" s="51"/>
      <c r="LR18" s="51"/>
      <c r="LS18" s="51"/>
      <c r="LT18" s="51"/>
      <c r="LU18" s="52"/>
      <c r="LW18" s="24">
        <v>90</v>
      </c>
      <c r="LX18" s="6" t="s">
        <v>39</v>
      </c>
      <c r="LY18" s="50"/>
      <c r="LZ18" s="51"/>
      <c r="MA18" s="51"/>
      <c r="MB18" s="51"/>
      <c r="MC18" s="51"/>
      <c r="MD18" s="51"/>
      <c r="ME18" s="52"/>
      <c r="MG18" s="24">
        <v>90</v>
      </c>
      <c r="MH18" s="6" t="s">
        <v>39</v>
      </c>
      <c r="MI18" s="50"/>
      <c r="MJ18" s="51"/>
      <c r="MK18" s="51"/>
      <c r="ML18" s="51"/>
      <c r="MM18" s="51"/>
      <c r="MN18" s="51"/>
      <c r="MO18" s="52"/>
      <c r="MQ18" s="2">
        <v>90</v>
      </c>
      <c r="MR18" s="6" t="s">
        <v>39</v>
      </c>
      <c r="MS18" s="50"/>
      <c r="MT18" s="51"/>
      <c r="MU18" s="51"/>
      <c r="MV18" s="51"/>
      <c r="MW18" s="51"/>
      <c r="MX18" s="51"/>
      <c r="MY18" s="52"/>
      <c r="NA18" s="24">
        <v>90</v>
      </c>
      <c r="NB18" s="6" t="s">
        <v>39</v>
      </c>
      <c r="NC18" s="50"/>
      <c r="ND18" s="51"/>
      <c r="NE18" s="51"/>
      <c r="NF18" s="51"/>
      <c r="NG18" s="51"/>
      <c r="NH18" s="51"/>
      <c r="NI18" s="52"/>
      <c r="NK18" s="24">
        <v>90</v>
      </c>
      <c r="NL18" s="6" t="s">
        <v>39</v>
      </c>
      <c r="NM18" s="50"/>
      <c r="NN18" s="51"/>
      <c r="NO18" s="51"/>
      <c r="NP18" s="51"/>
      <c r="NQ18" s="51"/>
      <c r="NR18" s="51"/>
      <c r="NS18" s="52"/>
      <c r="NU18" s="24">
        <v>90</v>
      </c>
      <c r="NV18" s="6" t="s">
        <v>39</v>
      </c>
      <c r="NW18" s="50"/>
      <c r="NX18" s="51"/>
      <c r="NY18" s="51"/>
      <c r="NZ18" s="51"/>
      <c r="OA18" s="51"/>
      <c r="OB18" s="51"/>
      <c r="OC18" s="52"/>
      <c r="OE18" s="2">
        <v>90</v>
      </c>
      <c r="OF18" s="6" t="s">
        <v>39</v>
      </c>
      <c r="OG18" s="50"/>
      <c r="OH18" s="51"/>
      <c r="OI18" s="51"/>
      <c r="OJ18" s="51"/>
      <c r="OK18" s="51"/>
      <c r="OL18" s="51"/>
      <c r="OM18" s="52"/>
      <c r="OO18" s="24">
        <v>90</v>
      </c>
      <c r="OP18" s="6" t="s">
        <v>39</v>
      </c>
      <c r="OQ18" s="50"/>
      <c r="OR18" s="51"/>
      <c r="OS18" s="51"/>
      <c r="OT18" s="51"/>
      <c r="OU18" s="51"/>
      <c r="OV18" s="51"/>
      <c r="OW18" s="52"/>
      <c r="OY18" s="24">
        <v>90</v>
      </c>
      <c r="OZ18" s="6" t="s">
        <v>39</v>
      </c>
      <c r="PA18" s="50"/>
      <c r="PB18" s="51"/>
      <c r="PC18" s="51"/>
      <c r="PD18" s="51"/>
      <c r="PE18" s="51"/>
      <c r="PF18" s="51"/>
      <c r="PG18" s="52"/>
      <c r="PI18" s="24">
        <v>90</v>
      </c>
      <c r="PJ18" s="6" t="s">
        <v>39</v>
      </c>
      <c r="PK18" s="50"/>
      <c r="PL18" s="51"/>
      <c r="PM18" s="51"/>
      <c r="PN18" s="51"/>
      <c r="PO18" s="51"/>
      <c r="PP18" s="51"/>
      <c r="PQ18" s="52"/>
      <c r="PS18" s="2">
        <v>90</v>
      </c>
      <c r="PT18" s="6" t="s">
        <v>39</v>
      </c>
      <c r="PU18" s="50"/>
      <c r="PV18" s="51"/>
      <c r="PW18" s="51"/>
      <c r="PX18" s="51"/>
      <c r="PY18" s="51"/>
      <c r="PZ18" s="51"/>
      <c r="QA18" s="52"/>
      <c r="QC18" s="24">
        <v>90</v>
      </c>
      <c r="QD18" s="6" t="s">
        <v>39</v>
      </c>
      <c r="QE18" s="50"/>
      <c r="QF18" s="51"/>
      <c r="QG18" s="51"/>
      <c r="QH18" s="51"/>
      <c r="QI18" s="51"/>
      <c r="QJ18" s="51"/>
      <c r="QK18" s="52"/>
      <c r="QM18" s="24">
        <v>90</v>
      </c>
      <c r="QN18" s="6" t="s">
        <v>39</v>
      </c>
      <c r="QO18" s="50"/>
      <c r="QP18" s="51"/>
      <c r="QQ18" s="51"/>
      <c r="QR18" s="51"/>
      <c r="QS18" s="51"/>
      <c r="QT18" s="51"/>
      <c r="QU18" s="52"/>
      <c r="QW18" s="24">
        <v>90</v>
      </c>
      <c r="QX18" s="6" t="s">
        <v>39</v>
      </c>
      <c r="QY18" s="50"/>
      <c r="QZ18" s="51"/>
      <c r="RA18" s="51"/>
      <c r="RB18" s="51"/>
      <c r="RC18" s="51"/>
      <c r="RD18" s="51"/>
      <c r="RE18" s="52"/>
      <c r="RG18" s="24">
        <v>90</v>
      </c>
      <c r="RH18" s="6" t="s">
        <v>39</v>
      </c>
      <c r="RI18" s="50"/>
      <c r="RJ18" s="51"/>
      <c r="RK18" s="51"/>
      <c r="RL18" s="51"/>
      <c r="RM18" s="51"/>
      <c r="RN18" s="51"/>
      <c r="RO18" s="52"/>
      <c r="RQ18" s="24">
        <v>90</v>
      </c>
      <c r="RR18" s="6" t="s">
        <v>39</v>
      </c>
      <c r="RS18" s="50"/>
      <c r="RT18" s="51"/>
      <c r="RU18" s="51"/>
      <c r="RV18" s="51"/>
      <c r="RW18" s="51"/>
      <c r="RX18" s="51"/>
      <c r="RY18" s="52"/>
      <c r="SA18" s="2">
        <v>90</v>
      </c>
      <c r="SB18" s="6" t="s">
        <v>39</v>
      </c>
      <c r="SC18" s="50"/>
      <c r="SD18" s="51"/>
      <c r="SE18" s="51"/>
      <c r="SF18" s="51"/>
      <c r="SG18" s="51"/>
      <c r="SH18" s="51"/>
      <c r="SI18" s="52"/>
      <c r="SK18" s="24">
        <v>90</v>
      </c>
      <c r="SL18" s="6" t="s">
        <v>39</v>
      </c>
      <c r="SM18" s="50"/>
      <c r="SN18" s="51"/>
      <c r="SO18" s="51"/>
      <c r="SP18" s="51"/>
      <c r="SQ18" s="51"/>
      <c r="SR18" s="51"/>
      <c r="SS18" s="52"/>
      <c r="SU18" s="24">
        <v>90</v>
      </c>
      <c r="SV18" s="6" t="s">
        <v>39</v>
      </c>
      <c r="SW18" s="50"/>
      <c r="SX18" s="51"/>
      <c r="SY18" s="51"/>
      <c r="SZ18" s="51"/>
      <c r="TA18" s="51"/>
      <c r="TB18" s="51"/>
      <c r="TC18" s="52"/>
      <c r="TE18" s="24">
        <v>90</v>
      </c>
      <c r="TF18" s="6" t="s">
        <v>39</v>
      </c>
      <c r="TG18" s="50"/>
      <c r="TH18" s="51"/>
      <c r="TI18" s="51"/>
      <c r="TJ18" s="51"/>
      <c r="TK18" s="51"/>
      <c r="TL18" s="51"/>
      <c r="TM18" s="52"/>
      <c r="TO18" s="24">
        <v>50</v>
      </c>
      <c r="TP18" s="6" t="s">
        <v>39</v>
      </c>
      <c r="TQ18" s="50"/>
      <c r="TR18" s="51"/>
      <c r="TS18" s="51"/>
      <c r="TT18" s="51"/>
      <c r="TU18" s="51"/>
      <c r="TV18" s="51"/>
      <c r="TW18" s="52"/>
      <c r="TY18" s="24">
        <v>0.5</v>
      </c>
      <c r="TZ18" s="6" t="s">
        <v>39</v>
      </c>
      <c r="UA18" s="50"/>
      <c r="UB18" s="51"/>
      <c r="UC18" s="51"/>
      <c r="UD18" s="51"/>
      <c r="UE18" s="51"/>
      <c r="UF18" s="51"/>
      <c r="UG18" s="52"/>
      <c r="UI18" s="2">
        <v>70</v>
      </c>
      <c r="UJ18" s="6" t="s">
        <v>39</v>
      </c>
      <c r="UK18" s="50"/>
      <c r="UL18" s="51"/>
      <c r="UM18" s="51"/>
      <c r="UN18" s="51"/>
      <c r="UO18" s="51"/>
      <c r="UP18" s="51"/>
      <c r="UQ18" s="52"/>
      <c r="US18" s="24">
        <v>30</v>
      </c>
      <c r="UT18" s="6" t="s">
        <v>39</v>
      </c>
      <c r="UU18" s="50"/>
      <c r="UV18" s="51"/>
      <c r="UW18" s="51"/>
      <c r="UX18" s="51"/>
      <c r="UY18" s="51"/>
      <c r="UZ18" s="51"/>
      <c r="VA18" s="52"/>
      <c r="VC18" s="2">
        <v>80</v>
      </c>
      <c r="VD18" s="6" t="s">
        <v>39</v>
      </c>
      <c r="VE18" s="50"/>
      <c r="VF18" s="51"/>
      <c r="VG18" s="51"/>
      <c r="VH18" s="51"/>
      <c r="VI18" s="51"/>
      <c r="VJ18" s="51"/>
      <c r="VK18" s="52"/>
      <c r="VM18" s="24">
        <v>80</v>
      </c>
      <c r="VN18" s="6" t="s">
        <v>39</v>
      </c>
      <c r="VO18" s="50"/>
      <c r="VP18" s="51"/>
      <c r="VQ18" s="51"/>
      <c r="VR18" s="51"/>
      <c r="VS18" s="51"/>
      <c r="VT18" s="51"/>
      <c r="VU18" s="52"/>
      <c r="VW18" s="2">
        <v>100</v>
      </c>
      <c r="VX18" s="6" t="s">
        <v>39</v>
      </c>
      <c r="VY18" s="50"/>
      <c r="VZ18" s="51"/>
      <c r="WA18" s="51"/>
      <c r="WB18" s="51"/>
      <c r="WC18" s="51"/>
      <c r="WD18" s="51"/>
      <c r="WE18" s="52"/>
      <c r="WG18" s="2">
        <v>100</v>
      </c>
      <c r="WH18" s="6" t="s">
        <v>39</v>
      </c>
      <c r="WI18" s="50"/>
      <c r="WJ18" s="51"/>
      <c r="WK18" s="51"/>
      <c r="WL18" s="51"/>
      <c r="WM18" s="51"/>
      <c r="WN18" s="51"/>
      <c r="WO18" s="52"/>
      <c r="WQ18" s="2">
        <v>85</v>
      </c>
      <c r="WR18" s="6" t="s">
        <v>39</v>
      </c>
      <c r="WS18" s="50"/>
      <c r="WT18" s="51"/>
      <c r="WU18" s="51"/>
      <c r="WV18" s="51"/>
      <c r="WW18" s="51"/>
      <c r="WX18" s="51"/>
      <c r="WY18" s="52"/>
      <c r="XA18" s="24">
        <v>82</v>
      </c>
      <c r="XB18" s="6" t="s">
        <v>39</v>
      </c>
      <c r="XC18" s="50"/>
      <c r="XD18" s="51"/>
      <c r="XE18" s="51"/>
      <c r="XF18" s="51"/>
      <c r="XG18" s="51"/>
      <c r="XH18" s="51"/>
      <c r="XI18" s="52"/>
      <c r="XK18" s="24">
        <v>78</v>
      </c>
      <c r="XL18" s="6" t="s">
        <v>39</v>
      </c>
      <c r="XM18" s="50"/>
      <c r="XN18" s="51"/>
      <c r="XO18" s="51"/>
      <c r="XP18" s="51"/>
      <c r="XQ18" s="51"/>
      <c r="XR18" s="51"/>
      <c r="XS18" s="52"/>
      <c r="XU18" s="24">
        <v>100</v>
      </c>
      <c r="XV18" s="6" t="s">
        <v>39</v>
      </c>
      <c r="XW18" s="50"/>
      <c r="XX18" s="51"/>
      <c r="XY18" s="51"/>
      <c r="XZ18" s="51"/>
      <c r="YA18" s="51"/>
      <c r="YB18" s="51"/>
      <c r="YC18" s="52"/>
      <c r="YE18" s="24">
        <v>100</v>
      </c>
      <c r="YF18" s="6" t="s">
        <v>39</v>
      </c>
      <c r="YG18" s="50"/>
      <c r="YH18" s="51"/>
      <c r="YI18" s="51"/>
      <c r="YJ18" s="51"/>
      <c r="YK18" s="51"/>
      <c r="YL18" s="51"/>
      <c r="YM18" s="52"/>
      <c r="YO18" s="24">
        <v>100</v>
      </c>
      <c r="YP18" s="6" t="s">
        <v>39</v>
      </c>
      <c r="YQ18" s="50"/>
      <c r="YR18" s="51"/>
      <c r="YS18" s="51"/>
      <c r="YT18" s="51"/>
      <c r="YU18" s="51"/>
      <c r="YV18" s="51"/>
      <c r="YW18" s="52"/>
      <c r="YY18" s="24">
        <v>100</v>
      </c>
      <c r="YZ18" s="6" t="s">
        <v>39</v>
      </c>
      <c r="ZA18" s="50"/>
      <c r="ZB18" s="51"/>
      <c r="ZC18" s="51"/>
      <c r="ZD18" s="51"/>
      <c r="ZE18" s="51"/>
      <c r="ZF18" s="51"/>
      <c r="ZG18" s="52"/>
      <c r="ZI18" s="24">
        <v>100</v>
      </c>
      <c r="ZJ18" s="6" t="s">
        <v>39</v>
      </c>
      <c r="ZK18" s="50"/>
      <c r="ZL18" s="51"/>
      <c r="ZM18" s="51"/>
      <c r="ZN18" s="51"/>
      <c r="ZO18" s="51"/>
      <c r="ZP18" s="51"/>
      <c r="ZQ18" s="52"/>
      <c r="ZS18" s="24">
        <v>100</v>
      </c>
      <c r="ZT18" s="6" t="s">
        <v>39</v>
      </c>
      <c r="ZU18" s="50"/>
      <c r="ZV18" s="51"/>
      <c r="ZW18" s="51"/>
      <c r="ZX18" s="51"/>
      <c r="ZY18" s="51"/>
      <c r="ZZ18" s="51"/>
      <c r="AAA18" s="52"/>
      <c r="AAC18" s="24">
        <v>100</v>
      </c>
      <c r="AAD18" s="6" t="s">
        <v>39</v>
      </c>
      <c r="AAE18" s="50"/>
      <c r="AAF18" s="51"/>
      <c r="AAG18" s="51"/>
      <c r="AAH18" s="51"/>
      <c r="AAI18" s="51"/>
      <c r="AAJ18" s="51"/>
      <c r="AAK18" s="52"/>
      <c r="AAM18" s="2">
        <v>100</v>
      </c>
      <c r="AAN18" s="6" t="s">
        <v>39</v>
      </c>
      <c r="AAO18" s="50"/>
      <c r="AAP18" s="51"/>
      <c r="AAQ18" s="51"/>
      <c r="AAR18" s="51"/>
      <c r="AAS18" s="51"/>
      <c r="AAT18" s="51"/>
      <c r="AAU18" s="52"/>
      <c r="AAW18" s="2">
        <v>100</v>
      </c>
      <c r="AAX18" s="6" t="s">
        <v>39</v>
      </c>
      <c r="AAY18" s="50"/>
      <c r="AAZ18" s="51"/>
      <c r="ABA18" s="51"/>
      <c r="ABB18" s="51"/>
      <c r="ABC18" s="51"/>
      <c r="ABD18" s="51"/>
      <c r="ABE18" s="52"/>
      <c r="ABG18" s="24">
        <v>100</v>
      </c>
      <c r="ABH18" s="6" t="s">
        <v>39</v>
      </c>
      <c r="ABI18" s="50"/>
      <c r="ABJ18" s="51"/>
      <c r="ABK18" s="51"/>
      <c r="ABL18" s="51"/>
      <c r="ABM18" s="51"/>
      <c r="ABN18" s="51"/>
      <c r="ABO18" s="52"/>
      <c r="ABQ18" s="2">
        <v>100</v>
      </c>
      <c r="ABR18" s="6" t="s">
        <v>39</v>
      </c>
      <c r="ABS18" s="50"/>
      <c r="ABT18" s="51"/>
      <c r="ABU18" s="51"/>
      <c r="ABV18" s="51"/>
      <c r="ABW18" s="51"/>
      <c r="ABX18" s="51"/>
      <c r="ABY18" s="52"/>
      <c r="ACA18" s="24">
        <v>100</v>
      </c>
      <c r="ACB18" s="6" t="s">
        <v>39</v>
      </c>
      <c r="ACC18" s="50"/>
      <c r="ACD18" s="51"/>
      <c r="ACE18" s="51"/>
      <c r="ACF18" s="51"/>
      <c r="ACG18" s="51"/>
      <c r="ACH18" s="51"/>
      <c r="ACI18" s="52"/>
      <c r="ACK18" s="24">
        <v>92</v>
      </c>
      <c r="ACL18" s="6" t="s">
        <v>39</v>
      </c>
      <c r="ACM18" s="50"/>
      <c r="ACN18" s="51"/>
      <c r="ACO18" s="51"/>
      <c r="ACP18" s="51"/>
      <c r="ACQ18" s="51"/>
      <c r="ACR18" s="51"/>
      <c r="ACS18" s="52"/>
      <c r="ACU18" s="24">
        <v>85</v>
      </c>
      <c r="ACV18" s="6" t="s">
        <v>39</v>
      </c>
      <c r="ACW18" s="50"/>
      <c r="ACX18" s="51"/>
      <c r="ACY18" s="51"/>
      <c r="ACZ18" s="51"/>
      <c r="ADA18" s="51"/>
      <c r="ADB18" s="51"/>
      <c r="ADC18" s="52"/>
      <c r="ADE18" s="24">
        <v>80</v>
      </c>
      <c r="ADF18" s="6" t="s">
        <v>39</v>
      </c>
      <c r="ADG18" s="50"/>
      <c r="ADH18" s="51"/>
      <c r="ADI18" s="51"/>
      <c r="ADJ18" s="51"/>
      <c r="ADK18" s="51"/>
      <c r="ADL18" s="51"/>
      <c r="ADM18" s="52"/>
      <c r="ADO18" s="24">
        <v>75</v>
      </c>
      <c r="ADP18" s="6" t="s">
        <v>39</v>
      </c>
      <c r="ADQ18" s="50"/>
      <c r="ADR18" s="51"/>
      <c r="ADS18" s="51"/>
      <c r="ADT18" s="51"/>
      <c r="ADU18" s="51"/>
      <c r="ADV18" s="51"/>
      <c r="ADW18" s="52"/>
      <c r="ADY18" s="24">
        <v>70</v>
      </c>
      <c r="ADZ18" s="6" t="s">
        <v>39</v>
      </c>
      <c r="AEA18" s="50"/>
      <c r="AEB18" s="51"/>
      <c r="AEC18" s="51"/>
      <c r="AED18" s="51"/>
      <c r="AEE18" s="51"/>
      <c r="AEF18" s="51"/>
      <c r="AEG18" s="52"/>
      <c r="AEI18" s="2">
        <v>64</v>
      </c>
      <c r="AEJ18" s="6" t="s">
        <v>39</v>
      </c>
      <c r="AEK18" s="50"/>
      <c r="AEL18" s="51"/>
      <c r="AEM18" s="51"/>
      <c r="AEN18" s="51"/>
      <c r="AEO18" s="51"/>
      <c r="AEP18" s="51"/>
      <c r="AEQ18" s="52"/>
      <c r="AES18" s="24">
        <v>58</v>
      </c>
      <c r="AET18" s="6" t="s">
        <v>39</v>
      </c>
      <c r="AEU18" s="50"/>
      <c r="AEV18" s="51"/>
      <c r="AEW18" s="51"/>
      <c r="AEX18" s="51"/>
      <c r="AEY18" s="51"/>
      <c r="AEZ18" s="51"/>
      <c r="AFA18" s="52"/>
      <c r="AFC18" s="2">
        <v>53</v>
      </c>
      <c r="AFD18" s="6" t="s">
        <v>39</v>
      </c>
      <c r="AFE18" s="50"/>
      <c r="AFF18" s="51"/>
      <c r="AFG18" s="51"/>
      <c r="AFH18" s="51"/>
      <c r="AFI18" s="51"/>
      <c r="AFJ18" s="51"/>
      <c r="AFK18" s="52"/>
      <c r="AFM18" s="2">
        <v>47</v>
      </c>
      <c r="AFN18" s="6" t="s">
        <v>39</v>
      </c>
      <c r="AFO18" s="50"/>
      <c r="AFP18" s="51"/>
      <c r="AFQ18" s="51"/>
      <c r="AFR18" s="51"/>
      <c r="AFS18" s="51"/>
      <c r="AFT18" s="51"/>
      <c r="AFU18" s="52"/>
      <c r="AFW18" s="24">
        <v>42</v>
      </c>
      <c r="AFX18" s="6" t="s">
        <v>39</v>
      </c>
      <c r="AFY18" s="50"/>
      <c r="AFZ18" s="51"/>
      <c r="AGA18" s="51"/>
      <c r="AGB18" s="51"/>
      <c r="AGC18" s="51"/>
      <c r="AGD18" s="51"/>
      <c r="AGE18" s="52"/>
      <c r="AGG18" s="24">
        <v>36</v>
      </c>
      <c r="AGH18" s="6" t="s">
        <v>39</v>
      </c>
      <c r="AGI18" s="50"/>
      <c r="AGJ18" s="51"/>
      <c r="AGK18" s="51"/>
      <c r="AGL18" s="51"/>
      <c r="AGM18" s="51"/>
      <c r="AGN18" s="51"/>
      <c r="AGO18" s="52"/>
      <c r="AGQ18" s="24">
        <v>100</v>
      </c>
      <c r="AGR18" s="6" t="s">
        <v>39</v>
      </c>
      <c r="AGS18" s="50"/>
      <c r="AGT18" s="51"/>
      <c r="AGU18" s="51"/>
      <c r="AGV18" s="51"/>
      <c r="AGW18" s="51"/>
      <c r="AGX18" s="51"/>
      <c r="AGY18" s="52"/>
      <c r="AHA18" s="24">
        <v>100</v>
      </c>
      <c r="AHB18" s="6" t="s">
        <v>39</v>
      </c>
      <c r="AHC18" s="50"/>
      <c r="AHD18" s="51"/>
      <c r="AHE18" s="51"/>
      <c r="AHF18" s="51"/>
      <c r="AHG18" s="51"/>
      <c r="AHH18" s="51"/>
      <c r="AHI18" s="52"/>
      <c r="AHK18" s="2">
        <v>100</v>
      </c>
      <c r="AHL18" s="6" t="s">
        <v>39</v>
      </c>
      <c r="AHM18" s="50"/>
      <c r="AHN18" s="51"/>
      <c r="AHO18" s="51"/>
      <c r="AHP18" s="51"/>
      <c r="AHQ18" s="51"/>
      <c r="AHR18" s="51"/>
      <c r="AHS18" s="52"/>
      <c r="AHU18" s="2">
        <v>100</v>
      </c>
      <c r="AHV18" s="6" t="s">
        <v>39</v>
      </c>
      <c r="AHW18" s="50"/>
      <c r="AHX18" s="51"/>
      <c r="AHY18" s="51"/>
      <c r="AHZ18" s="51"/>
      <c r="AIA18" s="51"/>
      <c r="AIB18" s="51"/>
      <c r="AIC18" s="52"/>
      <c r="AIE18" s="24">
        <v>100</v>
      </c>
      <c r="AIF18" s="6" t="s">
        <v>39</v>
      </c>
      <c r="AIG18" s="50"/>
      <c r="AIH18" s="51"/>
      <c r="AII18" s="51"/>
      <c r="AIJ18" s="51"/>
      <c r="AIK18" s="51"/>
      <c r="AIL18" s="51"/>
      <c r="AIM18" s="52"/>
      <c r="AIO18" s="24">
        <v>95</v>
      </c>
      <c r="AIP18" s="6" t="s">
        <v>39</v>
      </c>
      <c r="AIQ18" s="50"/>
      <c r="AIR18" s="51"/>
      <c r="AIS18" s="51"/>
      <c r="AIT18" s="51"/>
      <c r="AIU18" s="51"/>
      <c r="AIV18" s="51"/>
      <c r="AIW18" s="52"/>
      <c r="AIY18" s="24">
        <v>88</v>
      </c>
      <c r="AIZ18" s="6" t="s">
        <v>39</v>
      </c>
      <c r="AJA18" s="50"/>
      <c r="AJB18" s="51"/>
      <c r="AJC18" s="51"/>
      <c r="AJD18" s="51"/>
      <c r="AJE18" s="51"/>
      <c r="AJF18" s="51"/>
      <c r="AJG18" s="52"/>
      <c r="AJI18" s="2">
        <v>81</v>
      </c>
      <c r="AJJ18" s="6" t="s">
        <v>39</v>
      </c>
      <c r="AJK18" s="50"/>
      <c r="AJL18" s="51"/>
      <c r="AJM18" s="51"/>
      <c r="AJN18" s="51"/>
      <c r="AJO18" s="51"/>
      <c r="AJP18" s="51"/>
      <c r="AJQ18" s="52"/>
      <c r="AJS18" s="24">
        <v>76</v>
      </c>
      <c r="AJT18" s="6" t="s">
        <v>39</v>
      </c>
      <c r="AJU18" s="50"/>
      <c r="AJV18" s="51"/>
      <c r="AJW18" s="51"/>
      <c r="AJX18" s="51"/>
      <c r="AJY18" s="51"/>
      <c r="AJZ18" s="51"/>
      <c r="AKA18" s="52"/>
      <c r="AKC18" s="2">
        <v>70</v>
      </c>
      <c r="AKD18" s="6" t="s">
        <v>39</v>
      </c>
      <c r="AKE18" s="50"/>
      <c r="AKF18" s="51"/>
      <c r="AKG18" s="51"/>
      <c r="AKH18" s="51"/>
      <c r="AKI18" s="51"/>
      <c r="AKJ18" s="51"/>
      <c r="AKK18" s="52"/>
      <c r="AKM18" s="24">
        <v>62</v>
      </c>
      <c r="AKN18" s="6" t="s">
        <v>39</v>
      </c>
      <c r="AKO18" s="50"/>
      <c r="AKP18" s="51"/>
      <c r="AKQ18" s="51"/>
      <c r="AKR18" s="51"/>
      <c r="AKS18" s="51"/>
      <c r="AKT18" s="51"/>
      <c r="AKU18" s="52"/>
      <c r="AKW18" s="2">
        <v>57</v>
      </c>
      <c r="AKX18" s="6" t="s">
        <v>39</v>
      </c>
      <c r="AKY18" s="50"/>
      <c r="AKZ18" s="51"/>
      <c r="ALA18" s="51"/>
      <c r="ALB18" s="51"/>
      <c r="ALC18" s="51"/>
      <c r="ALD18" s="51"/>
      <c r="ALE18" s="52"/>
      <c r="ALG18" s="2">
        <v>50</v>
      </c>
      <c r="ALH18" s="6" t="s">
        <v>39</v>
      </c>
      <c r="ALI18" s="50"/>
      <c r="ALJ18" s="51"/>
      <c r="ALK18" s="51"/>
      <c r="ALL18" s="51"/>
      <c r="ALM18" s="51"/>
      <c r="ALN18" s="51"/>
      <c r="ALO18" s="52"/>
      <c r="ALQ18" s="24">
        <v>44</v>
      </c>
      <c r="ALR18" s="6" t="s">
        <v>39</v>
      </c>
      <c r="ALS18" s="50"/>
      <c r="ALT18" s="51"/>
      <c r="ALU18" s="51"/>
      <c r="ALV18" s="51"/>
      <c r="ALW18" s="51"/>
      <c r="ALX18" s="51"/>
      <c r="ALY18" s="52"/>
      <c r="AMA18" s="24">
        <v>40</v>
      </c>
      <c r="AMB18" s="6" t="s">
        <v>39</v>
      </c>
      <c r="AMC18" s="50"/>
      <c r="AMD18" s="51"/>
      <c r="AME18" s="51"/>
      <c r="AMF18" s="51"/>
      <c r="AMG18" s="51"/>
      <c r="AMH18" s="51"/>
      <c r="AMI18" s="52"/>
      <c r="AMK18" s="24">
        <v>31</v>
      </c>
      <c r="AML18" s="6" t="s">
        <v>39</v>
      </c>
      <c r="AMM18" s="50"/>
      <c r="AMN18" s="51"/>
      <c r="AMO18" s="51"/>
      <c r="AMP18" s="51"/>
      <c r="AMQ18" s="51"/>
      <c r="AMR18" s="51"/>
      <c r="AMS18" s="52"/>
      <c r="AMU18" s="2">
        <v>100</v>
      </c>
      <c r="AMV18" s="6" t="s">
        <v>39</v>
      </c>
      <c r="AMW18" s="50"/>
      <c r="AMX18" s="51"/>
      <c r="AMY18" s="51"/>
      <c r="AMZ18" s="51"/>
      <c r="ANA18" s="51"/>
      <c r="ANB18" s="51"/>
      <c r="ANC18" s="52"/>
      <c r="ANE18" s="2">
        <v>100</v>
      </c>
      <c r="ANF18" s="6" t="s">
        <v>39</v>
      </c>
      <c r="ANG18" s="50"/>
      <c r="ANH18" s="51"/>
      <c r="ANI18" s="51"/>
      <c r="ANJ18" s="51"/>
      <c r="ANK18" s="51"/>
      <c r="ANL18" s="51"/>
      <c r="ANM18" s="52"/>
      <c r="ANO18" s="24">
        <v>100</v>
      </c>
      <c r="ANP18" s="6" t="s">
        <v>39</v>
      </c>
      <c r="ANQ18" s="50"/>
      <c r="ANR18" s="51"/>
      <c r="ANS18" s="51"/>
      <c r="ANT18" s="51"/>
      <c r="ANU18" s="51"/>
      <c r="ANV18" s="51"/>
      <c r="ANW18" s="52"/>
      <c r="ANY18" s="24">
        <v>100</v>
      </c>
      <c r="ANZ18" s="6" t="s">
        <v>39</v>
      </c>
      <c r="AOA18" s="50"/>
      <c r="AOB18" s="51"/>
      <c r="AOC18" s="51"/>
      <c r="AOD18" s="51"/>
      <c r="AOE18" s="51"/>
      <c r="AOF18" s="51"/>
      <c r="AOG18" s="52"/>
      <c r="AOI18" s="24">
        <v>95</v>
      </c>
      <c r="AOJ18" s="6" t="s">
        <v>39</v>
      </c>
      <c r="AOK18" s="50"/>
      <c r="AOL18" s="51"/>
      <c r="AOM18" s="51"/>
      <c r="AON18" s="51"/>
      <c r="AOO18" s="51"/>
      <c r="AOP18" s="51"/>
      <c r="AOQ18" s="52"/>
      <c r="AOS18" s="24">
        <v>86</v>
      </c>
      <c r="AOT18" s="6" t="s">
        <v>39</v>
      </c>
      <c r="AOU18" s="50"/>
      <c r="AOV18" s="51"/>
      <c r="AOW18" s="51"/>
      <c r="AOX18" s="51"/>
      <c r="AOY18" s="51"/>
      <c r="AOZ18" s="51"/>
      <c r="APA18" s="52"/>
      <c r="APC18" s="24">
        <v>81</v>
      </c>
      <c r="APD18" s="6" t="s">
        <v>39</v>
      </c>
      <c r="APE18" s="50"/>
      <c r="APF18" s="51"/>
      <c r="APG18" s="51"/>
      <c r="APH18" s="51"/>
      <c r="API18" s="51"/>
      <c r="APJ18" s="51"/>
      <c r="APK18" s="52"/>
      <c r="APM18" s="24">
        <v>74</v>
      </c>
      <c r="APN18" s="6" t="s">
        <v>39</v>
      </c>
      <c r="APO18" s="50"/>
      <c r="APP18" s="51"/>
      <c r="APQ18" s="51"/>
      <c r="APR18" s="51"/>
      <c r="APS18" s="51"/>
      <c r="APT18" s="51"/>
      <c r="APU18" s="52"/>
      <c r="APW18" s="2"/>
      <c r="APX18" s="6" t="s">
        <v>39</v>
      </c>
      <c r="APY18" s="50"/>
      <c r="APZ18" s="51"/>
      <c r="AQA18" s="51"/>
      <c r="AQB18" s="51"/>
      <c r="AQC18" s="51"/>
      <c r="AQD18" s="51"/>
      <c r="AQE18" s="52"/>
    </row>
    <row r="19" spans="1:1123" ht="11.25" x14ac:dyDescent="0.2">
      <c r="A19" s="11"/>
    </row>
    <row r="20" spans="1:1123" ht="12.75" customHeight="1" x14ac:dyDescent="0.2">
      <c r="A20" s="11" t="s">
        <v>40</v>
      </c>
    </row>
    <row r="21" spans="1:1123" ht="12.75" customHeight="1" x14ac:dyDescent="0.2">
      <c r="A21" s="12" t="s">
        <v>41</v>
      </c>
    </row>
    <row r="22" spans="1:1123" ht="12.75" customHeight="1" x14ac:dyDescent="0.2">
      <c r="A22" s="11" t="s">
        <v>42</v>
      </c>
    </row>
    <row r="23" spans="1:1123" ht="12.75" customHeight="1" x14ac:dyDescent="0.2">
      <c r="A23" s="12" t="s">
        <v>43</v>
      </c>
    </row>
    <row r="24" spans="1:1123" ht="12.75" customHeight="1" x14ac:dyDescent="0.2">
      <c r="A24" s="12" t="s">
        <v>44</v>
      </c>
    </row>
  </sheetData>
  <sheetProtection algorithmName="SHA-512" hashValue="5PBXQ6iOErIaLdXi8Ycd/7G0wapzsIJ5OFB3LM9lxz6fqanuXnW0S0Oy9bqy7KzQ0Mvm+UIJ2S6fdUukfYgHAQ==" saltValue="lta0eov2cu0+zay5Pl2TOw==" spinCount="100000" sheet="1" selectLockedCells="1"/>
  <mergeCells count="1345">
    <mergeCell ref="AOP1:AOQ1"/>
    <mergeCell ref="AOI2:AOJ2"/>
    <mergeCell ref="AOK2:AOL2"/>
    <mergeCell ref="AOI9:AOJ9"/>
    <mergeCell ref="AOK9:AOL9"/>
    <mergeCell ref="AOI14:AOJ14"/>
    <mergeCell ref="AOK14:AOQ15"/>
    <mergeCell ref="AOI17:AOJ17"/>
    <mergeCell ref="AOK17:AOQ18"/>
    <mergeCell ref="AJI17:AJJ17"/>
    <mergeCell ref="AJK17:AJQ18"/>
    <mergeCell ref="AJS17:AJT17"/>
    <mergeCell ref="AJU17:AKA18"/>
    <mergeCell ref="AKM1:AKN1"/>
    <mergeCell ref="AKO1:AKQ1"/>
    <mergeCell ref="AKR1:AKS1"/>
    <mergeCell ref="AKT1:AKU1"/>
    <mergeCell ref="ANY1:ANZ1"/>
    <mergeCell ref="AOA1:AOC1"/>
    <mergeCell ref="AOD1:AOE1"/>
    <mergeCell ref="AOF1:AOG1"/>
    <mergeCell ref="ANY2:ANZ2"/>
    <mergeCell ref="AOA2:AOB2"/>
    <mergeCell ref="ANY9:ANZ9"/>
    <mergeCell ref="AOA9:AOB9"/>
    <mergeCell ref="ANY14:ANZ14"/>
    <mergeCell ref="AOA14:AOG15"/>
    <mergeCell ref="ANY17:ANZ17"/>
    <mergeCell ref="AOA17:AOG18"/>
    <mergeCell ref="ANQ1:ANS1"/>
    <mergeCell ref="ANT1:ANU1"/>
    <mergeCell ref="ANV1:ANW1"/>
    <mergeCell ref="ANO2:ANP2"/>
    <mergeCell ref="ANQ2:ANR2"/>
    <mergeCell ref="ANO9:ANP9"/>
    <mergeCell ref="ANQ9:ANR9"/>
    <mergeCell ref="ANO14:ANP14"/>
    <mergeCell ref="ANQ14:ANW15"/>
    <mergeCell ref="ANO17:ANP17"/>
    <mergeCell ref="ANQ17:ANW18"/>
    <mergeCell ref="ANO1:ANP1"/>
    <mergeCell ref="AIY2:AIZ2"/>
    <mergeCell ref="AJA2:AJB2"/>
    <mergeCell ref="AIY9:AIZ9"/>
    <mergeCell ref="AJA9:AJB9"/>
    <mergeCell ref="AJI1:AJJ1"/>
    <mergeCell ref="AJK1:AJM1"/>
    <mergeCell ref="AJN1:AJO1"/>
    <mergeCell ref="AJP1:AJQ1"/>
    <mergeCell ref="AJI2:AJJ2"/>
    <mergeCell ref="AJK2:AJL2"/>
    <mergeCell ref="AJI9:AJJ9"/>
    <mergeCell ref="AJK9:AJL9"/>
    <mergeCell ref="AJI14:AJJ14"/>
    <mergeCell ref="AJK14:AJQ15"/>
    <mergeCell ref="AJS1:AJT1"/>
    <mergeCell ref="AJU1:AJW1"/>
    <mergeCell ref="AJX1:AJY1"/>
    <mergeCell ref="AJS2:AJT2"/>
    <mergeCell ref="AJU2:AJV2"/>
    <mergeCell ref="AJS9:AJT9"/>
    <mergeCell ref="AJU9:AJV9"/>
    <mergeCell ref="AJS14:AJT14"/>
    <mergeCell ref="AJU14:AKA15"/>
    <mergeCell ref="AJZ1:AKA1"/>
    <mergeCell ref="AIE1:AIF1"/>
    <mergeCell ref="AIG1:AII1"/>
    <mergeCell ref="AIJ1:AIK1"/>
    <mergeCell ref="AIL1:AIM1"/>
    <mergeCell ref="AIE2:AIF2"/>
    <mergeCell ref="AIG2:AIH2"/>
    <mergeCell ref="AIE9:AIF9"/>
    <mergeCell ref="AIG9:AIH9"/>
    <mergeCell ref="AIE14:AIF14"/>
    <mergeCell ref="AIG14:AIM15"/>
    <mergeCell ref="AIY14:AIZ14"/>
    <mergeCell ref="AJA14:AJG15"/>
    <mergeCell ref="AIE17:AIF17"/>
    <mergeCell ref="AIG17:AIM18"/>
    <mergeCell ref="AIO1:AIP1"/>
    <mergeCell ref="AIQ1:AIS1"/>
    <mergeCell ref="AIT1:AIU1"/>
    <mergeCell ref="AIV1:AIW1"/>
    <mergeCell ref="AIO2:AIP2"/>
    <mergeCell ref="AIQ2:AIR2"/>
    <mergeCell ref="AIO9:AIP9"/>
    <mergeCell ref="AIQ9:AIR9"/>
    <mergeCell ref="AIY17:AIZ17"/>
    <mergeCell ref="AJA17:AJG18"/>
    <mergeCell ref="AIO14:AIP14"/>
    <mergeCell ref="AIQ14:AIW15"/>
    <mergeCell ref="AIO17:AIP17"/>
    <mergeCell ref="AIQ17:AIW18"/>
    <mergeCell ref="AIY1:AIZ1"/>
    <mergeCell ref="AJA1:AJC1"/>
    <mergeCell ref="AJD1:AJE1"/>
    <mergeCell ref="AJF1:AJG1"/>
    <mergeCell ref="AHU1:AHV1"/>
    <mergeCell ref="AHW1:AHY1"/>
    <mergeCell ref="AHZ1:AIA1"/>
    <mergeCell ref="AIB1:AIC1"/>
    <mergeCell ref="AHU2:AHV2"/>
    <mergeCell ref="AHW2:AHX2"/>
    <mergeCell ref="AHU9:AHV9"/>
    <mergeCell ref="AHW9:AHX9"/>
    <mergeCell ref="AHU14:AHV14"/>
    <mergeCell ref="AHW14:AIC15"/>
    <mergeCell ref="AHU17:AHV17"/>
    <mergeCell ref="AHW17:AIC18"/>
    <mergeCell ref="AHA1:AHB1"/>
    <mergeCell ref="AHC1:AHE1"/>
    <mergeCell ref="AHF1:AHG1"/>
    <mergeCell ref="AHH1:AHI1"/>
    <mergeCell ref="AHA2:AHB2"/>
    <mergeCell ref="AHC2:AHD2"/>
    <mergeCell ref="AHA9:AHB9"/>
    <mergeCell ref="AHC9:AHD9"/>
    <mergeCell ref="AHA14:AHB14"/>
    <mergeCell ref="AHC14:AHI15"/>
    <mergeCell ref="AHA17:AHB17"/>
    <mergeCell ref="AHC17:AHI18"/>
    <mergeCell ref="AHK1:AHL1"/>
    <mergeCell ref="AHM1:AHO1"/>
    <mergeCell ref="AHP1:AHQ1"/>
    <mergeCell ref="AHR1:AHS1"/>
    <mergeCell ref="AHK2:AHL2"/>
    <mergeCell ref="AHM2:AHN2"/>
    <mergeCell ref="AHK9:AHL9"/>
    <mergeCell ref="AHM9:AHN9"/>
    <mergeCell ref="AHK14:AHL14"/>
    <mergeCell ref="AHM14:AHS15"/>
    <mergeCell ref="AHK17:AHL17"/>
    <mergeCell ref="AHM17:AHS18"/>
    <mergeCell ref="AGQ1:AGR1"/>
    <mergeCell ref="AGS1:AGU1"/>
    <mergeCell ref="AGV1:AGW1"/>
    <mergeCell ref="AGX1:AGY1"/>
    <mergeCell ref="AGQ2:AGR2"/>
    <mergeCell ref="AGS2:AGT2"/>
    <mergeCell ref="AGQ9:AGR9"/>
    <mergeCell ref="AGS9:AGT9"/>
    <mergeCell ref="AGQ14:AGR14"/>
    <mergeCell ref="AGS14:AGY15"/>
    <mergeCell ref="AGQ17:AGR17"/>
    <mergeCell ref="AGS17:AGY18"/>
    <mergeCell ref="AGG1:AGH1"/>
    <mergeCell ref="AGI1:AGK1"/>
    <mergeCell ref="AGL1:AGM1"/>
    <mergeCell ref="AGN1:AGO1"/>
    <mergeCell ref="AGG2:AGH2"/>
    <mergeCell ref="AGI2:AGJ2"/>
    <mergeCell ref="AGG9:AGH9"/>
    <mergeCell ref="AGI9:AGJ9"/>
    <mergeCell ref="AGG14:AGH14"/>
    <mergeCell ref="AGI14:AGO15"/>
    <mergeCell ref="AGG17:AGH17"/>
    <mergeCell ref="AGI17:AGO18"/>
    <mergeCell ref="AFE17:AFK18"/>
    <mergeCell ref="AFC1:AFD1"/>
    <mergeCell ref="AFE1:AFG1"/>
    <mergeCell ref="AFH1:AFI1"/>
    <mergeCell ref="AFJ1:AFK1"/>
    <mergeCell ref="AFC2:AFD2"/>
    <mergeCell ref="AFE2:AFF2"/>
    <mergeCell ref="AFC9:AFD9"/>
    <mergeCell ref="AFE9:AFF9"/>
    <mergeCell ref="AFC14:AFD14"/>
    <mergeCell ref="AFE14:AFK15"/>
    <mergeCell ref="AFW1:AFX1"/>
    <mergeCell ref="AFY1:AGA1"/>
    <mergeCell ref="AGB1:AGC1"/>
    <mergeCell ref="AGD1:AGE1"/>
    <mergeCell ref="AFW2:AFX2"/>
    <mergeCell ref="AFY2:AFZ2"/>
    <mergeCell ref="AFW9:AFX9"/>
    <mergeCell ref="AFY9:AFZ9"/>
    <mergeCell ref="AFW14:AFX14"/>
    <mergeCell ref="AFY14:AGE15"/>
    <mergeCell ref="AFW17:AFX17"/>
    <mergeCell ref="AFY17:AGE18"/>
    <mergeCell ref="AFM1:AFN1"/>
    <mergeCell ref="AFO1:AFQ1"/>
    <mergeCell ref="AFR1:AFS1"/>
    <mergeCell ref="AFT1:AFU1"/>
    <mergeCell ref="AFM2:AFN2"/>
    <mergeCell ref="AFO2:AFP2"/>
    <mergeCell ref="AFM9:AFN9"/>
    <mergeCell ref="AFO9:AFP9"/>
    <mergeCell ref="AFM14:AFN14"/>
    <mergeCell ref="AES17:AET17"/>
    <mergeCell ref="AEU17:AFA18"/>
    <mergeCell ref="AES1:AET1"/>
    <mergeCell ref="AEU1:AEW1"/>
    <mergeCell ref="AEX1:AEY1"/>
    <mergeCell ref="AEZ1:AFA1"/>
    <mergeCell ref="AES2:AET2"/>
    <mergeCell ref="AEU2:AEV2"/>
    <mergeCell ref="AES9:AET9"/>
    <mergeCell ref="AEU9:AEV9"/>
    <mergeCell ref="AES14:AET14"/>
    <mergeCell ref="AEU14:AFA15"/>
    <mergeCell ref="AFO14:AFU15"/>
    <mergeCell ref="AFM17:AFN17"/>
    <mergeCell ref="AFO17:AFU18"/>
    <mergeCell ref="ADQ14:ADW15"/>
    <mergeCell ref="AFC17:AFD17"/>
    <mergeCell ref="AEI9:AEJ9"/>
    <mergeCell ref="AEK9:AEL9"/>
    <mergeCell ref="AEI14:AEJ14"/>
    <mergeCell ref="AEK14:AEQ15"/>
    <mergeCell ref="ADY17:ADZ17"/>
    <mergeCell ref="AEA17:AEG18"/>
    <mergeCell ref="ADY1:ADZ1"/>
    <mergeCell ref="AEA1:AEC1"/>
    <mergeCell ref="AED1:AEE1"/>
    <mergeCell ref="AEF1:AEG1"/>
    <mergeCell ref="ADY2:ADZ2"/>
    <mergeCell ref="AEA2:AEB2"/>
    <mergeCell ref="AEP1:AEQ1"/>
    <mergeCell ref="AEI2:AEJ2"/>
    <mergeCell ref="AEK2:AEL2"/>
    <mergeCell ref="AAO9:AAP9"/>
    <mergeCell ref="AAM14:AAN14"/>
    <mergeCell ref="AAO14:AAU15"/>
    <mergeCell ref="ACA17:ACB17"/>
    <mergeCell ref="ACC17:ACI18"/>
    <mergeCell ref="ACA1:ACB1"/>
    <mergeCell ref="ACC1:ACE1"/>
    <mergeCell ref="ACF1:ACG1"/>
    <mergeCell ref="ACH1:ACI1"/>
    <mergeCell ref="ACA2:ACB2"/>
    <mergeCell ref="ACC2:ACD2"/>
    <mergeCell ref="ACA9:ACB9"/>
    <mergeCell ref="ACC9:ACD9"/>
    <mergeCell ref="ACA14:ACB14"/>
    <mergeCell ref="ACC14:ACI15"/>
    <mergeCell ref="ABQ17:ABR17"/>
    <mergeCell ref="ABS17:ABY18"/>
    <mergeCell ref="ABQ1:ABR1"/>
    <mergeCell ref="ABS1:ABU1"/>
    <mergeCell ref="ABV1:ABW1"/>
    <mergeCell ref="ABX1:ABY1"/>
    <mergeCell ref="ABQ2:ABR2"/>
    <mergeCell ref="ABS2:ABT2"/>
    <mergeCell ref="ABQ9:ABR9"/>
    <mergeCell ref="ABS9:ABT9"/>
    <mergeCell ref="ABQ14:ABR14"/>
    <mergeCell ref="ABS14:ABY15"/>
    <mergeCell ref="ABI1:ABK1"/>
    <mergeCell ref="ABL1:ABM1"/>
    <mergeCell ref="ABN1:ABO1"/>
    <mergeCell ref="ABG2:ABH2"/>
    <mergeCell ref="ABI2:ABJ2"/>
    <mergeCell ref="ABG9:ABH9"/>
    <mergeCell ref="ABI9:ABJ9"/>
    <mergeCell ref="ABG14:ABH14"/>
    <mergeCell ref="ABI14:ABO15"/>
    <mergeCell ref="AAW17:AAX17"/>
    <mergeCell ref="AAY17:ABE18"/>
    <mergeCell ref="AAW1:AAX1"/>
    <mergeCell ref="AAY1:ABA1"/>
    <mergeCell ref="ABB1:ABC1"/>
    <mergeCell ref="ABD1:ABE1"/>
    <mergeCell ref="AAW2:AAX2"/>
    <mergeCell ref="AAY2:AAZ2"/>
    <mergeCell ref="AAW9:AAX9"/>
    <mergeCell ref="AAY9:AAZ9"/>
    <mergeCell ref="AAW14:AAX14"/>
    <mergeCell ref="AAY14:ABE15"/>
    <mergeCell ref="ABG17:ABH17"/>
    <mergeCell ref="XM17:XS18"/>
    <mergeCell ref="XK1:XL1"/>
    <mergeCell ref="XM1:XO1"/>
    <mergeCell ref="XP1:XQ1"/>
    <mergeCell ref="XR1:XS1"/>
    <mergeCell ref="XK2:XL2"/>
    <mergeCell ref="XM2:XN2"/>
    <mergeCell ref="XK9:XL9"/>
    <mergeCell ref="XM9:XN9"/>
    <mergeCell ref="XK14:XL14"/>
    <mergeCell ref="XM14:XS15"/>
    <mergeCell ref="XA17:XB17"/>
    <mergeCell ref="XC17:XI18"/>
    <mergeCell ref="XA1:XB1"/>
    <mergeCell ref="XC1:XE1"/>
    <mergeCell ref="XF1:XG1"/>
    <mergeCell ref="XH1:XI1"/>
    <mergeCell ref="XA2:XB2"/>
    <mergeCell ref="XC2:XD2"/>
    <mergeCell ref="XA9:XB9"/>
    <mergeCell ref="XC9:XD9"/>
    <mergeCell ref="XA14:XB14"/>
    <mergeCell ref="XC14:XI15"/>
    <mergeCell ref="XK17:XL17"/>
    <mergeCell ref="WQ17:WR17"/>
    <mergeCell ref="WS17:WY18"/>
    <mergeCell ref="WQ1:WR1"/>
    <mergeCell ref="WS1:WU1"/>
    <mergeCell ref="WV1:WW1"/>
    <mergeCell ref="WX1:WY1"/>
    <mergeCell ref="WQ2:WR2"/>
    <mergeCell ref="WS2:WT2"/>
    <mergeCell ref="WQ9:WR9"/>
    <mergeCell ref="WS9:WT9"/>
    <mergeCell ref="WQ14:WR14"/>
    <mergeCell ref="WS14:WY15"/>
    <mergeCell ref="WG17:WH17"/>
    <mergeCell ref="WI17:WO18"/>
    <mergeCell ref="WG1:WH1"/>
    <mergeCell ref="WI1:WK1"/>
    <mergeCell ref="TO17:TP17"/>
    <mergeCell ref="TQ17:TW18"/>
    <mergeCell ref="TO1:TP1"/>
    <mergeCell ref="TQ1:TS1"/>
    <mergeCell ref="TT1:TU1"/>
    <mergeCell ref="TV1:TW1"/>
    <mergeCell ref="TO2:TP2"/>
    <mergeCell ref="TQ2:TR2"/>
    <mergeCell ref="TO9:TP9"/>
    <mergeCell ref="TQ9:TR9"/>
    <mergeCell ref="TO14:TP14"/>
    <mergeCell ref="TQ14:TW15"/>
    <mergeCell ref="UI17:UJ17"/>
    <mergeCell ref="UK17:UQ18"/>
    <mergeCell ref="UI1:UJ1"/>
    <mergeCell ref="UK1:UM1"/>
    <mergeCell ref="QW17:QX17"/>
    <mergeCell ref="QY17:RE18"/>
    <mergeCell ref="QW1:QX1"/>
    <mergeCell ref="QY1:RA1"/>
    <mergeCell ref="RB1:RC1"/>
    <mergeCell ref="RD1:RE1"/>
    <mergeCell ref="QW2:QX2"/>
    <mergeCell ref="QY2:QZ2"/>
    <mergeCell ref="QW9:QX9"/>
    <mergeCell ref="QY9:QZ9"/>
    <mergeCell ref="QW14:QX14"/>
    <mergeCell ref="QY14:RE15"/>
    <mergeCell ref="RI9:RJ9"/>
    <mergeCell ref="RG14:RH14"/>
    <mergeCell ref="RI14:RO15"/>
    <mergeCell ref="SA17:SB17"/>
    <mergeCell ref="SC17:SI18"/>
    <mergeCell ref="SA1:SB1"/>
    <mergeCell ref="SC1:SE1"/>
    <mergeCell ref="SF1:SG1"/>
    <mergeCell ref="SH1:SI1"/>
    <mergeCell ref="SA2:SB2"/>
    <mergeCell ref="SC2:SD2"/>
    <mergeCell ref="SA9:SB9"/>
    <mergeCell ref="SC9:SD9"/>
    <mergeCell ref="SA14:SB14"/>
    <mergeCell ref="SC14:SI15"/>
    <mergeCell ref="QM17:QN17"/>
    <mergeCell ref="QO17:QU18"/>
    <mergeCell ref="QM1:QN1"/>
    <mergeCell ref="QO1:QQ1"/>
    <mergeCell ref="QR1:QS1"/>
    <mergeCell ref="QT1:QU1"/>
    <mergeCell ref="QM2:QN2"/>
    <mergeCell ref="QO2:QP2"/>
    <mergeCell ref="QM9:QN9"/>
    <mergeCell ref="QO9:QP9"/>
    <mergeCell ref="QM14:QN14"/>
    <mergeCell ref="QO14:QU15"/>
    <mergeCell ref="OY17:OZ17"/>
    <mergeCell ref="PA17:PG18"/>
    <mergeCell ref="OY1:OZ1"/>
    <mergeCell ref="PA1:PC1"/>
    <mergeCell ref="PD1:PE1"/>
    <mergeCell ref="PF1:PG1"/>
    <mergeCell ref="OY2:OZ2"/>
    <mergeCell ref="PA2:PB2"/>
    <mergeCell ref="OY9:OZ9"/>
    <mergeCell ref="PA9:PB9"/>
    <mergeCell ref="OY14:OZ14"/>
    <mergeCell ref="PA14:PG15"/>
    <mergeCell ref="PI17:PJ17"/>
    <mergeCell ref="PK17:PQ18"/>
    <mergeCell ref="PI1:PJ1"/>
    <mergeCell ref="PK1:PM1"/>
    <mergeCell ref="PN1:PO1"/>
    <mergeCell ref="PP1:PQ1"/>
    <mergeCell ref="PI2:PJ2"/>
    <mergeCell ref="PK2:PL2"/>
    <mergeCell ref="OO17:OP17"/>
    <mergeCell ref="OQ17:OW18"/>
    <mergeCell ref="OO1:OP1"/>
    <mergeCell ref="OQ1:OS1"/>
    <mergeCell ref="OT1:OU1"/>
    <mergeCell ref="OV1:OW1"/>
    <mergeCell ref="OO2:OP2"/>
    <mergeCell ref="OQ2:OR2"/>
    <mergeCell ref="OO9:OP9"/>
    <mergeCell ref="OQ9:OR9"/>
    <mergeCell ref="OO14:OP14"/>
    <mergeCell ref="OQ14:OW15"/>
    <mergeCell ref="OE17:OF17"/>
    <mergeCell ref="OG17:OM18"/>
    <mergeCell ref="OE1:OF1"/>
    <mergeCell ref="OG1:OI1"/>
    <mergeCell ref="OJ1:OK1"/>
    <mergeCell ref="OL1:OM1"/>
    <mergeCell ref="OE2:OF2"/>
    <mergeCell ref="OG2:OH2"/>
    <mergeCell ref="OE9:OF9"/>
    <mergeCell ref="OG9:OH9"/>
    <mergeCell ref="OE14:OF14"/>
    <mergeCell ref="OG14:OM15"/>
    <mergeCell ref="NU17:NV17"/>
    <mergeCell ref="NW17:OC18"/>
    <mergeCell ref="NU1:NV1"/>
    <mergeCell ref="NW1:NY1"/>
    <mergeCell ref="NZ1:OA1"/>
    <mergeCell ref="OB1:OC1"/>
    <mergeCell ref="NU2:NV2"/>
    <mergeCell ref="NW2:NX2"/>
    <mergeCell ref="NU9:NV9"/>
    <mergeCell ref="NW9:NX9"/>
    <mergeCell ref="NU14:NV14"/>
    <mergeCell ref="NW14:OC15"/>
    <mergeCell ref="IK17:IL17"/>
    <mergeCell ref="IM17:IS18"/>
    <mergeCell ref="IK1:IL1"/>
    <mergeCell ref="IM1:IO1"/>
    <mergeCell ref="IP1:IQ1"/>
    <mergeCell ref="IR1:IS1"/>
    <mergeCell ref="IK2:IL2"/>
    <mergeCell ref="IM2:IN2"/>
    <mergeCell ref="IK9:IL9"/>
    <mergeCell ref="IM9:IN9"/>
    <mergeCell ref="IK14:IL14"/>
    <mergeCell ref="IM14:IS15"/>
    <mergeCell ref="JE17:JF17"/>
    <mergeCell ref="JG17:JM18"/>
    <mergeCell ref="JE1:JF1"/>
    <mergeCell ref="JG1:JI1"/>
    <mergeCell ref="JJ1:JK1"/>
    <mergeCell ref="JL1:JM1"/>
    <mergeCell ref="JE2:JF2"/>
    <mergeCell ref="JG2:JH2"/>
    <mergeCell ref="HQ17:HR17"/>
    <mergeCell ref="HS17:HY18"/>
    <mergeCell ref="HQ1:HR1"/>
    <mergeCell ref="HS1:HU1"/>
    <mergeCell ref="HV1:HW1"/>
    <mergeCell ref="HX1:HY1"/>
    <mergeCell ref="HQ2:HR2"/>
    <mergeCell ref="HS2:HT2"/>
    <mergeCell ref="HQ9:HR9"/>
    <mergeCell ref="HS9:HT9"/>
    <mergeCell ref="HQ14:HR14"/>
    <mergeCell ref="HS14:HY15"/>
    <mergeCell ref="HG17:HH17"/>
    <mergeCell ref="HI17:HO18"/>
    <mergeCell ref="HG1:HH1"/>
    <mergeCell ref="HI1:HK1"/>
    <mergeCell ref="HL1:HM1"/>
    <mergeCell ref="HN1:HO1"/>
    <mergeCell ref="HG2:HH2"/>
    <mergeCell ref="HI2:HJ2"/>
    <mergeCell ref="HG9:HH9"/>
    <mergeCell ref="HI9:HJ9"/>
    <mergeCell ref="HG14:HH14"/>
    <mergeCell ref="HI14:HO15"/>
    <mergeCell ref="GW17:GX17"/>
    <mergeCell ref="GY17:HE18"/>
    <mergeCell ref="GW1:GX1"/>
    <mergeCell ref="GY1:HA1"/>
    <mergeCell ref="HB1:HC1"/>
    <mergeCell ref="HD1:HE1"/>
    <mergeCell ref="GW2:GX2"/>
    <mergeCell ref="GY2:GZ2"/>
    <mergeCell ref="GW9:GX9"/>
    <mergeCell ref="GY9:GZ9"/>
    <mergeCell ref="GW14:GX14"/>
    <mergeCell ref="GY14:HE15"/>
    <mergeCell ref="GC17:GD17"/>
    <mergeCell ref="GE17:GK18"/>
    <mergeCell ref="GC1:GD1"/>
    <mergeCell ref="GE1:GG1"/>
    <mergeCell ref="GH1:GI1"/>
    <mergeCell ref="GJ1:GK1"/>
    <mergeCell ref="GC2:GD2"/>
    <mergeCell ref="GE2:GF2"/>
    <mergeCell ref="GC9:GD9"/>
    <mergeCell ref="GE9:GF9"/>
    <mergeCell ref="GC14:GD14"/>
    <mergeCell ref="GE14:GK15"/>
    <mergeCell ref="FS17:FT17"/>
    <mergeCell ref="FU17:GA18"/>
    <mergeCell ref="FI17:FJ17"/>
    <mergeCell ref="FK17:FQ18"/>
    <mergeCell ref="FS1:FT1"/>
    <mergeCell ref="FU1:FW1"/>
    <mergeCell ref="FX1:FY1"/>
    <mergeCell ref="FZ1:GA1"/>
    <mergeCell ref="FS2:FT2"/>
    <mergeCell ref="FU2:FV2"/>
    <mergeCell ref="FS9:FT9"/>
    <mergeCell ref="FU9:FV9"/>
    <mergeCell ref="FS14:FT14"/>
    <mergeCell ref="FU14:GA15"/>
    <mergeCell ref="FI1:FJ1"/>
    <mergeCell ref="FK1:FM1"/>
    <mergeCell ref="FN1:FO1"/>
    <mergeCell ref="FP1:FQ1"/>
    <mergeCell ref="FI2:FJ2"/>
    <mergeCell ref="FK2:FL2"/>
    <mergeCell ref="FI9:FJ9"/>
    <mergeCell ref="FK9:FL9"/>
    <mergeCell ref="FI14:FJ14"/>
    <mergeCell ref="FK14:FQ15"/>
    <mergeCell ref="EY17:EZ17"/>
    <mergeCell ref="FA17:FG18"/>
    <mergeCell ref="EY1:EZ1"/>
    <mergeCell ref="FA1:FC1"/>
    <mergeCell ref="FD1:FE1"/>
    <mergeCell ref="FF1:FG1"/>
    <mergeCell ref="EY2:EZ2"/>
    <mergeCell ref="FA2:FB2"/>
    <mergeCell ref="EY9:EZ9"/>
    <mergeCell ref="FA9:FB9"/>
    <mergeCell ref="EY14:EZ14"/>
    <mergeCell ref="FA14:FG15"/>
    <mergeCell ref="EO17:EP17"/>
    <mergeCell ref="EQ17:EW18"/>
    <mergeCell ref="EO1:EP1"/>
    <mergeCell ref="EQ1:ES1"/>
    <mergeCell ref="ET1:EU1"/>
    <mergeCell ref="EV1:EW1"/>
    <mergeCell ref="EO2:EP2"/>
    <mergeCell ref="EQ2:ER2"/>
    <mergeCell ref="EO9:EP9"/>
    <mergeCell ref="EQ9:ER9"/>
    <mergeCell ref="EO14:EP14"/>
    <mergeCell ref="EQ14:EW15"/>
    <mergeCell ref="EG17:EM18"/>
    <mergeCell ref="EE1:EF1"/>
    <mergeCell ref="EG1:EI1"/>
    <mergeCell ref="EJ1:EK1"/>
    <mergeCell ref="EL1:EM1"/>
    <mergeCell ref="EE2:EF2"/>
    <mergeCell ref="EG2:EH2"/>
    <mergeCell ref="EE9:EF9"/>
    <mergeCell ref="EG9:EH9"/>
    <mergeCell ref="EE14:EF14"/>
    <mergeCell ref="EG14:EM15"/>
    <mergeCell ref="DU17:DV17"/>
    <mergeCell ref="DW17:EC18"/>
    <mergeCell ref="DU1:DV1"/>
    <mergeCell ref="DW1:DY1"/>
    <mergeCell ref="DZ1:EA1"/>
    <mergeCell ref="EB1:EC1"/>
    <mergeCell ref="DU2:DV2"/>
    <mergeCell ref="DW2:DX2"/>
    <mergeCell ref="DU9:DV9"/>
    <mergeCell ref="DW9:DX9"/>
    <mergeCell ref="DU14:DV14"/>
    <mergeCell ref="DW14:EC15"/>
    <mergeCell ref="DK9:DL9"/>
    <mergeCell ref="DM9:DN9"/>
    <mergeCell ref="DK14:DL14"/>
    <mergeCell ref="DM14:DS15"/>
    <mergeCell ref="DA17:DB17"/>
    <mergeCell ref="DC17:DI18"/>
    <mergeCell ref="DA1:DB1"/>
    <mergeCell ref="DC1:DE1"/>
    <mergeCell ref="DF1:DG1"/>
    <mergeCell ref="DH1:DI1"/>
    <mergeCell ref="DA2:DB2"/>
    <mergeCell ref="DC2:DD2"/>
    <mergeCell ref="DA9:DB9"/>
    <mergeCell ref="DC9:DD9"/>
    <mergeCell ref="DA14:DB14"/>
    <mergeCell ref="DC14:DI15"/>
    <mergeCell ref="EE17:EF17"/>
    <mergeCell ref="CG9:CH9"/>
    <mergeCell ref="CI9:CJ9"/>
    <mergeCell ref="CG14:CH14"/>
    <mergeCell ref="CI14:CO15"/>
    <mergeCell ref="CG17:CH17"/>
    <mergeCell ref="CI17:CO18"/>
    <mergeCell ref="CG1:CH1"/>
    <mergeCell ref="CI1:CK1"/>
    <mergeCell ref="CL1:CM1"/>
    <mergeCell ref="CN1:CO1"/>
    <mergeCell ref="CG2:CH2"/>
    <mergeCell ref="CI2:CJ2"/>
    <mergeCell ref="AS9:AT9"/>
    <mergeCell ref="AU9:AV9"/>
    <mergeCell ref="AS14:AT14"/>
    <mergeCell ref="AU14:BA15"/>
    <mergeCell ref="AS17:AT17"/>
    <mergeCell ref="AU17:BA18"/>
    <mergeCell ref="AS1:AT1"/>
    <mergeCell ref="AU1:AW1"/>
    <mergeCell ref="AX1:AY1"/>
    <mergeCell ref="AZ1:BA1"/>
    <mergeCell ref="AS2:AT2"/>
    <mergeCell ref="AU2:AV2"/>
    <mergeCell ref="BE17:BK18"/>
    <mergeCell ref="BM1:BN1"/>
    <mergeCell ref="BO1:BQ1"/>
    <mergeCell ref="BR1:BS1"/>
    <mergeCell ref="BT1:BU1"/>
    <mergeCell ref="BM2:BN2"/>
    <mergeCell ref="BO2:BP2"/>
    <mergeCell ref="BM9:BN9"/>
    <mergeCell ref="AF1:AG1"/>
    <mergeCell ref="Q14:W15"/>
    <mergeCell ref="V1:W1"/>
    <mergeCell ref="Y14:Z14"/>
    <mergeCell ref="AA14:AG15"/>
    <mergeCell ref="AA9:AB9"/>
    <mergeCell ref="Q9:R9"/>
    <mergeCell ref="O2:P2"/>
    <mergeCell ref="Q2:R2"/>
    <mergeCell ref="Y2:Z2"/>
    <mergeCell ref="AA2:AB2"/>
    <mergeCell ref="AD1:AE1"/>
    <mergeCell ref="O1:P1"/>
    <mergeCell ref="Q1:S1"/>
    <mergeCell ref="Y1:Z1"/>
    <mergeCell ref="AA1:AC1"/>
    <mergeCell ref="T1:U1"/>
    <mergeCell ref="E1:F1"/>
    <mergeCell ref="G1:I1"/>
    <mergeCell ref="J1:K1"/>
    <mergeCell ref="L1:M1"/>
    <mergeCell ref="E2:F2"/>
    <mergeCell ref="G2:H2"/>
    <mergeCell ref="E17:F17"/>
    <mergeCell ref="G17:M18"/>
    <mergeCell ref="E9:F9"/>
    <mergeCell ref="G9:H9"/>
    <mergeCell ref="E14:F14"/>
    <mergeCell ref="G14:M15"/>
    <mergeCell ref="BC17:BD17"/>
    <mergeCell ref="AI9:AJ9"/>
    <mergeCell ref="AK9:AL9"/>
    <mergeCell ref="AI14:AJ14"/>
    <mergeCell ref="AK14:AQ15"/>
    <mergeCell ref="AI17:AJ17"/>
    <mergeCell ref="AK17:AQ18"/>
    <mergeCell ref="AI1:AJ1"/>
    <mergeCell ref="AK1:AM1"/>
    <mergeCell ref="AN1:AO1"/>
    <mergeCell ref="AP1:AQ1"/>
    <mergeCell ref="AI2:AJ2"/>
    <mergeCell ref="AK2:AL2"/>
    <mergeCell ref="O14:P14"/>
    <mergeCell ref="O9:P9"/>
    <mergeCell ref="Y9:Z9"/>
    <mergeCell ref="Q17:W18"/>
    <mergeCell ref="AA17:AG18"/>
    <mergeCell ref="O17:P17"/>
    <mergeCell ref="Y17:Z17"/>
    <mergeCell ref="BO9:BP9"/>
    <mergeCell ref="BM14:BN14"/>
    <mergeCell ref="BO14:BU15"/>
    <mergeCell ref="BM17:BN17"/>
    <mergeCell ref="BO17:BU18"/>
    <mergeCell ref="BC1:BD1"/>
    <mergeCell ref="BE1:BG1"/>
    <mergeCell ref="BH1:BI1"/>
    <mergeCell ref="BJ1:BK1"/>
    <mergeCell ref="BC2:BD2"/>
    <mergeCell ref="BE2:BF2"/>
    <mergeCell ref="BC9:BD9"/>
    <mergeCell ref="BE9:BF9"/>
    <mergeCell ref="BC14:BD14"/>
    <mergeCell ref="BE14:BK15"/>
    <mergeCell ref="BW17:BX17"/>
    <mergeCell ref="BY17:CE18"/>
    <mergeCell ref="BW1:BX1"/>
    <mergeCell ref="BY1:CA1"/>
    <mergeCell ref="CB1:CC1"/>
    <mergeCell ref="CD1:CE1"/>
    <mergeCell ref="BW2:BX2"/>
    <mergeCell ref="BY2:BZ2"/>
    <mergeCell ref="BW9:BX9"/>
    <mergeCell ref="BY9:BZ9"/>
    <mergeCell ref="BW14:BX14"/>
    <mergeCell ref="BY14:CE15"/>
    <mergeCell ref="CQ17:CR17"/>
    <mergeCell ref="CS17:CY18"/>
    <mergeCell ref="CQ1:CR1"/>
    <mergeCell ref="CS1:CU1"/>
    <mergeCell ref="CV1:CW1"/>
    <mergeCell ref="CX1:CY1"/>
    <mergeCell ref="CQ2:CR2"/>
    <mergeCell ref="CS2:CT2"/>
    <mergeCell ref="CQ9:CR9"/>
    <mergeCell ref="CS9:CT9"/>
    <mergeCell ref="CQ14:CR14"/>
    <mergeCell ref="CS14:CY15"/>
    <mergeCell ref="GM17:GN17"/>
    <mergeCell ref="GO17:GU18"/>
    <mergeCell ref="GM1:GN1"/>
    <mergeCell ref="GO1:GQ1"/>
    <mergeCell ref="GR1:GS1"/>
    <mergeCell ref="GT1:GU1"/>
    <mergeCell ref="GM2:GN2"/>
    <mergeCell ref="GO2:GP2"/>
    <mergeCell ref="GM9:GN9"/>
    <mergeCell ref="GO9:GP9"/>
    <mergeCell ref="GM14:GN14"/>
    <mergeCell ref="GO14:GU15"/>
    <mergeCell ref="DK17:DL17"/>
    <mergeCell ref="DM17:DS18"/>
    <mergeCell ref="DK1:DL1"/>
    <mergeCell ref="DM1:DO1"/>
    <mergeCell ref="DP1:DQ1"/>
    <mergeCell ref="DR1:DS1"/>
    <mergeCell ref="DK2:DL2"/>
    <mergeCell ref="DM2:DN2"/>
    <mergeCell ref="IA17:IB17"/>
    <mergeCell ref="IC17:II18"/>
    <mergeCell ref="IA1:IB1"/>
    <mergeCell ref="IC1:IE1"/>
    <mergeCell ref="IF1:IG1"/>
    <mergeCell ref="IH1:II1"/>
    <mergeCell ref="IA2:IB2"/>
    <mergeCell ref="IC2:ID2"/>
    <mergeCell ref="IA9:IB9"/>
    <mergeCell ref="IC9:ID9"/>
    <mergeCell ref="IA14:IB14"/>
    <mergeCell ref="IC14:II15"/>
    <mergeCell ref="IU17:IV17"/>
    <mergeCell ref="IW17:JC18"/>
    <mergeCell ref="IU1:IV1"/>
    <mergeCell ref="IW1:IY1"/>
    <mergeCell ref="IZ1:JA1"/>
    <mergeCell ref="JB1:JC1"/>
    <mergeCell ref="IU2:IV2"/>
    <mergeCell ref="IW2:IX2"/>
    <mergeCell ref="IU9:IV9"/>
    <mergeCell ref="IW9:IX9"/>
    <mergeCell ref="IU14:IV14"/>
    <mergeCell ref="IW14:JC15"/>
    <mergeCell ref="JE9:JF9"/>
    <mergeCell ref="JG9:JH9"/>
    <mergeCell ref="JE14:JF14"/>
    <mergeCell ref="JG14:JM15"/>
    <mergeCell ref="JO17:JP17"/>
    <mergeCell ref="JQ17:JW18"/>
    <mergeCell ref="JO1:JP1"/>
    <mergeCell ref="JQ1:JS1"/>
    <mergeCell ref="JT1:JU1"/>
    <mergeCell ref="JV1:JW1"/>
    <mergeCell ref="JO2:JP2"/>
    <mergeCell ref="JQ2:JR2"/>
    <mergeCell ref="JO9:JP9"/>
    <mergeCell ref="JQ9:JR9"/>
    <mergeCell ref="JO14:JP14"/>
    <mergeCell ref="JQ14:JW15"/>
    <mergeCell ref="JY17:JZ17"/>
    <mergeCell ref="KA17:KG18"/>
    <mergeCell ref="JY1:JZ1"/>
    <mergeCell ref="KA1:KC1"/>
    <mergeCell ref="KD1:KE1"/>
    <mergeCell ref="KF1:KG1"/>
    <mergeCell ref="JY2:JZ2"/>
    <mergeCell ref="KA2:KB2"/>
    <mergeCell ref="JY9:JZ9"/>
    <mergeCell ref="KA9:KB9"/>
    <mergeCell ref="JY14:JZ14"/>
    <mergeCell ref="KA14:KG15"/>
    <mergeCell ref="KI17:KJ17"/>
    <mergeCell ref="KK17:KQ18"/>
    <mergeCell ref="KI1:KJ1"/>
    <mergeCell ref="KK1:KM1"/>
    <mergeCell ref="KN1:KO1"/>
    <mergeCell ref="KP1:KQ1"/>
    <mergeCell ref="KI2:KJ2"/>
    <mergeCell ref="KK2:KL2"/>
    <mergeCell ref="KI9:KJ9"/>
    <mergeCell ref="KK9:KL9"/>
    <mergeCell ref="KI14:KJ14"/>
    <mergeCell ref="KK14:KQ15"/>
    <mergeCell ref="KS17:KT17"/>
    <mergeCell ref="KU17:LA18"/>
    <mergeCell ref="KS1:KT1"/>
    <mergeCell ref="KU1:KW1"/>
    <mergeCell ref="KX1:KY1"/>
    <mergeCell ref="KZ1:LA1"/>
    <mergeCell ref="KS2:KT2"/>
    <mergeCell ref="KU2:KV2"/>
    <mergeCell ref="KS9:KT9"/>
    <mergeCell ref="KU9:KV9"/>
    <mergeCell ref="KS14:KT14"/>
    <mergeCell ref="KU14:LA15"/>
    <mergeCell ref="LC17:LD17"/>
    <mergeCell ref="LE17:LK18"/>
    <mergeCell ref="LC1:LD1"/>
    <mergeCell ref="LE1:LG1"/>
    <mergeCell ref="LH1:LI1"/>
    <mergeCell ref="LJ1:LK1"/>
    <mergeCell ref="LC2:LD2"/>
    <mergeCell ref="LE2:LF2"/>
    <mergeCell ref="LC9:LD9"/>
    <mergeCell ref="LE9:LF9"/>
    <mergeCell ref="LC14:LD14"/>
    <mergeCell ref="LE14:LK15"/>
    <mergeCell ref="LM17:LN17"/>
    <mergeCell ref="LO17:LU18"/>
    <mergeCell ref="LM1:LN1"/>
    <mergeCell ref="LO1:LQ1"/>
    <mergeCell ref="LR1:LS1"/>
    <mergeCell ref="LT1:LU1"/>
    <mergeCell ref="LM2:LN2"/>
    <mergeCell ref="LO2:LP2"/>
    <mergeCell ref="LM9:LN9"/>
    <mergeCell ref="LO9:LP9"/>
    <mergeCell ref="LM14:LN14"/>
    <mergeCell ref="LO14:LU15"/>
    <mergeCell ref="LW17:LX17"/>
    <mergeCell ref="LY17:ME18"/>
    <mergeCell ref="LW1:LX1"/>
    <mergeCell ref="LY1:MA1"/>
    <mergeCell ref="MB1:MC1"/>
    <mergeCell ref="MD1:ME1"/>
    <mergeCell ref="LW2:LX2"/>
    <mergeCell ref="LY2:LZ2"/>
    <mergeCell ref="LW9:LX9"/>
    <mergeCell ref="LY9:LZ9"/>
    <mergeCell ref="LW14:LX14"/>
    <mergeCell ref="LY14:ME15"/>
    <mergeCell ref="MG17:MH17"/>
    <mergeCell ref="MI17:MO18"/>
    <mergeCell ref="MG1:MH1"/>
    <mergeCell ref="MI1:MK1"/>
    <mergeCell ref="ML1:MM1"/>
    <mergeCell ref="MN1:MO1"/>
    <mergeCell ref="MG2:MH2"/>
    <mergeCell ref="MI2:MJ2"/>
    <mergeCell ref="MG9:MH9"/>
    <mergeCell ref="MI9:MJ9"/>
    <mergeCell ref="MG14:MH14"/>
    <mergeCell ref="MI14:MO15"/>
    <mergeCell ref="MQ17:MR17"/>
    <mergeCell ref="MS17:MY18"/>
    <mergeCell ref="MQ1:MR1"/>
    <mergeCell ref="MS1:MU1"/>
    <mergeCell ref="MV1:MW1"/>
    <mergeCell ref="MX1:MY1"/>
    <mergeCell ref="MQ2:MR2"/>
    <mergeCell ref="MS2:MT2"/>
    <mergeCell ref="MQ9:MR9"/>
    <mergeCell ref="MS9:MT9"/>
    <mergeCell ref="MQ14:MR14"/>
    <mergeCell ref="MS14:MY15"/>
    <mergeCell ref="NA17:NB17"/>
    <mergeCell ref="NC17:NI18"/>
    <mergeCell ref="NA1:NB1"/>
    <mergeCell ref="NC1:NE1"/>
    <mergeCell ref="NF1:NG1"/>
    <mergeCell ref="NH1:NI1"/>
    <mergeCell ref="NA2:NB2"/>
    <mergeCell ref="NC2:ND2"/>
    <mergeCell ref="NA9:NB9"/>
    <mergeCell ref="NC9:ND9"/>
    <mergeCell ref="NA14:NB14"/>
    <mergeCell ref="NC14:NI15"/>
    <mergeCell ref="NK17:NL17"/>
    <mergeCell ref="NM17:NS18"/>
    <mergeCell ref="NK1:NL1"/>
    <mergeCell ref="NM1:NO1"/>
    <mergeCell ref="NP1:NQ1"/>
    <mergeCell ref="NR1:NS1"/>
    <mergeCell ref="NK2:NL2"/>
    <mergeCell ref="NM2:NN2"/>
    <mergeCell ref="NK9:NL9"/>
    <mergeCell ref="NM9:NN9"/>
    <mergeCell ref="NK14:NL14"/>
    <mergeCell ref="NM14:NS15"/>
    <mergeCell ref="PI9:PJ9"/>
    <mergeCell ref="PK9:PL9"/>
    <mergeCell ref="PI14:PJ14"/>
    <mergeCell ref="PK14:PQ15"/>
    <mergeCell ref="PS17:PT17"/>
    <mergeCell ref="PU17:QA18"/>
    <mergeCell ref="PS1:PT1"/>
    <mergeCell ref="PU1:PW1"/>
    <mergeCell ref="PX1:PY1"/>
    <mergeCell ref="PZ1:QA1"/>
    <mergeCell ref="PS2:PT2"/>
    <mergeCell ref="PU2:PV2"/>
    <mergeCell ref="PS9:PT9"/>
    <mergeCell ref="PU9:PV9"/>
    <mergeCell ref="PS14:PT14"/>
    <mergeCell ref="PU14:QA15"/>
    <mergeCell ref="QC17:QD17"/>
    <mergeCell ref="QE17:QK18"/>
    <mergeCell ref="QC1:QD1"/>
    <mergeCell ref="QE1:QG1"/>
    <mergeCell ref="QH1:QI1"/>
    <mergeCell ref="QJ1:QK1"/>
    <mergeCell ref="QC2:QD2"/>
    <mergeCell ref="QE2:QF2"/>
    <mergeCell ref="QC9:QD9"/>
    <mergeCell ref="QE9:QF9"/>
    <mergeCell ref="QC14:QD14"/>
    <mergeCell ref="QE14:QK15"/>
    <mergeCell ref="RG17:RH17"/>
    <mergeCell ref="RI17:RO18"/>
    <mergeCell ref="RQ1:RR1"/>
    <mergeCell ref="RS1:RU1"/>
    <mergeCell ref="RV1:RW1"/>
    <mergeCell ref="RX1:RY1"/>
    <mergeCell ref="RQ2:RR2"/>
    <mergeCell ref="RS2:RT2"/>
    <mergeCell ref="RQ9:RR9"/>
    <mergeCell ref="RS9:RT9"/>
    <mergeCell ref="RQ14:RR14"/>
    <mergeCell ref="RS14:RY15"/>
    <mergeCell ref="RQ17:RR17"/>
    <mergeCell ref="RS17:RY18"/>
    <mergeCell ref="RG1:RH1"/>
    <mergeCell ref="RI1:RK1"/>
    <mergeCell ref="RL1:RM1"/>
    <mergeCell ref="RN1:RO1"/>
    <mergeCell ref="RG2:RH2"/>
    <mergeCell ref="RI2:RJ2"/>
    <mergeCell ref="RG9:RH9"/>
    <mergeCell ref="SK17:SL17"/>
    <mergeCell ref="SM17:SS18"/>
    <mergeCell ref="SK1:SL1"/>
    <mergeCell ref="SM1:SO1"/>
    <mergeCell ref="SP1:SQ1"/>
    <mergeCell ref="SR1:SS1"/>
    <mergeCell ref="SK2:SL2"/>
    <mergeCell ref="SM2:SN2"/>
    <mergeCell ref="SK9:SL9"/>
    <mergeCell ref="SM9:SN9"/>
    <mergeCell ref="SK14:SL14"/>
    <mergeCell ref="SM14:SS15"/>
    <mergeCell ref="SU17:SV17"/>
    <mergeCell ref="SW17:TC18"/>
    <mergeCell ref="SU1:SV1"/>
    <mergeCell ref="SW1:SY1"/>
    <mergeCell ref="SZ1:TA1"/>
    <mergeCell ref="TB1:TC1"/>
    <mergeCell ref="SU2:SV2"/>
    <mergeCell ref="SW2:SX2"/>
    <mergeCell ref="SU9:SV9"/>
    <mergeCell ref="SW9:SX9"/>
    <mergeCell ref="SU14:SV14"/>
    <mergeCell ref="SW14:TC15"/>
    <mergeCell ref="TE17:TF17"/>
    <mergeCell ref="TG17:TM18"/>
    <mergeCell ref="TE1:TF1"/>
    <mergeCell ref="TG1:TI1"/>
    <mergeCell ref="TJ1:TK1"/>
    <mergeCell ref="TL1:TM1"/>
    <mergeCell ref="TE2:TF2"/>
    <mergeCell ref="TG2:TH2"/>
    <mergeCell ref="TE9:TF9"/>
    <mergeCell ref="TG9:TH9"/>
    <mergeCell ref="TE14:TF14"/>
    <mergeCell ref="TG14:TM15"/>
    <mergeCell ref="TY17:TZ17"/>
    <mergeCell ref="UA17:UG18"/>
    <mergeCell ref="TY1:TZ1"/>
    <mergeCell ref="UA1:UC1"/>
    <mergeCell ref="UD1:UE1"/>
    <mergeCell ref="UF1:UG1"/>
    <mergeCell ref="TY2:TZ2"/>
    <mergeCell ref="UA2:UB2"/>
    <mergeCell ref="TY9:TZ9"/>
    <mergeCell ref="UA9:UB9"/>
    <mergeCell ref="TY14:TZ14"/>
    <mergeCell ref="UA14:UG15"/>
    <mergeCell ref="UN1:UO1"/>
    <mergeCell ref="UP1:UQ1"/>
    <mergeCell ref="UI2:UJ2"/>
    <mergeCell ref="UK2:UL2"/>
    <mergeCell ref="UI9:UJ9"/>
    <mergeCell ref="UK9:UL9"/>
    <mergeCell ref="UI14:UJ14"/>
    <mergeCell ref="UK14:UQ15"/>
    <mergeCell ref="WL1:WM1"/>
    <mergeCell ref="WN1:WO1"/>
    <mergeCell ref="WG2:WH2"/>
    <mergeCell ref="WI2:WJ2"/>
    <mergeCell ref="WG9:WH9"/>
    <mergeCell ref="WI9:WJ9"/>
    <mergeCell ref="US17:UT17"/>
    <mergeCell ref="UU17:VA18"/>
    <mergeCell ref="US1:UT1"/>
    <mergeCell ref="UU1:UW1"/>
    <mergeCell ref="UX1:UY1"/>
    <mergeCell ref="UZ1:VA1"/>
    <mergeCell ref="US2:UT2"/>
    <mergeCell ref="UU2:UV2"/>
    <mergeCell ref="US9:UT9"/>
    <mergeCell ref="UU9:UV9"/>
    <mergeCell ref="US14:UT14"/>
    <mergeCell ref="UU14:VA15"/>
    <mergeCell ref="VC17:VD17"/>
    <mergeCell ref="VE17:VK18"/>
    <mergeCell ref="VC1:VD1"/>
    <mergeCell ref="VE1:VG1"/>
    <mergeCell ref="VH1:VI1"/>
    <mergeCell ref="VJ1:VK1"/>
    <mergeCell ref="VC2:VD2"/>
    <mergeCell ref="VE2:VF2"/>
    <mergeCell ref="VC9:VD9"/>
    <mergeCell ref="VE9:VF9"/>
    <mergeCell ref="VC14:VD14"/>
    <mergeCell ref="VE14:VK15"/>
    <mergeCell ref="WG14:WH14"/>
    <mergeCell ref="WI14:WO15"/>
    <mergeCell ref="VM17:VN17"/>
    <mergeCell ref="VO17:VU18"/>
    <mergeCell ref="VM1:VN1"/>
    <mergeCell ref="VO1:VQ1"/>
    <mergeCell ref="VR1:VS1"/>
    <mergeCell ref="VT1:VU1"/>
    <mergeCell ref="VM2:VN2"/>
    <mergeCell ref="VO2:VP2"/>
    <mergeCell ref="VM9:VN9"/>
    <mergeCell ref="VO9:VP9"/>
    <mergeCell ref="VM14:VN14"/>
    <mergeCell ref="VO14:VU15"/>
    <mergeCell ref="VW17:VX17"/>
    <mergeCell ref="VY17:WE18"/>
    <mergeCell ref="VW1:VX1"/>
    <mergeCell ref="VY1:WA1"/>
    <mergeCell ref="WB1:WC1"/>
    <mergeCell ref="WD1:WE1"/>
    <mergeCell ref="VW2:VX2"/>
    <mergeCell ref="VY2:VZ2"/>
    <mergeCell ref="VW9:VX9"/>
    <mergeCell ref="VY9:VZ9"/>
    <mergeCell ref="VW14:VX14"/>
    <mergeCell ref="VY14:WE15"/>
    <mergeCell ref="XU17:XV17"/>
    <mergeCell ref="XW17:YC18"/>
    <mergeCell ref="XU1:XV1"/>
    <mergeCell ref="XW1:XY1"/>
    <mergeCell ref="XZ1:YA1"/>
    <mergeCell ref="YB1:YC1"/>
    <mergeCell ref="XU2:XV2"/>
    <mergeCell ref="XW2:XX2"/>
    <mergeCell ref="XU9:XV9"/>
    <mergeCell ref="XW9:XX9"/>
    <mergeCell ref="XU14:XV14"/>
    <mergeCell ref="XW14:YC15"/>
    <mergeCell ref="YE17:YF17"/>
    <mergeCell ref="YG17:YM18"/>
    <mergeCell ref="YE1:YF1"/>
    <mergeCell ref="YG1:YI1"/>
    <mergeCell ref="YJ1:YK1"/>
    <mergeCell ref="YL1:YM1"/>
    <mergeCell ref="YE2:YF2"/>
    <mergeCell ref="YG2:YH2"/>
    <mergeCell ref="YE9:YF9"/>
    <mergeCell ref="YG9:YH9"/>
    <mergeCell ref="YE14:YF14"/>
    <mergeCell ref="YG14:YM15"/>
    <mergeCell ref="ZS14:ZT14"/>
    <mergeCell ref="AAJ1:AAK1"/>
    <mergeCell ref="AAC2:AAD2"/>
    <mergeCell ref="AAE2:AAF2"/>
    <mergeCell ref="AAC9:AAD9"/>
    <mergeCell ref="AAE9:AAF9"/>
    <mergeCell ref="YQ17:YW18"/>
    <mergeCell ref="YO1:YP1"/>
    <mergeCell ref="YQ1:YS1"/>
    <mergeCell ref="YT1:YU1"/>
    <mergeCell ref="YV1:YW1"/>
    <mergeCell ref="YO2:YP2"/>
    <mergeCell ref="YQ2:YR2"/>
    <mergeCell ref="YO9:YP9"/>
    <mergeCell ref="YQ9:YR9"/>
    <mergeCell ref="YO14:YP14"/>
    <mergeCell ref="YQ14:YW15"/>
    <mergeCell ref="YY17:YZ17"/>
    <mergeCell ref="ZA17:ZG18"/>
    <mergeCell ref="YY1:YZ1"/>
    <mergeCell ref="ZA1:ZC1"/>
    <mergeCell ref="ZD1:ZE1"/>
    <mergeCell ref="ZF1:ZG1"/>
    <mergeCell ref="YY2:YZ2"/>
    <mergeCell ref="ZA2:ZB2"/>
    <mergeCell ref="YY9:YZ9"/>
    <mergeCell ref="ZA9:ZB9"/>
    <mergeCell ref="YY14:YZ14"/>
    <mergeCell ref="ZA14:ZG15"/>
    <mergeCell ref="AAE14:AAK15"/>
    <mergeCell ref="YO17:YP17"/>
    <mergeCell ref="AAC17:AAD17"/>
    <mergeCell ref="AAE17:AAK18"/>
    <mergeCell ref="AAC1:AAD1"/>
    <mergeCell ref="AAE1:AAG1"/>
    <mergeCell ref="AAH1:AAI1"/>
    <mergeCell ref="AAC14:AAD14"/>
    <mergeCell ref="ADO17:ADP17"/>
    <mergeCell ref="ADQ17:ADW18"/>
    <mergeCell ref="ADO1:ADP1"/>
    <mergeCell ref="ADQ1:ADS1"/>
    <mergeCell ref="ZI17:ZJ17"/>
    <mergeCell ref="ZK17:ZQ18"/>
    <mergeCell ref="ZI1:ZJ1"/>
    <mergeCell ref="ZK1:ZM1"/>
    <mergeCell ref="ZN1:ZO1"/>
    <mergeCell ref="ZP1:ZQ1"/>
    <mergeCell ref="ZI2:ZJ2"/>
    <mergeCell ref="ZK2:ZL2"/>
    <mergeCell ref="ZI9:ZJ9"/>
    <mergeCell ref="ZK9:ZL9"/>
    <mergeCell ref="ZI14:ZJ14"/>
    <mergeCell ref="ZK14:ZQ15"/>
    <mergeCell ref="ZS17:ZT17"/>
    <mergeCell ref="ZU17:AAA18"/>
    <mergeCell ref="ZS1:ZT1"/>
    <mergeCell ref="ZU1:ZW1"/>
    <mergeCell ref="ZX1:ZY1"/>
    <mergeCell ref="ZZ1:AAA1"/>
    <mergeCell ref="ZS2:ZT2"/>
    <mergeCell ref="ZU2:ZV2"/>
    <mergeCell ref="ZS9:ZT9"/>
    <mergeCell ref="ZU9:ZV9"/>
    <mergeCell ref="ADQ9:ADR9"/>
    <mergeCell ref="AAT1:AAU1"/>
    <mergeCell ref="AAM2:AAN2"/>
    <mergeCell ref="AAO2:AAP2"/>
    <mergeCell ref="AAM9:AAN9"/>
    <mergeCell ref="ACM1:ACO1"/>
    <mergeCell ref="ACP1:ACQ1"/>
    <mergeCell ref="ACR1:ACS1"/>
    <mergeCell ref="ACK2:ACL2"/>
    <mergeCell ref="ACM2:ACN2"/>
    <mergeCell ref="ACK9:ACL9"/>
    <mergeCell ref="ACM9:ACN9"/>
    <mergeCell ref="ACK14:ACL14"/>
    <mergeCell ref="ACM14:ACS15"/>
    <mergeCell ref="ACU17:ACV17"/>
    <mergeCell ref="ACW17:ADC18"/>
    <mergeCell ref="ACU1:ACV1"/>
    <mergeCell ref="ACW1:ACY1"/>
    <mergeCell ref="ACZ1:ADA1"/>
    <mergeCell ref="ADB1:ADC1"/>
    <mergeCell ref="ACU2:ACV2"/>
    <mergeCell ref="ACW2:ACX2"/>
    <mergeCell ref="ACU9:ACV9"/>
    <mergeCell ref="ACW9:ACX9"/>
    <mergeCell ref="ACU14:ACV14"/>
    <mergeCell ref="ACW14:ADC15"/>
    <mergeCell ref="AAM17:AAN17"/>
    <mergeCell ref="AAO17:AAU18"/>
    <mergeCell ref="AAM1:AAN1"/>
    <mergeCell ref="AAO1:AAQ1"/>
    <mergeCell ref="AAR1:AAS1"/>
    <mergeCell ref="ABI17:ABO18"/>
    <mergeCell ref="ABG1:ABH1"/>
    <mergeCell ref="B1:D1"/>
    <mergeCell ref="ADE17:ADF17"/>
    <mergeCell ref="ADG17:ADM18"/>
    <mergeCell ref="ADE1:ADF1"/>
    <mergeCell ref="ADG1:ADI1"/>
    <mergeCell ref="ADJ1:ADK1"/>
    <mergeCell ref="ADL1:ADM1"/>
    <mergeCell ref="ADE2:ADF2"/>
    <mergeCell ref="ADG2:ADH2"/>
    <mergeCell ref="ADE9:ADF9"/>
    <mergeCell ref="ADG9:ADH9"/>
    <mergeCell ref="ADE14:ADF14"/>
    <mergeCell ref="ADG14:ADM15"/>
    <mergeCell ref="AEI17:AEJ17"/>
    <mergeCell ref="AEK17:AEQ18"/>
    <mergeCell ref="AEI1:AEJ1"/>
    <mergeCell ref="AEK1:AEM1"/>
    <mergeCell ref="AEN1:AEO1"/>
    <mergeCell ref="ADY9:ADZ9"/>
    <mergeCell ref="AEA9:AEB9"/>
    <mergeCell ref="ADY14:ADZ14"/>
    <mergeCell ref="ADT1:ADU1"/>
    <mergeCell ref="ADV1:ADW1"/>
    <mergeCell ref="ADO2:ADP2"/>
    <mergeCell ref="ADQ2:ADR2"/>
    <mergeCell ref="ADO9:ADP9"/>
    <mergeCell ref="ADO14:ADP14"/>
    <mergeCell ref="AEA14:AEG15"/>
    <mergeCell ref="ACK17:ACL17"/>
    <mergeCell ref="ACM17:ACS18"/>
    <mergeCell ref="ACK1:ACL1"/>
    <mergeCell ref="ZU14:AAA15"/>
    <mergeCell ref="AKW9:AKX9"/>
    <mergeCell ref="AKY9:AKZ9"/>
    <mergeCell ref="AKW14:AKX14"/>
    <mergeCell ref="AKY14:ALE15"/>
    <mergeCell ref="AKW17:AKX17"/>
    <mergeCell ref="AKY17:ALE18"/>
    <mergeCell ref="AKM2:AKN2"/>
    <mergeCell ref="AKO2:AKP2"/>
    <mergeCell ref="AKM9:AKN9"/>
    <mergeCell ref="AKO9:AKP9"/>
    <mergeCell ref="AKM14:AKN14"/>
    <mergeCell ref="AKO14:AKU15"/>
    <mergeCell ref="AKM17:AKN17"/>
    <mergeCell ref="AKO17:AKU18"/>
    <mergeCell ref="AKC9:AKD9"/>
    <mergeCell ref="AKE9:AKF9"/>
    <mergeCell ref="AKC14:AKD14"/>
    <mergeCell ref="AKE14:AKK15"/>
    <mergeCell ref="AKC17:AKD17"/>
    <mergeCell ref="AKE17:AKK18"/>
    <mergeCell ref="AKC1:AKD1"/>
    <mergeCell ref="AKE1:AKG1"/>
    <mergeCell ref="AKH1:AKI1"/>
    <mergeCell ref="AKJ1:AKK1"/>
    <mergeCell ref="AKC2:AKD2"/>
    <mergeCell ref="AKE2:AKF2"/>
    <mergeCell ref="ALG1:ALH1"/>
    <mergeCell ref="ALI1:ALK1"/>
    <mergeCell ref="ALL1:ALM1"/>
    <mergeCell ref="ALN1:ALO1"/>
    <mergeCell ref="ALG2:ALH2"/>
    <mergeCell ref="ALQ1:ALR1"/>
    <mergeCell ref="ALS1:ALU1"/>
    <mergeCell ref="ALV1:ALW1"/>
    <mergeCell ref="ALX1:ALY1"/>
    <mergeCell ref="ALQ2:ALR2"/>
    <mergeCell ref="ALS2:ALT2"/>
    <mergeCell ref="AKW1:AKX1"/>
    <mergeCell ref="AKY1:ALA1"/>
    <mergeCell ref="ALB1:ALC1"/>
    <mergeCell ref="ALD1:ALE1"/>
    <mergeCell ref="AKW2:AKX2"/>
    <mergeCell ref="AKY2:AKZ2"/>
    <mergeCell ref="ALI2:ALJ2"/>
    <mergeCell ref="ALG9:ALH9"/>
    <mergeCell ref="ALI9:ALJ9"/>
    <mergeCell ref="ALG14:ALH14"/>
    <mergeCell ref="ALI14:ALO15"/>
    <mergeCell ref="ALG17:ALH17"/>
    <mergeCell ref="ALI17:ALO18"/>
    <mergeCell ref="AMK1:AML1"/>
    <mergeCell ref="AMM1:AMO1"/>
    <mergeCell ref="AMP1:AMQ1"/>
    <mergeCell ref="AMR1:AMS1"/>
    <mergeCell ref="AMK2:AML2"/>
    <mergeCell ref="AMM2:AMN2"/>
    <mergeCell ref="AMK9:AML9"/>
    <mergeCell ref="AMM9:AMN9"/>
    <mergeCell ref="AMK14:AML14"/>
    <mergeCell ref="AMM14:AMS15"/>
    <mergeCell ref="AMK17:AML17"/>
    <mergeCell ref="AMM17:AMS18"/>
    <mergeCell ref="AMA1:AMB1"/>
    <mergeCell ref="AMC1:AME1"/>
    <mergeCell ref="AMF1:AMG1"/>
    <mergeCell ref="AMH1:AMI1"/>
    <mergeCell ref="AMA2:AMB2"/>
    <mergeCell ref="AMC2:AMD2"/>
    <mergeCell ref="AMA9:AMB9"/>
    <mergeCell ref="AMA14:AMB14"/>
    <mergeCell ref="AMC14:AMI15"/>
    <mergeCell ref="AMA17:AMB17"/>
    <mergeCell ref="AMC17:AMI18"/>
    <mergeCell ref="AMU1:AMV1"/>
    <mergeCell ref="AMW1:AMY1"/>
    <mergeCell ref="AMZ1:ANA1"/>
    <mergeCell ref="ANB1:ANC1"/>
    <mergeCell ref="AMU2:AMV2"/>
    <mergeCell ref="AMW2:AMX2"/>
    <mergeCell ref="AMU9:AMV9"/>
    <mergeCell ref="AMW9:AMX9"/>
    <mergeCell ref="AMU14:AMV14"/>
    <mergeCell ref="AMW14:ANC15"/>
    <mergeCell ref="AMU17:AMV17"/>
    <mergeCell ref="AMW17:ANC18"/>
    <mergeCell ref="ALQ9:ALR9"/>
    <mergeCell ref="ALS9:ALT9"/>
    <mergeCell ref="ALQ14:ALR14"/>
    <mergeCell ref="ALS14:ALY15"/>
    <mergeCell ref="ALQ17:ALR17"/>
    <mergeCell ref="ALS17:ALY18"/>
    <mergeCell ref="APM2:APN2"/>
    <mergeCell ref="APO2:APP2"/>
    <mergeCell ref="APM9:APN9"/>
    <mergeCell ref="APO9:APP9"/>
    <mergeCell ref="APM14:APN14"/>
    <mergeCell ref="APO14:APU15"/>
    <mergeCell ref="APM17:APN17"/>
    <mergeCell ref="APO17:APU18"/>
    <mergeCell ref="APC1:APD1"/>
    <mergeCell ref="APE1:APG1"/>
    <mergeCell ref="APH1:API1"/>
    <mergeCell ref="APJ1:APK1"/>
    <mergeCell ref="APC2:APD2"/>
    <mergeCell ref="APE2:APF2"/>
    <mergeCell ref="APC9:APD9"/>
    <mergeCell ref="APE9:APF9"/>
    <mergeCell ref="AMC9:AMD9"/>
    <mergeCell ref="AOS1:AOT1"/>
    <mergeCell ref="AOU1:AOW1"/>
    <mergeCell ref="AOX1:AOY1"/>
    <mergeCell ref="AOZ1:APA1"/>
    <mergeCell ref="AOS2:AOT2"/>
    <mergeCell ref="AOU2:AOV2"/>
    <mergeCell ref="AOS9:AOT9"/>
    <mergeCell ref="AOU9:AOV9"/>
    <mergeCell ref="AOS14:AOT14"/>
    <mergeCell ref="AOU14:APA15"/>
    <mergeCell ref="AOS17:AOT17"/>
    <mergeCell ref="AOU17:APA18"/>
    <mergeCell ref="AOI1:AOJ1"/>
    <mergeCell ref="AOK1:AOM1"/>
    <mergeCell ref="AON1:AOO1"/>
    <mergeCell ref="APC14:APD14"/>
    <mergeCell ref="APE14:APK15"/>
    <mergeCell ref="APC17:APD17"/>
    <mergeCell ref="APE17:APK18"/>
    <mergeCell ref="APW1:APX1"/>
    <mergeCell ref="APY1:AQA1"/>
    <mergeCell ref="AQB1:AQC1"/>
    <mergeCell ref="AQD1:AQE1"/>
    <mergeCell ref="APW2:APX2"/>
    <mergeCell ref="APY2:APZ2"/>
    <mergeCell ref="APW9:APX9"/>
    <mergeCell ref="APY9:APZ9"/>
    <mergeCell ref="APW14:APX14"/>
    <mergeCell ref="APY14:AQE15"/>
    <mergeCell ref="APW17:APX17"/>
    <mergeCell ref="APY17:AQE18"/>
    <mergeCell ref="ANE1:ANF1"/>
    <mergeCell ref="ANG1:ANI1"/>
    <mergeCell ref="ANJ1:ANK1"/>
    <mergeCell ref="ANL1:ANM1"/>
    <mergeCell ref="ANE2:ANF2"/>
    <mergeCell ref="ANG2:ANH2"/>
    <mergeCell ref="ANE9:ANF9"/>
    <mergeCell ref="ANG9:ANH9"/>
    <mergeCell ref="ANE14:ANF14"/>
    <mergeCell ref="ANG14:ANM15"/>
    <mergeCell ref="ANE17:ANF17"/>
    <mergeCell ref="ANG17:ANM18"/>
    <mergeCell ref="APM1:APN1"/>
    <mergeCell ref="APO1:APQ1"/>
    <mergeCell ref="APR1:APS1"/>
    <mergeCell ref="APT1:APU1"/>
  </mergeCells>
  <conditionalFormatting sqref="B1:D1">
    <cfRule type="containsText" dxfId="2311" priority="326" operator="containsText" text="DUE TODAY">
      <formula>NOT(ISERROR(SEARCH("DUE TODAY",B1)))</formula>
    </cfRule>
  </conditionalFormatting>
  <conditionalFormatting sqref="K3:K7 M3:M7 W3:W7 AG3:AG7 AQ3:AQ7 BA3:BA7 BK3:BK7 BU3:BU7 CE3:CE7 CO3:CO7 CY3:CY7 DI3:DI7 DS3:DS7 EC3:EC7 EM3:EM7 EW3:EW7 FG3:FG7 FQ3:FQ7 GA3:GA7 GK3:GK7 GU3:GU7 HE3:HE7 HO3:HO7 HY3:HY7 II3:II7 IS3:IS7 JC3:JC7 JM3:JM7 JW3:JW7 KG3:KG7 KQ3:KQ7 LA3:LA7 LK3:LK7 LU3:LU7 ME3:ME7 MO3:MO7 MY3:MY7 NI3:NI7 NS3:NS7 OC3:OC7 OM3:OM7 OW3:OW7 PG3:PG7 PQ3:PQ7 QA3:QA7 QK3:QK7 QU3:QU7 RE3:RE7 RO3:RO7 RY3:RY7 SI3:SI7 SS3:SS7 TC3:TC7 TM3:TM7 TW3:TW7 UG3:UG7 UQ3:UQ7 VA3:VA7 VK3:VK7 VU3:VU7 WE3:WE7 WO3:WO7 WY3:WY7 XI3:XI7 XS3:XS7 YC3:YC7 YM3:YM7 YW3:YW7 ZG3:ZG7 ZQ3:ZQ7 AAA3:AAA7 AAK3:AAK7 AAU3:AAU7 ABE3:ABE7 ABO3:ABO7 ABY3:ABY7 ACI3:ACI7 ACS3:ACS7 ADC3:ADC7 ADM3:ADM7 ADW3:ADW7 AEG3:AEG7 AEQ3:AEQ7 AFA3:AFA7 AFK3:AFK7 AFU3:AFU7 AGE3:AGE7 AGO3:AGO7 AGY3:AGY7 AHI3:AHI7 AHS3:AHS7 AIC3:AIC7 AIM3:AIM7 AIW3:AIW7 AJG3:AJG7 AJQ3:AJQ7 AKA3:AKA7 AKK3:AKK7 AKU3:AKU7 ALE3:ALE7 ALO3:ALO7">
    <cfRule type="cellIs" dxfId="2310" priority="1833" operator="greaterThan">
      <formula>0</formula>
    </cfRule>
    <cfRule type="cellIs" dxfId="2309" priority="1832" operator="lessThan">
      <formula>0</formula>
    </cfRule>
    <cfRule type="cellIs" dxfId="2308" priority="1831" operator="equal">
      <formula>0</formula>
    </cfRule>
  </conditionalFormatting>
  <conditionalFormatting sqref="M10:M12">
    <cfRule type="cellIs" dxfId="2307" priority="1828" operator="equal">
      <formula>0</formula>
    </cfRule>
    <cfRule type="cellIs" dxfId="2306" priority="1830" operator="greaterThan">
      <formula>0</formula>
    </cfRule>
    <cfRule type="cellIs" dxfId="2305" priority="1829" operator="lessThan">
      <formula>0</formula>
    </cfRule>
  </conditionalFormatting>
  <conditionalFormatting sqref="M16">
    <cfRule type="cellIs" dxfId="2304" priority="1825" operator="greaterThan">
      <formula>0</formula>
    </cfRule>
    <cfRule type="cellIs" dxfId="2303" priority="1824" operator="lessThan">
      <formula>0</formula>
    </cfRule>
    <cfRule type="cellIs" dxfId="2302" priority="1823" operator="equal">
      <formula>0</formula>
    </cfRule>
  </conditionalFormatting>
  <conditionalFormatting sqref="U3:U7 AE3:AE7 AO3:AO7 AY3:AY7 BI3:BI7 BS3:BS7 CC3:CC7 CM3:CM7 CW3:CW7 DG3:DG7 DQ3:DQ7 EA3:EA7 EK3:EK7 EU3:EU7 FE3:FE7 FO3:FO7 FY3:FY7 GI3:GI7 GS3:GS7 HC3:HC7 HM3:HM7 HW3:HW7 IG3:IG7 IQ3:IQ7 JA3:JA7 JK3:JK7 JU3:JU7 KE3:KE7 KO3:KO7 KY3:KY7 LI3:LI7 LS3:LS7 MC3:MC7 MM3:MM7 MW3:MW7 NG3:NG7 NQ3:NQ7 OA3:OA7 OK3:OK7 OU3:OU7 PE3:PE7 PO3:PO7 PY3:PY7 QI3:QI7 QS3:QS7 RC3:RC7 RM3:RM7 RW3:RW7 SG3:SG7 SQ3:SQ7 TA3:TA7 TK3:TK7 TU3:TU7 UE3:UE7 UO3:UO7 UY3:UY7 VI3:VI7 VS3:VS7 WC3:WC7 WM3:WM7 WW3:WW7 XG3:XG7 XQ3:XQ7 YA3:YA7 YK3:YK7 YU3:YU7 ZE3:ZE7 ZO3:ZO7 ZY3:ZY7 AAI3:AAI7 AAS3:AAS7 ABC3:ABC7 ABM3:ABM7 ABW3:ABW7 ACG3:ACG7 ACQ3:ACQ7 ADA3:ADA7 ADK3:ADK7 ADU3:ADU7 AEE3:AEE7 AEO3:AEO7 AEY3:AEY7 AFI3:AFI7 AFS3:AFS7 AGC3:AGC7 AGM3:AGM7 AGW3:AGW7 AHG3:AHG7 AHQ3:AHQ7 AIA3:AIA7 AIK3:AIK7 AIU3:AIU7 AJE3:AJE7 AJO3:AJO7 AJY3:AJY7 AKI3:AKI7 AKS3:AKS7 ALC3:ALC7 ALM3:ALM7 K10:K12 K16 U16 AE16">
    <cfRule type="cellIs" dxfId="2301" priority="1827" operator="lessThan">
      <formula>0</formula>
    </cfRule>
    <cfRule type="cellIs" dxfId="2300" priority="1826" operator="equal">
      <formula>0</formula>
    </cfRule>
  </conditionalFormatting>
  <conditionalFormatting sqref="U10:U12">
    <cfRule type="cellIs" dxfId="2299" priority="1767" operator="lessThan">
      <formula>0</formula>
    </cfRule>
    <cfRule type="cellIs" dxfId="2298" priority="1766" operator="equal">
      <formula>0</formula>
    </cfRule>
  </conditionalFormatting>
  <conditionalFormatting sqref="W10:W12">
    <cfRule type="cellIs" dxfId="2297" priority="1765" operator="greaterThan">
      <formula>0</formula>
    </cfRule>
    <cfRule type="cellIs" dxfId="2296" priority="1764" operator="lessThan">
      <formula>0</formula>
    </cfRule>
    <cfRule type="cellIs" dxfId="2295" priority="1763" operator="equal">
      <formula>0</formula>
    </cfRule>
  </conditionalFormatting>
  <conditionalFormatting sqref="W16">
    <cfRule type="cellIs" dxfId="2294" priority="1845" operator="greaterThan">
      <formula>0</formula>
    </cfRule>
    <cfRule type="cellIs" dxfId="2293" priority="1844" operator="lessThan">
      <formula>0</formula>
    </cfRule>
    <cfRule type="cellIs" dxfId="2292" priority="1843" operator="equal">
      <formula>0</formula>
    </cfRule>
  </conditionalFormatting>
  <conditionalFormatting sqref="AE10:AE12">
    <cfRule type="cellIs" dxfId="2291" priority="1749" operator="lessThan">
      <formula>0</formula>
    </cfRule>
    <cfRule type="cellIs" dxfId="2290" priority="1748" operator="equal">
      <formula>0</formula>
    </cfRule>
  </conditionalFormatting>
  <conditionalFormatting sqref="AG10:AG12 AQ10:AQ12 BA10:BA12">
    <cfRule type="cellIs" dxfId="2289" priority="1751" operator="lessThan">
      <formula>0</formula>
    </cfRule>
    <cfRule type="cellIs" dxfId="2288" priority="1750" operator="equal">
      <formula>0</formula>
    </cfRule>
    <cfRule type="cellIs" dxfId="2287" priority="1752" operator="greaterThan">
      <formula>0</formula>
    </cfRule>
  </conditionalFormatting>
  <conditionalFormatting sqref="AG16 AQ16 BA16">
    <cfRule type="cellIs" dxfId="2286" priority="1850" operator="greaterThan">
      <formula>0</formula>
    </cfRule>
    <cfRule type="cellIs" dxfId="2285" priority="1848" operator="equal">
      <formula>0</formula>
    </cfRule>
    <cfRule type="cellIs" dxfId="2284" priority="1849" operator="lessThan">
      <formula>0</formula>
    </cfRule>
  </conditionalFormatting>
  <conditionalFormatting sqref="AO10:AO12">
    <cfRule type="cellIs" dxfId="2283" priority="1741" operator="lessThan">
      <formula>0</formula>
    </cfRule>
    <cfRule type="cellIs" dxfId="2282" priority="1740" operator="equal">
      <formula>0</formula>
    </cfRule>
  </conditionalFormatting>
  <conditionalFormatting sqref="AO16">
    <cfRule type="cellIs" dxfId="2281" priority="1745" operator="lessThan">
      <formula>0</formula>
    </cfRule>
    <cfRule type="cellIs" dxfId="2280" priority="1744" operator="equal">
      <formula>0</formula>
    </cfRule>
  </conditionalFormatting>
  <conditionalFormatting sqref="AY10:AY12">
    <cfRule type="cellIs" dxfId="2279" priority="1735" operator="lessThan">
      <formula>0</formula>
    </cfRule>
    <cfRule type="cellIs" dxfId="2278" priority="1734" operator="equal">
      <formula>0</formula>
    </cfRule>
  </conditionalFormatting>
  <conditionalFormatting sqref="AY16">
    <cfRule type="cellIs" dxfId="2277" priority="1739" operator="lessThan">
      <formula>0</formula>
    </cfRule>
    <cfRule type="cellIs" dxfId="2276" priority="1738" operator="equal">
      <formula>0</formula>
    </cfRule>
  </conditionalFormatting>
  <conditionalFormatting sqref="BI10:BI12">
    <cfRule type="cellIs" dxfId="2275" priority="1717" operator="equal">
      <formula>0</formula>
    </cfRule>
    <cfRule type="cellIs" dxfId="2274" priority="1718" operator="lessThan">
      <formula>0</formula>
    </cfRule>
  </conditionalFormatting>
  <conditionalFormatting sqref="BI16">
    <cfRule type="cellIs" dxfId="2273" priority="1720" operator="lessThan">
      <formula>0</formula>
    </cfRule>
    <cfRule type="cellIs" dxfId="2272" priority="1719" operator="equal">
      <formula>0</formula>
    </cfRule>
  </conditionalFormatting>
  <conditionalFormatting sqref="BK10:BK12">
    <cfRule type="cellIs" dxfId="2271" priority="1723" operator="greaterThan">
      <formula>0</formula>
    </cfRule>
    <cfRule type="cellIs" dxfId="2270" priority="1722" operator="lessThan">
      <formula>0</formula>
    </cfRule>
    <cfRule type="cellIs" dxfId="2269" priority="1721" operator="equal">
      <formula>0</formula>
    </cfRule>
  </conditionalFormatting>
  <conditionalFormatting sqref="BK16">
    <cfRule type="cellIs" dxfId="2268" priority="1729" operator="greaterThan">
      <formula>0</formula>
    </cfRule>
    <cfRule type="cellIs" dxfId="2267" priority="1728" operator="lessThan">
      <formula>0</formula>
    </cfRule>
    <cfRule type="cellIs" dxfId="2266" priority="1727" operator="equal">
      <formula>0</formula>
    </cfRule>
  </conditionalFormatting>
  <conditionalFormatting sqref="BS10:BS12">
    <cfRule type="cellIs" dxfId="2265" priority="1696" operator="equal">
      <formula>0</formula>
    </cfRule>
    <cfRule type="cellIs" dxfId="2264" priority="1697" operator="lessThan">
      <formula>0</formula>
    </cfRule>
  </conditionalFormatting>
  <conditionalFormatting sqref="BS16">
    <cfRule type="cellIs" dxfId="2263" priority="1699" operator="lessThan">
      <formula>0</formula>
    </cfRule>
    <cfRule type="cellIs" dxfId="2262" priority="1698" operator="equal">
      <formula>0</formula>
    </cfRule>
  </conditionalFormatting>
  <conditionalFormatting sqref="BU10:BU12">
    <cfRule type="cellIs" dxfId="2261" priority="1702" operator="greaterThan">
      <formula>0</formula>
    </cfRule>
    <cfRule type="cellIs" dxfId="2260" priority="1701" operator="lessThan">
      <formula>0</formula>
    </cfRule>
    <cfRule type="cellIs" dxfId="2259" priority="1700" operator="equal">
      <formula>0</formula>
    </cfRule>
  </conditionalFormatting>
  <conditionalFormatting sqref="BU16">
    <cfRule type="cellIs" dxfId="2258" priority="1706" operator="equal">
      <formula>0</formula>
    </cfRule>
    <cfRule type="cellIs" dxfId="2257" priority="1708" operator="greaterThan">
      <formula>0</formula>
    </cfRule>
    <cfRule type="cellIs" dxfId="2256" priority="1707" operator="lessThan">
      <formula>0</formula>
    </cfRule>
  </conditionalFormatting>
  <conditionalFormatting sqref="CC10:CC12">
    <cfRule type="cellIs" dxfId="2255" priority="1681" operator="equal">
      <formula>0</formula>
    </cfRule>
    <cfRule type="cellIs" dxfId="2254" priority="1682" operator="lessThan">
      <formula>0</formula>
    </cfRule>
  </conditionalFormatting>
  <conditionalFormatting sqref="CC16">
    <cfRule type="cellIs" dxfId="2253" priority="1684" operator="lessThan">
      <formula>0</formula>
    </cfRule>
    <cfRule type="cellIs" dxfId="2252" priority="1683" operator="equal">
      <formula>0</formula>
    </cfRule>
  </conditionalFormatting>
  <conditionalFormatting sqref="CE10:CE12">
    <cfRule type="cellIs" dxfId="2251" priority="1687" operator="greaterThan">
      <formula>0</formula>
    </cfRule>
    <cfRule type="cellIs" dxfId="2250" priority="1686" operator="lessThan">
      <formula>0</formula>
    </cfRule>
    <cfRule type="cellIs" dxfId="2249" priority="1685" operator="equal">
      <formula>0</formula>
    </cfRule>
  </conditionalFormatting>
  <conditionalFormatting sqref="CE16">
    <cfRule type="cellIs" dxfId="2248" priority="1693" operator="greaterThan">
      <formula>0</formula>
    </cfRule>
    <cfRule type="cellIs" dxfId="2247" priority="1692" operator="lessThan">
      <formula>0</formula>
    </cfRule>
    <cfRule type="cellIs" dxfId="2246" priority="1691" operator="equal">
      <formula>0</formula>
    </cfRule>
  </conditionalFormatting>
  <conditionalFormatting sqref="CM10:CM12">
    <cfRule type="cellIs" dxfId="2245" priority="1667" operator="lessThan">
      <formula>0</formula>
    </cfRule>
    <cfRule type="cellIs" dxfId="2244" priority="1666" operator="equal">
      <formula>0</formula>
    </cfRule>
  </conditionalFormatting>
  <conditionalFormatting sqref="CM16">
    <cfRule type="cellIs" dxfId="2243" priority="1669" operator="lessThan">
      <formula>0</formula>
    </cfRule>
    <cfRule type="cellIs" dxfId="2242" priority="1668" operator="equal">
      <formula>0</formula>
    </cfRule>
  </conditionalFormatting>
  <conditionalFormatting sqref="CO10:CO12">
    <cfRule type="cellIs" dxfId="2241" priority="1671" operator="lessThan">
      <formula>0</formula>
    </cfRule>
    <cfRule type="cellIs" dxfId="2240" priority="1670" operator="equal">
      <formula>0</formula>
    </cfRule>
    <cfRule type="cellIs" dxfId="2239" priority="1672" operator="greaterThan">
      <formula>0</formula>
    </cfRule>
  </conditionalFormatting>
  <conditionalFormatting sqref="CO16">
    <cfRule type="cellIs" dxfId="2238" priority="1676" operator="equal">
      <formula>0</formula>
    </cfRule>
    <cfRule type="cellIs" dxfId="2237" priority="1677" operator="lessThan">
      <formula>0</formula>
    </cfRule>
    <cfRule type="cellIs" dxfId="2236" priority="1678" operator="greaterThan">
      <formula>0</formula>
    </cfRule>
  </conditionalFormatting>
  <conditionalFormatting sqref="CQ18">
    <cfRule type="colorScale" priority="16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CW10:CW12">
    <cfRule type="cellIs" dxfId="2235" priority="1651" operator="equal">
      <formula>0</formula>
    </cfRule>
    <cfRule type="cellIs" dxfId="2234" priority="1652" operator="lessThan">
      <formula>0</formula>
    </cfRule>
  </conditionalFormatting>
  <conditionalFormatting sqref="CW16">
    <cfRule type="cellIs" dxfId="2233" priority="1654" operator="lessThan">
      <formula>0</formula>
    </cfRule>
    <cfRule type="cellIs" dxfId="2232" priority="1653" operator="equal">
      <formula>0</formula>
    </cfRule>
  </conditionalFormatting>
  <conditionalFormatting sqref="CY10:CY12">
    <cfRule type="cellIs" dxfId="2231" priority="1657" operator="greaterThan">
      <formula>0</formula>
    </cfRule>
    <cfRule type="cellIs" dxfId="2230" priority="1656" operator="lessThan">
      <formula>0</formula>
    </cfRule>
    <cfRule type="cellIs" dxfId="2229" priority="1655" operator="equal">
      <formula>0</formula>
    </cfRule>
  </conditionalFormatting>
  <conditionalFormatting sqref="CY16">
    <cfRule type="cellIs" dxfId="2228" priority="1663" operator="greaterThan">
      <formula>0</formula>
    </cfRule>
    <cfRule type="cellIs" dxfId="2227" priority="1662" operator="lessThan">
      <formula>0</formula>
    </cfRule>
    <cfRule type="cellIs" dxfId="2226" priority="1661" operator="equal">
      <formula>0</formula>
    </cfRule>
  </conditionalFormatting>
  <conditionalFormatting sqref="DA18">
    <cfRule type="colorScale" priority="162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G10:DG12">
    <cfRule type="cellIs" dxfId="2225" priority="1636" operator="equal">
      <formula>0</formula>
    </cfRule>
    <cfRule type="cellIs" dxfId="2224" priority="1637" operator="lessThan">
      <formula>0</formula>
    </cfRule>
  </conditionalFormatting>
  <conditionalFormatting sqref="DG16">
    <cfRule type="cellIs" dxfId="2223" priority="1639" operator="lessThan">
      <formula>0</formula>
    </cfRule>
    <cfRule type="cellIs" dxfId="2222" priority="1638" operator="equal">
      <formula>0</formula>
    </cfRule>
  </conditionalFormatting>
  <conditionalFormatting sqref="DI10:DI12">
    <cfRule type="cellIs" dxfId="2221" priority="1642" operator="greaterThan">
      <formula>0</formula>
    </cfRule>
    <cfRule type="cellIs" dxfId="2220" priority="1641" operator="lessThan">
      <formula>0</formula>
    </cfRule>
    <cfRule type="cellIs" dxfId="2219" priority="1640" operator="equal">
      <formula>0</formula>
    </cfRule>
  </conditionalFormatting>
  <conditionalFormatting sqref="DI16">
    <cfRule type="cellIs" dxfId="2218" priority="1648" operator="greaterThan">
      <formula>0</formula>
    </cfRule>
    <cfRule type="cellIs" dxfId="2217" priority="1647" operator="lessThan">
      <formula>0</formula>
    </cfRule>
    <cfRule type="cellIs" dxfId="2216" priority="1646" operator="equal">
      <formula>0</formula>
    </cfRule>
  </conditionalFormatting>
  <conditionalFormatting sqref="DK18">
    <cfRule type="colorScale" priority="16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Q10:DQ12">
    <cfRule type="cellIs" dxfId="2215" priority="1614" operator="equal">
      <formula>0</formula>
    </cfRule>
    <cfRule type="cellIs" dxfId="2214" priority="1615" operator="lessThan">
      <formula>0</formula>
    </cfRule>
  </conditionalFormatting>
  <conditionalFormatting sqref="DQ16">
    <cfRule type="cellIs" dxfId="2213" priority="1616" operator="equal">
      <formula>0</formula>
    </cfRule>
    <cfRule type="cellIs" dxfId="2212" priority="1617" operator="lessThan">
      <formula>0</formula>
    </cfRule>
  </conditionalFormatting>
  <conditionalFormatting sqref="DS10:DS12">
    <cfRule type="cellIs" dxfId="2211" priority="1620" operator="greaterThan">
      <formula>0</formula>
    </cfRule>
    <cfRule type="cellIs" dxfId="2210" priority="1618" operator="equal">
      <formula>0</formula>
    </cfRule>
    <cfRule type="cellIs" dxfId="2209" priority="1619" operator="lessThan">
      <formula>0</formula>
    </cfRule>
  </conditionalFormatting>
  <conditionalFormatting sqref="DS16">
    <cfRule type="cellIs" dxfId="2208" priority="1626" operator="greaterThan">
      <formula>0</formula>
    </cfRule>
    <cfRule type="cellIs" dxfId="2207" priority="1625" operator="lessThan">
      <formula>0</formula>
    </cfRule>
    <cfRule type="cellIs" dxfId="2206" priority="1624" operator="equal">
      <formula>0</formula>
    </cfRule>
  </conditionalFormatting>
  <conditionalFormatting sqref="DU18">
    <cfRule type="colorScale" priority="15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A10:EA12">
    <cfRule type="cellIs" dxfId="2205" priority="1598" operator="equal">
      <formula>0</formula>
    </cfRule>
    <cfRule type="cellIs" dxfId="2204" priority="1599" operator="lessThan">
      <formula>0</formula>
    </cfRule>
  </conditionalFormatting>
  <conditionalFormatting sqref="EA16">
    <cfRule type="cellIs" dxfId="2203" priority="1600" operator="equal">
      <formula>0</formula>
    </cfRule>
    <cfRule type="cellIs" dxfId="2202" priority="1601" operator="lessThan">
      <formula>0</formula>
    </cfRule>
  </conditionalFormatting>
  <conditionalFormatting sqref="EC10:EC12">
    <cfRule type="cellIs" dxfId="2201" priority="1603" operator="lessThan">
      <formula>0</formula>
    </cfRule>
    <cfRule type="cellIs" dxfId="2200" priority="1602" operator="equal">
      <formula>0</formula>
    </cfRule>
    <cfRule type="cellIs" dxfId="2199" priority="1604" operator="greaterThan">
      <formula>0</formula>
    </cfRule>
  </conditionalFormatting>
  <conditionalFormatting sqref="EC16">
    <cfRule type="cellIs" dxfId="2198" priority="1610" operator="greaterThan">
      <formula>0</formula>
    </cfRule>
    <cfRule type="cellIs" dxfId="2197" priority="1609" operator="lessThan">
      <formula>0</formula>
    </cfRule>
    <cfRule type="cellIs" dxfId="2196" priority="1608" operator="equal">
      <formula>0</formula>
    </cfRule>
  </conditionalFormatting>
  <conditionalFormatting sqref="EE18">
    <cfRule type="colorScale" priority="157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K10:EK12">
    <cfRule type="cellIs" dxfId="2195" priority="1583" operator="lessThan">
      <formula>0</formula>
    </cfRule>
    <cfRule type="cellIs" dxfId="2194" priority="1582" operator="equal">
      <formula>0</formula>
    </cfRule>
  </conditionalFormatting>
  <conditionalFormatting sqref="EK16">
    <cfRule type="cellIs" dxfId="2193" priority="1584" operator="equal">
      <formula>0</formula>
    </cfRule>
    <cfRule type="cellIs" dxfId="2192" priority="1585" operator="lessThan">
      <formula>0</formula>
    </cfRule>
  </conditionalFormatting>
  <conditionalFormatting sqref="EM10:EM12">
    <cfRule type="cellIs" dxfId="2191" priority="1588" operator="greaterThan">
      <formula>0</formula>
    </cfRule>
    <cfRule type="cellIs" dxfId="2190" priority="1587" operator="lessThan">
      <formula>0</formula>
    </cfRule>
    <cfRule type="cellIs" dxfId="2189" priority="1586" operator="equal">
      <formula>0</formula>
    </cfRule>
  </conditionalFormatting>
  <conditionalFormatting sqref="EM16">
    <cfRule type="cellIs" dxfId="2188" priority="1593" operator="lessThan">
      <formula>0</formula>
    </cfRule>
    <cfRule type="cellIs" dxfId="2187" priority="1592" operator="equal">
      <formula>0</formula>
    </cfRule>
    <cfRule type="cellIs" dxfId="2186" priority="1594" operator="greaterThan">
      <formula>0</formula>
    </cfRule>
  </conditionalFormatting>
  <conditionalFormatting sqref="EO18">
    <cfRule type="colorScale" priority="15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U10:EU12">
    <cfRule type="cellIs" dxfId="2185" priority="1567" operator="lessThan">
      <formula>0</formula>
    </cfRule>
    <cfRule type="cellIs" dxfId="2184" priority="1566" operator="equal">
      <formula>0</formula>
    </cfRule>
  </conditionalFormatting>
  <conditionalFormatting sqref="EU16">
    <cfRule type="cellIs" dxfId="2183" priority="1568" operator="equal">
      <formula>0</formula>
    </cfRule>
    <cfRule type="cellIs" dxfId="2182" priority="1569" operator="lessThan">
      <formula>0</formula>
    </cfRule>
  </conditionalFormatting>
  <conditionalFormatting sqref="EW10:EW12">
    <cfRule type="cellIs" dxfId="2181" priority="1571" operator="lessThan">
      <formula>0</formula>
    </cfRule>
    <cfRule type="cellIs" dxfId="2180" priority="1570" operator="equal">
      <formula>0</formula>
    </cfRule>
    <cfRule type="cellIs" dxfId="2179" priority="1572" operator="greaterThan">
      <formula>0</formula>
    </cfRule>
  </conditionalFormatting>
  <conditionalFormatting sqref="EW16">
    <cfRule type="cellIs" dxfId="2178" priority="1578" operator="greaterThan">
      <formula>0</formula>
    </cfRule>
    <cfRule type="cellIs" dxfId="2177" priority="1577" operator="lessThan">
      <formula>0</formula>
    </cfRule>
    <cfRule type="cellIs" dxfId="2176" priority="1576" operator="equal">
      <formula>0</formula>
    </cfRule>
  </conditionalFormatting>
  <conditionalFormatting sqref="EY18">
    <cfRule type="colorScale" priority="15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E10:FE12">
    <cfRule type="cellIs" dxfId="2175" priority="1550" operator="equal">
      <formula>0</formula>
    </cfRule>
    <cfRule type="cellIs" dxfId="2174" priority="1551" operator="lessThan">
      <formula>0</formula>
    </cfRule>
  </conditionalFormatting>
  <conditionalFormatting sqref="FE16">
    <cfRule type="cellIs" dxfId="2173" priority="1553" operator="lessThan">
      <formula>0</formula>
    </cfRule>
    <cfRule type="cellIs" dxfId="2172" priority="1552" operator="equal">
      <formula>0</formula>
    </cfRule>
  </conditionalFormatting>
  <conditionalFormatting sqref="FG10:FG12">
    <cfRule type="cellIs" dxfId="2171" priority="1556" operator="greaterThan">
      <formula>0</formula>
    </cfRule>
    <cfRule type="cellIs" dxfId="2170" priority="1555" operator="lessThan">
      <formula>0</formula>
    </cfRule>
    <cfRule type="cellIs" dxfId="2169" priority="1554" operator="equal">
      <formula>0</formula>
    </cfRule>
  </conditionalFormatting>
  <conditionalFormatting sqref="FG16">
    <cfRule type="cellIs" dxfId="2168" priority="1560" operator="equal">
      <formula>0</formula>
    </cfRule>
    <cfRule type="cellIs" dxfId="2167" priority="1562" operator="greaterThan">
      <formula>0</formula>
    </cfRule>
    <cfRule type="cellIs" dxfId="2166" priority="1561" operator="lessThan">
      <formula>0</formula>
    </cfRule>
  </conditionalFormatting>
  <conditionalFormatting sqref="FI18">
    <cfRule type="colorScale" priority="15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O10:FO12">
    <cfRule type="cellIs" dxfId="2165" priority="1535" operator="lessThan">
      <formula>0</formula>
    </cfRule>
    <cfRule type="cellIs" dxfId="2164" priority="1534" operator="equal">
      <formula>0</formula>
    </cfRule>
  </conditionalFormatting>
  <conditionalFormatting sqref="FO16">
    <cfRule type="cellIs" dxfId="2163" priority="1537" operator="lessThan">
      <formula>0</formula>
    </cfRule>
    <cfRule type="cellIs" dxfId="2162" priority="1536" operator="equal">
      <formula>0</formula>
    </cfRule>
  </conditionalFormatting>
  <conditionalFormatting sqref="FQ10:FQ12">
    <cfRule type="cellIs" dxfId="2161" priority="1538" operator="equal">
      <formula>0</formula>
    </cfRule>
    <cfRule type="cellIs" dxfId="2160" priority="1540" operator="greaterThan">
      <formula>0</formula>
    </cfRule>
    <cfRule type="cellIs" dxfId="2159" priority="1539" operator="lessThan">
      <formula>0</formula>
    </cfRule>
  </conditionalFormatting>
  <conditionalFormatting sqref="FQ16">
    <cfRule type="cellIs" dxfId="2158" priority="1546" operator="greaterThan">
      <formula>0</formula>
    </cfRule>
    <cfRule type="cellIs" dxfId="2157" priority="1545" operator="lessThan">
      <formula>0</formula>
    </cfRule>
    <cfRule type="cellIs" dxfId="2156" priority="1544" operator="equal">
      <formula>0</formula>
    </cfRule>
  </conditionalFormatting>
  <conditionalFormatting sqref="FS18">
    <cfRule type="colorScale" priority="15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Y10:FY12">
    <cfRule type="cellIs" dxfId="2155" priority="1518" operator="equal">
      <formula>0</formula>
    </cfRule>
    <cfRule type="cellIs" dxfId="2154" priority="1519" operator="lessThan">
      <formula>0</formula>
    </cfRule>
  </conditionalFormatting>
  <conditionalFormatting sqref="FY16">
    <cfRule type="cellIs" dxfId="2153" priority="1521" operator="lessThan">
      <formula>0</formula>
    </cfRule>
    <cfRule type="cellIs" dxfId="2152" priority="1520" operator="equal">
      <formula>0</formula>
    </cfRule>
  </conditionalFormatting>
  <conditionalFormatting sqref="GA10:GA12">
    <cfRule type="cellIs" dxfId="2151" priority="1524" operator="greaterThan">
      <formula>0</formula>
    </cfRule>
    <cfRule type="cellIs" dxfId="2150" priority="1522" operator="equal">
      <formula>0</formula>
    </cfRule>
    <cfRule type="cellIs" dxfId="2149" priority="1523" operator="lessThan">
      <formula>0</formula>
    </cfRule>
  </conditionalFormatting>
  <conditionalFormatting sqref="GA16">
    <cfRule type="cellIs" dxfId="2148" priority="1529" operator="lessThan">
      <formula>0</formula>
    </cfRule>
    <cfRule type="cellIs" dxfId="2147" priority="1528" operator="equal">
      <formula>0</formula>
    </cfRule>
    <cfRule type="cellIs" dxfId="2146" priority="1530" operator="greaterThan">
      <formula>0</formula>
    </cfRule>
  </conditionalFormatting>
  <conditionalFormatting sqref="GC18">
    <cfRule type="colorScale" priority="14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I10:GI12">
    <cfRule type="cellIs" dxfId="2145" priority="1503" operator="lessThan">
      <formula>0</formula>
    </cfRule>
    <cfRule type="cellIs" dxfId="2144" priority="1502" operator="equal">
      <formula>0</formula>
    </cfRule>
  </conditionalFormatting>
  <conditionalFormatting sqref="GI16">
    <cfRule type="cellIs" dxfId="2143" priority="1505" operator="lessThan">
      <formula>0</formula>
    </cfRule>
    <cfRule type="cellIs" dxfId="2142" priority="1504" operator="equal">
      <formula>0</formula>
    </cfRule>
  </conditionalFormatting>
  <conditionalFormatting sqref="GK10:GK12">
    <cfRule type="cellIs" dxfId="2141" priority="1508" operator="greaterThan">
      <formula>0</formula>
    </cfRule>
    <cfRule type="cellIs" dxfId="2140" priority="1507" operator="lessThan">
      <formula>0</formula>
    </cfRule>
    <cfRule type="cellIs" dxfId="2139" priority="1506" operator="equal">
      <formula>0</formula>
    </cfRule>
  </conditionalFormatting>
  <conditionalFormatting sqref="GK16">
    <cfRule type="cellIs" dxfId="2138" priority="1514" operator="greaterThan">
      <formula>0</formula>
    </cfRule>
    <cfRule type="cellIs" dxfId="2137" priority="1513" operator="lessThan">
      <formula>0</formula>
    </cfRule>
    <cfRule type="cellIs" dxfId="2136" priority="1512" operator="equal">
      <formula>0</formula>
    </cfRule>
  </conditionalFormatting>
  <conditionalFormatting sqref="GM18">
    <cfRule type="colorScale" priority="14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S10:GS12">
    <cfRule type="cellIs" dxfId="2135" priority="1486" operator="equal">
      <formula>0</formula>
    </cfRule>
    <cfRule type="cellIs" dxfId="2134" priority="1487" operator="lessThan">
      <formula>0</formula>
    </cfRule>
  </conditionalFormatting>
  <conditionalFormatting sqref="GS16">
    <cfRule type="cellIs" dxfId="2133" priority="1489" operator="lessThan">
      <formula>0</formula>
    </cfRule>
    <cfRule type="cellIs" dxfId="2132" priority="1488" operator="equal">
      <formula>0</formula>
    </cfRule>
  </conditionalFormatting>
  <conditionalFormatting sqref="GU10:GU12">
    <cfRule type="cellIs" dxfId="2131" priority="1491" operator="lessThan">
      <formula>0</formula>
    </cfRule>
    <cfRule type="cellIs" dxfId="2130" priority="1490" operator="equal">
      <formula>0</formula>
    </cfRule>
    <cfRule type="cellIs" dxfId="2129" priority="1492" operator="greaterThan">
      <formula>0</formula>
    </cfRule>
  </conditionalFormatting>
  <conditionalFormatting sqref="GU16">
    <cfRule type="cellIs" dxfId="2128" priority="1498" operator="greaterThan">
      <formula>0</formula>
    </cfRule>
    <cfRule type="cellIs" dxfId="2127" priority="1497" operator="lessThan">
      <formula>0</formula>
    </cfRule>
    <cfRule type="cellIs" dxfId="2126" priority="1496" operator="equal">
      <formula>0</formula>
    </cfRule>
  </conditionalFormatting>
  <conditionalFormatting sqref="GW18">
    <cfRule type="colorScale" priority="14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C10:HC12">
    <cfRule type="cellIs" dxfId="2125" priority="1471" operator="lessThan">
      <formula>0</formula>
    </cfRule>
    <cfRule type="cellIs" dxfId="2124" priority="1470" operator="equal">
      <formula>0</formula>
    </cfRule>
  </conditionalFormatting>
  <conditionalFormatting sqref="HC16">
    <cfRule type="cellIs" dxfId="2123" priority="1473" operator="lessThan">
      <formula>0</formula>
    </cfRule>
    <cfRule type="cellIs" dxfId="2122" priority="1472" operator="equal">
      <formula>0</formula>
    </cfRule>
  </conditionalFormatting>
  <conditionalFormatting sqref="HE10:HE12">
    <cfRule type="cellIs" dxfId="2121" priority="1474" operator="equal">
      <formula>0</formula>
    </cfRule>
    <cfRule type="cellIs" dxfId="2120" priority="1476" operator="greaterThan">
      <formula>0</formula>
    </cfRule>
    <cfRule type="cellIs" dxfId="2119" priority="1475" operator="lessThan">
      <formula>0</formula>
    </cfRule>
  </conditionalFormatting>
  <conditionalFormatting sqref="HE16">
    <cfRule type="cellIs" dxfId="2118" priority="1480" operator="equal">
      <formula>0</formula>
    </cfRule>
    <cfRule type="cellIs" dxfId="2117" priority="1482" operator="greaterThan">
      <formula>0</formula>
    </cfRule>
    <cfRule type="cellIs" dxfId="2116" priority="1481" operator="lessThan">
      <formula>0</formula>
    </cfRule>
  </conditionalFormatting>
  <conditionalFormatting sqref="HG18">
    <cfRule type="colorScale" priority="14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M10:HM12">
    <cfRule type="cellIs" dxfId="2115" priority="1455" operator="lessThan">
      <formula>0</formula>
    </cfRule>
    <cfRule type="cellIs" dxfId="2114" priority="1454" operator="equal">
      <formula>0</formula>
    </cfRule>
  </conditionalFormatting>
  <conditionalFormatting sqref="HM16">
    <cfRule type="cellIs" dxfId="2113" priority="1457" operator="lessThan">
      <formula>0</formula>
    </cfRule>
    <cfRule type="cellIs" dxfId="2112" priority="1456" operator="equal">
      <formula>0</formula>
    </cfRule>
  </conditionalFormatting>
  <conditionalFormatting sqref="HO10:HO12">
    <cfRule type="cellIs" dxfId="2111" priority="1459" operator="lessThan">
      <formula>0</formula>
    </cfRule>
    <cfRule type="cellIs" dxfId="2110" priority="1460" operator="greaterThan">
      <formula>0</formula>
    </cfRule>
    <cfRule type="cellIs" dxfId="2109" priority="1458" operator="equal">
      <formula>0</formula>
    </cfRule>
  </conditionalFormatting>
  <conditionalFormatting sqref="HO16">
    <cfRule type="cellIs" dxfId="2108" priority="1466" operator="greaterThan">
      <formula>0</formula>
    </cfRule>
    <cfRule type="cellIs" dxfId="2107" priority="1465" operator="lessThan">
      <formula>0</formula>
    </cfRule>
    <cfRule type="cellIs" dxfId="2106" priority="1464" operator="equal">
      <formula>0</formula>
    </cfRule>
  </conditionalFormatting>
  <conditionalFormatting sqref="HQ18">
    <cfRule type="colorScale" priority="14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W10:HW12">
    <cfRule type="cellIs" dxfId="2105" priority="1439" operator="lessThan">
      <formula>0</formula>
    </cfRule>
    <cfRule type="cellIs" dxfId="2104" priority="1438" operator="equal">
      <formula>0</formula>
    </cfRule>
  </conditionalFormatting>
  <conditionalFormatting sqref="HW16">
    <cfRule type="cellIs" dxfId="2103" priority="1440" operator="equal">
      <formula>0</formula>
    </cfRule>
    <cfRule type="cellIs" dxfId="2102" priority="1441" operator="lessThan">
      <formula>0</formula>
    </cfRule>
  </conditionalFormatting>
  <conditionalFormatting sqref="HY10:HY12">
    <cfRule type="cellIs" dxfId="2101" priority="1442" operator="equal">
      <formula>0</formula>
    </cfRule>
    <cfRule type="cellIs" dxfId="2100" priority="1444" operator="greaterThan">
      <formula>0</formula>
    </cfRule>
    <cfRule type="cellIs" dxfId="2099" priority="1443" operator="lessThan">
      <formula>0</formula>
    </cfRule>
  </conditionalFormatting>
  <conditionalFormatting sqref="HY16">
    <cfRule type="cellIs" dxfId="2098" priority="1448" operator="equal">
      <formula>0</formula>
    </cfRule>
    <cfRule type="cellIs" dxfId="2097" priority="1450" operator="greaterThan">
      <formula>0</formula>
    </cfRule>
    <cfRule type="cellIs" dxfId="2096" priority="1449" operator="lessThan">
      <formula>0</formula>
    </cfRule>
  </conditionalFormatting>
  <conditionalFormatting sqref="IA18">
    <cfRule type="colorScale" priority="14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G10:IG12">
    <cfRule type="cellIs" dxfId="2095" priority="1423" operator="lessThan">
      <formula>0</formula>
    </cfRule>
    <cfRule type="cellIs" dxfId="2094" priority="1422" operator="equal">
      <formula>0</formula>
    </cfRule>
  </conditionalFormatting>
  <conditionalFormatting sqref="IG16">
    <cfRule type="cellIs" dxfId="2093" priority="1425" operator="lessThan">
      <formula>0</formula>
    </cfRule>
    <cfRule type="cellIs" dxfId="2092" priority="1424" operator="equal">
      <formula>0</formula>
    </cfRule>
  </conditionalFormatting>
  <conditionalFormatting sqref="II10:II12">
    <cfRule type="cellIs" dxfId="2091" priority="1428" operator="greaterThan">
      <formula>0</formula>
    </cfRule>
    <cfRule type="cellIs" dxfId="2090" priority="1427" operator="lessThan">
      <formula>0</formula>
    </cfRule>
    <cfRule type="cellIs" dxfId="2089" priority="1426" operator="equal">
      <formula>0</formula>
    </cfRule>
  </conditionalFormatting>
  <conditionalFormatting sqref="II16">
    <cfRule type="cellIs" dxfId="2088" priority="1434" operator="greaterThan">
      <formula>0</formula>
    </cfRule>
    <cfRule type="cellIs" dxfId="2087" priority="1433" operator="lessThan">
      <formula>0</formula>
    </cfRule>
    <cfRule type="cellIs" dxfId="2086" priority="1432" operator="equal">
      <formula>0</formula>
    </cfRule>
  </conditionalFormatting>
  <conditionalFormatting sqref="IK18">
    <cfRule type="colorScale" priority="140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Q10:IQ12">
    <cfRule type="cellIs" dxfId="2085" priority="1407" operator="lessThan">
      <formula>0</formula>
    </cfRule>
    <cfRule type="cellIs" dxfId="2084" priority="1406" operator="equal">
      <formula>0</formula>
    </cfRule>
  </conditionalFormatting>
  <conditionalFormatting sqref="IQ16">
    <cfRule type="cellIs" dxfId="2083" priority="1409" operator="lessThan">
      <formula>0</formula>
    </cfRule>
    <cfRule type="cellIs" dxfId="2082" priority="1408" operator="equal">
      <formula>0</formula>
    </cfRule>
  </conditionalFormatting>
  <conditionalFormatting sqref="IS10:IS12">
    <cfRule type="cellIs" dxfId="2081" priority="1410" operator="equal">
      <formula>0</formula>
    </cfRule>
    <cfRule type="cellIs" dxfId="2080" priority="1412" operator="greaterThan">
      <formula>0</formula>
    </cfRule>
    <cfRule type="cellIs" dxfId="2079" priority="1411" operator="lessThan">
      <formula>0</formula>
    </cfRule>
  </conditionalFormatting>
  <conditionalFormatting sqref="IS16">
    <cfRule type="cellIs" dxfId="2078" priority="1417" operator="lessThan">
      <formula>0</formula>
    </cfRule>
    <cfRule type="cellIs" dxfId="2077" priority="1416" operator="equal">
      <formula>0</formula>
    </cfRule>
    <cfRule type="cellIs" dxfId="2076" priority="1418" operator="greaterThan">
      <formula>0</formula>
    </cfRule>
  </conditionalFormatting>
  <conditionalFormatting sqref="IU18">
    <cfRule type="colorScale" priority="138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A10:JA12">
    <cfRule type="cellIs" dxfId="2075" priority="1391" operator="lessThan">
      <formula>0</formula>
    </cfRule>
    <cfRule type="cellIs" dxfId="2074" priority="1390" operator="equal">
      <formula>0</formula>
    </cfRule>
  </conditionalFormatting>
  <conditionalFormatting sqref="JA16">
    <cfRule type="cellIs" dxfId="2073" priority="1393" operator="lessThan">
      <formula>0</formula>
    </cfRule>
    <cfRule type="cellIs" dxfId="2072" priority="1392" operator="equal">
      <formula>0</formula>
    </cfRule>
  </conditionalFormatting>
  <conditionalFormatting sqref="JC10:JC12">
    <cfRule type="cellIs" dxfId="2071" priority="1396" operator="greaterThan">
      <formula>0</formula>
    </cfRule>
    <cfRule type="cellIs" dxfId="2070" priority="1395" operator="lessThan">
      <formula>0</formula>
    </cfRule>
    <cfRule type="cellIs" dxfId="2069" priority="1394" operator="equal">
      <formula>0</formula>
    </cfRule>
  </conditionalFormatting>
  <conditionalFormatting sqref="JC16">
    <cfRule type="cellIs" dxfId="2068" priority="1401" operator="lessThan">
      <formula>0</formula>
    </cfRule>
    <cfRule type="cellIs" dxfId="2067" priority="1402" operator="greaterThan">
      <formula>0</formula>
    </cfRule>
    <cfRule type="cellIs" dxfId="2066" priority="1400" operator="equal">
      <formula>0</formula>
    </cfRule>
  </conditionalFormatting>
  <conditionalFormatting sqref="JE18">
    <cfRule type="colorScale" priority="13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K10:JK12">
    <cfRule type="cellIs" dxfId="2065" priority="1375" operator="lessThan">
      <formula>0</formula>
    </cfRule>
    <cfRule type="cellIs" dxfId="2064" priority="1374" operator="equal">
      <formula>0</formula>
    </cfRule>
  </conditionalFormatting>
  <conditionalFormatting sqref="JK16">
    <cfRule type="cellIs" dxfId="2063" priority="1377" operator="lessThan">
      <formula>0</formula>
    </cfRule>
    <cfRule type="cellIs" dxfId="2062" priority="1376" operator="equal">
      <formula>0</formula>
    </cfRule>
  </conditionalFormatting>
  <conditionalFormatting sqref="JM10:JM12">
    <cfRule type="cellIs" dxfId="2061" priority="1378" operator="equal">
      <formula>0</formula>
    </cfRule>
    <cfRule type="cellIs" dxfId="2060" priority="1380" operator="greaterThan">
      <formula>0</formula>
    </cfRule>
    <cfRule type="cellIs" dxfId="2059" priority="1379" operator="lessThan">
      <formula>0</formula>
    </cfRule>
  </conditionalFormatting>
  <conditionalFormatting sqref="JM16">
    <cfRule type="cellIs" dxfId="2058" priority="1386" operator="greaterThan">
      <formula>0</formula>
    </cfRule>
    <cfRule type="cellIs" dxfId="2057" priority="1385" operator="lessThan">
      <formula>0</formula>
    </cfRule>
    <cfRule type="cellIs" dxfId="2056" priority="1384" operator="equal">
      <formula>0</formula>
    </cfRule>
  </conditionalFormatting>
  <conditionalFormatting sqref="JO18">
    <cfRule type="colorScale" priority="13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U10:JU12">
    <cfRule type="cellIs" dxfId="2055" priority="1358" operator="equal">
      <formula>0</formula>
    </cfRule>
    <cfRule type="cellIs" dxfId="2054" priority="1359" operator="lessThan">
      <formula>0</formula>
    </cfRule>
  </conditionalFormatting>
  <conditionalFormatting sqref="JU16">
    <cfRule type="cellIs" dxfId="2053" priority="1361" operator="lessThan">
      <formula>0</formula>
    </cfRule>
    <cfRule type="cellIs" dxfId="2052" priority="1360" operator="equal">
      <formula>0</formula>
    </cfRule>
  </conditionalFormatting>
  <conditionalFormatting sqref="JW10:JW12">
    <cfRule type="cellIs" dxfId="2051" priority="1364" operator="greaterThan">
      <formula>0</formula>
    </cfRule>
    <cfRule type="cellIs" dxfId="2050" priority="1363" operator="lessThan">
      <formula>0</formula>
    </cfRule>
    <cfRule type="cellIs" dxfId="2049" priority="1362" operator="equal">
      <formula>0</formula>
    </cfRule>
  </conditionalFormatting>
  <conditionalFormatting sqref="JW16">
    <cfRule type="cellIs" dxfId="2048" priority="1370" operator="greaterThan">
      <formula>0</formula>
    </cfRule>
    <cfRule type="cellIs" dxfId="2047" priority="1369" operator="lessThan">
      <formula>0</formula>
    </cfRule>
    <cfRule type="cellIs" dxfId="2046" priority="1368" operator="equal">
      <formula>0</formula>
    </cfRule>
  </conditionalFormatting>
  <conditionalFormatting sqref="JY18">
    <cfRule type="colorScale" priority="13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E10:KE12">
    <cfRule type="cellIs" dxfId="2045" priority="1343" operator="lessThan">
      <formula>0</formula>
    </cfRule>
    <cfRule type="cellIs" dxfId="2044" priority="1342" operator="equal">
      <formula>0</formula>
    </cfRule>
  </conditionalFormatting>
  <conditionalFormatting sqref="KE16">
    <cfRule type="cellIs" dxfId="2043" priority="1344" operator="equal">
      <formula>0</formula>
    </cfRule>
    <cfRule type="cellIs" dxfId="2042" priority="1345" operator="lessThan">
      <formula>0</formula>
    </cfRule>
  </conditionalFormatting>
  <conditionalFormatting sqref="KG10:KG12">
    <cfRule type="cellIs" dxfId="2041" priority="1346" operator="equal">
      <formula>0</formula>
    </cfRule>
    <cfRule type="cellIs" dxfId="2040" priority="1347" operator="lessThan">
      <formula>0</formula>
    </cfRule>
    <cfRule type="cellIs" dxfId="2039" priority="1348" operator="greaterThan">
      <formula>0</formula>
    </cfRule>
  </conditionalFormatting>
  <conditionalFormatting sqref="KG16">
    <cfRule type="cellIs" dxfId="2038" priority="1354" operator="greaterThan">
      <formula>0</formula>
    </cfRule>
    <cfRule type="cellIs" dxfId="2037" priority="1353" operator="lessThan">
      <formula>0</formula>
    </cfRule>
    <cfRule type="cellIs" dxfId="2036" priority="1352" operator="equal">
      <formula>0</formula>
    </cfRule>
  </conditionalFormatting>
  <conditionalFormatting sqref="KI18">
    <cfRule type="colorScale" priority="13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O10:KO12">
    <cfRule type="cellIs" dxfId="2035" priority="1327" operator="lessThan">
      <formula>0</formula>
    </cfRule>
    <cfRule type="cellIs" dxfId="2034" priority="1326" operator="equal">
      <formula>0</formula>
    </cfRule>
  </conditionalFormatting>
  <conditionalFormatting sqref="KO16">
    <cfRule type="cellIs" dxfId="2033" priority="1329" operator="lessThan">
      <formula>0</formula>
    </cfRule>
    <cfRule type="cellIs" dxfId="2032" priority="1328" operator="equal">
      <formula>0</formula>
    </cfRule>
  </conditionalFormatting>
  <conditionalFormatting sqref="KQ10:KQ12">
    <cfRule type="cellIs" dxfId="2031" priority="1332" operator="greaterThan">
      <formula>0</formula>
    </cfRule>
    <cfRule type="cellIs" dxfId="2030" priority="1331" operator="lessThan">
      <formula>0</formula>
    </cfRule>
    <cfRule type="cellIs" dxfId="2029" priority="1330" operator="equal">
      <formula>0</formula>
    </cfRule>
  </conditionalFormatting>
  <conditionalFormatting sqref="KQ16">
    <cfRule type="cellIs" dxfId="2028" priority="1338" operator="greaterThan">
      <formula>0</formula>
    </cfRule>
    <cfRule type="cellIs" dxfId="2027" priority="1337" operator="lessThan">
      <formula>0</formula>
    </cfRule>
    <cfRule type="cellIs" dxfId="2026" priority="1336" operator="equal">
      <formula>0</formula>
    </cfRule>
  </conditionalFormatting>
  <conditionalFormatting sqref="KS18">
    <cfRule type="colorScale" priority="13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Y10:KY12">
    <cfRule type="cellIs" dxfId="2025" priority="1311" operator="lessThan">
      <formula>0</formula>
    </cfRule>
    <cfRule type="cellIs" dxfId="2024" priority="1310" operator="equal">
      <formula>0</formula>
    </cfRule>
  </conditionalFormatting>
  <conditionalFormatting sqref="KY16">
    <cfRule type="cellIs" dxfId="2023" priority="1312" operator="equal">
      <formula>0</formula>
    </cfRule>
    <cfRule type="cellIs" dxfId="2022" priority="1313" operator="lessThan">
      <formula>0</formula>
    </cfRule>
  </conditionalFormatting>
  <conditionalFormatting sqref="LA10:LA12">
    <cfRule type="cellIs" dxfId="2021" priority="1316" operator="greaterThan">
      <formula>0</formula>
    </cfRule>
    <cfRule type="cellIs" dxfId="2020" priority="1315" operator="lessThan">
      <formula>0</formula>
    </cfRule>
    <cfRule type="cellIs" dxfId="2019" priority="1314" operator="equal">
      <formula>0</formula>
    </cfRule>
  </conditionalFormatting>
  <conditionalFormatting sqref="LA16">
    <cfRule type="cellIs" dxfId="2018" priority="1320" operator="equal">
      <formula>0</formula>
    </cfRule>
    <cfRule type="cellIs" dxfId="2017" priority="1322" operator="greaterThan">
      <formula>0</formula>
    </cfRule>
    <cfRule type="cellIs" dxfId="2016" priority="1321" operator="lessThan">
      <formula>0</formula>
    </cfRule>
  </conditionalFormatting>
  <conditionalFormatting sqref="LC18">
    <cfRule type="colorScale" priority="12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I10:LI12">
    <cfRule type="cellIs" dxfId="2015" priority="1294" operator="equal">
      <formula>0</formula>
    </cfRule>
    <cfRule type="cellIs" dxfId="2014" priority="1295" operator="lessThan">
      <formula>0</formula>
    </cfRule>
  </conditionalFormatting>
  <conditionalFormatting sqref="LI16">
    <cfRule type="cellIs" dxfId="2013" priority="1297" operator="lessThan">
      <formula>0</formula>
    </cfRule>
    <cfRule type="cellIs" dxfId="2012" priority="1296" operator="equal">
      <formula>0</formula>
    </cfRule>
  </conditionalFormatting>
  <conditionalFormatting sqref="LK10:LK12">
    <cfRule type="cellIs" dxfId="2011" priority="1298" operator="equal">
      <formula>0</formula>
    </cfRule>
    <cfRule type="cellIs" dxfId="2010" priority="1300" operator="greaterThan">
      <formula>0</formula>
    </cfRule>
    <cfRule type="cellIs" dxfId="2009" priority="1299" operator="lessThan">
      <formula>0</formula>
    </cfRule>
  </conditionalFormatting>
  <conditionalFormatting sqref="LK16">
    <cfRule type="cellIs" dxfId="2008" priority="1306" operator="greaterThan">
      <formula>0</formula>
    </cfRule>
    <cfRule type="cellIs" dxfId="2007" priority="1305" operator="lessThan">
      <formula>0</formula>
    </cfRule>
    <cfRule type="cellIs" dxfId="2006" priority="1304" operator="equal">
      <formula>0</formula>
    </cfRule>
  </conditionalFormatting>
  <conditionalFormatting sqref="LM18">
    <cfRule type="colorScale" priority="12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S10:LS12">
    <cfRule type="cellIs" dxfId="2005" priority="1278" operator="equal">
      <formula>0</formula>
    </cfRule>
    <cfRule type="cellIs" dxfId="2004" priority="1279" operator="lessThan">
      <formula>0</formula>
    </cfRule>
  </conditionalFormatting>
  <conditionalFormatting sqref="LS16">
    <cfRule type="cellIs" dxfId="2003" priority="1281" operator="lessThan">
      <formula>0</formula>
    </cfRule>
    <cfRule type="cellIs" dxfId="2002" priority="1280" operator="equal">
      <formula>0</formula>
    </cfRule>
  </conditionalFormatting>
  <conditionalFormatting sqref="LU10:LU12">
    <cfRule type="cellIs" dxfId="2001" priority="1284" operator="greaterThan">
      <formula>0</formula>
    </cfRule>
    <cfRule type="cellIs" dxfId="2000" priority="1283" operator="lessThan">
      <formula>0</formula>
    </cfRule>
    <cfRule type="cellIs" dxfId="1999" priority="1282" operator="equal">
      <formula>0</formula>
    </cfRule>
  </conditionalFormatting>
  <conditionalFormatting sqref="LU16">
    <cfRule type="cellIs" dxfId="1998" priority="1288" operator="equal">
      <formula>0</formula>
    </cfRule>
    <cfRule type="cellIs" dxfId="1997" priority="1290" operator="greaterThan">
      <formula>0</formula>
    </cfRule>
    <cfRule type="cellIs" dxfId="1996" priority="1289" operator="lessThan">
      <formula>0</formula>
    </cfRule>
  </conditionalFormatting>
  <conditionalFormatting sqref="LW18">
    <cfRule type="colorScale" priority="12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C10:MC12">
    <cfRule type="cellIs" dxfId="1995" priority="1262" operator="equal">
      <formula>0</formula>
    </cfRule>
    <cfRule type="cellIs" dxfId="1994" priority="1263" operator="lessThan">
      <formula>0</formula>
    </cfRule>
  </conditionalFormatting>
  <conditionalFormatting sqref="MC16">
    <cfRule type="cellIs" dxfId="1993" priority="1265" operator="lessThan">
      <formula>0</formula>
    </cfRule>
    <cfRule type="cellIs" dxfId="1992" priority="1264" operator="equal">
      <formula>0</formula>
    </cfRule>
  </conditionalFormatting>
  <conditionalFormatting sqref="ME10:ME12">
    <cfRule type="cellIs" dxfId="1991" priority="1268" operator="greaterThan">
      <formula>0</formula>
    </cfRule>
    <cfRule type="cellIs" dxfId="1990" priority="1267" operator="lessThan">
      <formula>0</formula>
    </cfRule>
    <cfRule type="cellIs" dxfId="1989" priority="1266" operator="equal">
      <formula>0</formula>
    </cfRule>
  </conditionalFormatting>
  <conditionalFormatting sqref="ME16">
    <cfRule type="cellIs" dxfId="1988" priority="1274" operator="greaterThan">
      <formula>0</formula>
    </cfRule>
    <cfRule type="cellIs" dxfId="1987" priority="1272" operator="equal">
      <formula>0</formula>
    </cfRule>
    <cfRule type="cellIs" dxfId="1986" priority="1273" operator="lessThan">
      <formula>0</formula>
    </cfRule>
  </conditionalFormatting>
  <conditionalFormatting sqref="MG18">
    <cfRule type="colorScale" priority="12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M10:MM12">
    <cfRule type="cellIs" dxfId="1985" priority="1247" operator="lessThan">
      <formula>0</formula>
    </cfRule>
    <cfRule type="cellIs" dxfId="1984" priority="1246" operator="equal">
      <formula>0</formula>
    </cfRule>
  </conditionalFormatting>
  <conditionalFormatting sqref="MM16">
    <cfRule type="cellIs" dxfId="1983" priority="1248" operator="equal">
      <formula>0</formula>
    </cfRule>
    <cfRule type="cellIs" dxfId="1982" priority="1249" operator="lessThan">
      <formula>0</formula>
    </cfRule>
  </conditionalFormatting>
  <conditionalFormatting sqref="MO10:MO12">
    <cfRule type="cellIs" dxfId="1981" priority="1252" operator="greaterThan">
      <formula>0</formula>
    </cfRule>
    <cfRule type="cellIs" dxfId="1980" priority="1251" operator="lessThan">
      <formula>0</formula>
    </cfRule>
    <cfRule type="cellIs" dxfId="1979" priority="1250" operator="equal">
      <formula>0</formula>
    </cfRule>
  </conditionalFormatting>
  <conditionalFormatting sqref="MO16">
    <cfRule type="cellIs" dxfId="1978" priority="1258" operator="greaterThan">
      <formula>0</formula>
    </cfRule>
    <cfRule type="cellIs" dxfId="1977" priority="1256" operator="equal">
      <formula>0</formula>
    </cfRule>
    <cfRule type="cellIs" dxfId="1976" priority="1257" operator="lessThan">
      <formula>0</formula>
    </cfRule>
  </conditionalFormatting>
  <conditionalFormatting sqref="MQ18">
    <cfRule type="colorScale" priority="12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W10:MW12">
    <cfRule type="cellIs" dxfId="1975" priority="1230" operator="equal">
      <formula>0</formula>
    </cfRule>
    <cfRule type="cellIs" dxfId="1974" priority="1231" operator="lessThan">
      <formula>0</formula>
    </cfRule>
  </conditionalFormatting>
  <conditionalFormatting sqref="MW16">
    <cfRule type="cellIs" dxfId="1973" priority="1233" operator="lessThan">
      <formula>0</formula>
    </cfRule>
    <cfRule type="cellIs" dxfId="1972" priority="1232" operator="equal">
      <formula>0</formula>
    </cfRule>
  </conditionalFormatting>
  <conditionalFormatting sqref="MY10:MY12">
    <cfRule type="cellIs" dxfId="1971" priority="1235" operator="lessThan">
      <formula>0</formula>
    </cfRule>
    <cfRule type="cellIs" dxfId="1970" priority="1236" operator="greaterThan">
      <formula>0</formula>
    </cfRule>
    <cfRule type="cellIs" dxfId="1969" priority="1234" operator="equal">
      <formula>0</formula>
    </cfRule>
  </conditionalFormatting>
  <conditionalFormatting sqref="MY16">
    <cfRule type="cellIs" dxfId="1968" priority="1242" operator="greaterThan">
      <formula>0</formula>
    </cfRule>
    <cfRule type="cellIs" dxfId="1967" priority="1241" operator="lessThan">
      <formula>0</formula>
    </cfRule>
    <cfRule type="cellIs" dxfId="1966" priority="1240" operator="equal">
      <formula>0</formula>
    </cfRule>
  </conditionalFormatting>
  <conditionalFormatting sqref="NA18">
    <cfRule type="colorScale" priority="12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G10:NG12">
    <cfRule type="cellIs" dxfId="1965" priority="1214" operator="equal">
      <formula>0</formula>
    </cfRule>
    <cfRule type="cellIs" dxfId="1964" priority="1215" operator="lessThan">
      <formula>0</formula>
    </cfRule>
  </conditionalFormatting>
  <conditionalFormatting sqref="NG16">
    <cfRule type="cellIs" dxfId="1963" priority="1217" operator="lessThan">
      <formula>0</formula>
    </cfRule>
    <cfRule type="cellIs" dxfId="1962" priority="1216" operator="equal">
      <formula>0</formula>
    </cfRule>
  </conditionalFormatting>
  <conditionalFormatting sqref="NI10:NI12">
    <cfRule type="cellIs" dxfId="1961" priority="1220" operator="greaterThan">
      <formula>0</formula>
    </cfRule>
    <cfRule type="cellIs" dxfId="1960" priority="1219" operator="lessThan">
      <formula>0</formula>
    </cfRule>
    <cfRule type="cellIs" dxfId="1959" priority="1218" operator="equal">
      <formula>0</formula>
    </cfRule>
  </conditionalFormatting>
  <conditionalFormatting sqref="NI16">
    <cfRule type="cellIs" dxfId="1958" priority="1226" operator="greaterThan">
      <formula>0</formula>
    </cfRule>
    <cfRule type="cellIs" dxfId="1957" priority="1225" operator="lessThan">
      <formula>0</formula>
    </cfRule>
    <cfRule type="cellIs" dxfId="1956" priority="1224" operator="equal">
      <formula>0</formula>
    </cfRule>
  </conditionalFormatting>
  <conditionalFormatting sqref="NK18">
    <cfRule type="colorScale" priority="11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Q10:NQ12">
    <cfRule type="cellIs" dxfId="1955" priority="1199" operator="lessThan">
      <formula>0</formula>
    </cfRule>
    <cfRule type="cellIs" dxfId="1954" priority="1198" operator="equal">
      <formula>0</formula>
    </cfRule>
  </conditionalFormatting>
  <conditionalFormatting sqref="NQ16">
    <cfRule type="cellIs" dxfId="1953" priority="1201" operator="lessThan">
      <formula>0</formula>
    </cfRule>
    <cfRule type="cellIs" dxfId="1952" priority="1200" operator="equal">
      <formula>0</formula>
    </cfRule>
  </conditionalFormatting>
  <conditionalFormatting sqref="NS10:NS12">
    <cfRule type="cellIs" dxfId="1951" priority="1202" operator="equal">
      <formula>0</formula>
    </cfRule>
    <cfRule type="cellIs" dxfId="1950" priority="1204" operator="greaterThan">
      <formula>0</formula>
    </cfRule>
    <cfRule type="cellIs" dxfId="1949" priority="1203" operator="lessThan">
      <formula>0</formula>
    </cfRule>
  </conditionalFormatting>
  <conditionalFormatting sqref="NS16">
    <cfRule type="cellIs" dxfId="1948" priority="1210" operator="greaterThan">
      <formula>0</formula>
    </cfRule>
    <cfRule type="cellIs" dxfId="1947" priority="1209" operator="lessThan">
      <formula>0</formula>
    </cfRule>
    <cfRule type="cellIs" dxfId="1946" priority="1208" operator="equal">
      <formula>0</formula>
    </cfRule>
  </conditionalFormatting>
  <conditionalFormatting sqref="NU18">
    <cfRule type="colorScale" priority="117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A10:OA12">
    <cfRule type="cellIs" dxfId="1945" priority="1183" operator="lessThan">
      <formula>0</formula>
    </cfRule>
    <cfRule type="cellIs" dxfId="1944" priority="1182" operator="equal">
      <formula>0</formula>
    </cfRule>
  </conditionalFormatting>
  <conditionalFormatting sqref="OA16">
    <cfRule type="cellIs" dxfId="1943" priority="1184" operator="equal">
      <formula>0</formula>
    </cfRule>
    <cfRule type="cellIs" dxfId="1942" priority="1185" operator="lessThan">
      <formula>0</formula>
    </cfRule>
  </conditionalFormatting>
  <conditionalFormatting sqref="OC10:OC12">
    <cfRule type="cellIs" dxfId="1941" priority="1188" operator="greaterThan">
      <formula>0</formula>
    </cfRule>
    <cfRule type="cellIs" dxfId="1940" priority="1187" operator="lessThan">
      <formula>0</formula>
    </cfRule>
    <cfRule type="cellIs" dxfId="1939" priority="1186" operator="equal">
      <formula>0</formula>
    </cfRule>
  </conditionalFormatting>
  <conditionalFormatting sqref="OC16">
    <cfRule type="cellIs" dxfId="1938" priority="1194" operator="greaterThan">
      <formula>0</formula>
    </cfRule>
    <cfRule type="cellIs" dxfId="1937" priority="1193" operator="lessThan">
      <formula>0</formula>
    </cfRule>
    <cfRule type="cellIs" dxfId="1936" priority="1192" operator="equal">
      <formula>0</formula>
    </cfRule>
  </conditionalFormatting>
  <conditionalFormatting sqref="OE18">
    <cfRule type="colorScale" priority="11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K10:OK12">
    <cfRule type="cellIs" dxfId="1935" priority="1167" operator="lessThan">
      <formula>0</formula>
    </cfRule>
    <cfRule type="cellIs" dxfId="1934" priority="1166" operator="equal">
      <formula>0</formula>
    </cfRule>
  </conditionalFormatting>
  <conditionalFormatting sqref="OK16">
    <cfRule type="cellIs" dxfId="1933" priority="1169" operator="lessThan">
      <formula>0</formula>
    </cfRule>
    <cfRule type="cellIs" dxfId="1932" priority="1168" operator="equal">
      <formula>0</formula>
    </cfRule>
  </conditionalFormatting>
  <conditionalFormatting sqref="OM10:OM12">
    <cfRule type="cellIs" dxfId="1931" priority="1170" operator="equal">
      <formula>0</formula>
    </cfRule>
    <cfRule type="cellIs" dxfId="1930" priority="1172" operator="greaterThan">
      <formula>0</formula>
    </cfRule>
    <cfRule type="cellIs" dxfId="1929" priority="1171" operator="lessThan">
      <formula>0</formula>
    </cfRule>
  </conditionalFormatting>
  <conditionalFormatting sqref="OM16">
    <cfRule type="cellIs" dxfId="1928" priority="1178" operator="greaterThan">
      <formula>0</formula>
    </cfRule>
    <cfRule type="cellIs" dxfId="1927" priority="1177" operator="lessThan">
      <formula>0</formula>
    </cfRule>
    <cfRule type="cellIs" dxfId="1926" priority="1176" operator="equal">
      <formula>0</formula>
    </cfRule>
  </conditionalFormatting>
  <conditionalFormatting sqref="OO18">
    <cfRule type="colorScale" priority="11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U10:OU12">
    <cfRule type="cellIs" dxfId="1925" priority="1150" operator="equal">
      <formula>0</formula>
    </cfRule>
    <cfRule type="cellIs" dxfId="1924" priority="1151" operator="lessThan">
      <formula>0</formula>
    </cfRule>
  </conditionalFormatting>
  <conditionalFormatting sqref="OU16">
    <cfRule type="cellIs" dxfId="1923" priority="1153" operator="lessThan">
      <formula>0</formula>
    </cfRule>
    <cfRule type="cellIs" dxfId="1922" priority="1152" operator="equal">
      <formula>0</formula>
    </cfRule>
  </conditionalFormatting>
  <conditionalFormatting sqref="OW10:OW12">
    <cfRule type="cellIs" dxfId="1921" priority="1155" operator="lessThan">
      <formula>0</formula>
    </cfRule>
    <cfRule type="cellIs" dxfId="1920" priority="1154" operator="equal">
      <formula>0</formula>
    </cfRule>
    <cfRule type="cellIs" dxfId="1919" priority="1156" operator="greaterThan">
      <formula>0</formula>
    </cfRule>
  </conditionalFormatting>
  <conditionalFormatting sqref="OW16">
    <cfRule type="cellIs" dxfId="1918" priority="1162" operator="greaterThan">
      <formula>0</formula>
    </cfRule>
    <cfRule type="cellIs" dxfId="1917" priority="1160" operator="equal">
      <formula>0</formula>
    </cfRule>
    <cfRule type="cellIs" dxfId="1916" priority="1161" operator="lessThan">
      <formula>0</formula>
    </cfRule>
  </conditionalFormatting>
  <conditionalFormatting sqref="OY18">
    <cfRule type="colorScale" priority="11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E10:PE12">
    <cfRule type="cellIs" dxfId="1915" priority="1135" operator="lessThan">
      <formula>0</formula>
    </cfRule>
    <cfRule type="cellIs" dxfId="1914" priority="1134" operator="equal">
      <formula>0</formula>
    </cfRule>
  </conditionalFormatting>
  <conditionalFormatting sqref="PE16">
    <cfRule type="cellIs" dxfId="1913" priority="1137" operator="lessThan">
      <formula>0</formula>
    </cfRule>
    <cfRule type="cellIs" dxfId="1912" priority="1136" operator="equal">
      <formula>0</formula>
    </cfRule>
  </conditionalFormatting>
  <conditionalFormatting sqref="PG10:PG12">
    <cfRule type="cellIs" dxfId="1911" priority="1138" operator="equal">
      <formula>0</formula>
    </cfRule>
    <cfRule type="cellIs" dxfId="1910" priority="1139" operator="lessThan">
      <formula>0</formula>
    </cfRule>
    <cfRule type="cellIs" dxfId="1909" priority="1140" operator="greaterThan">
      <formula>0</formula>
    </cfRule>
  </conditionalFormatting>
  <conditionalFormatting sqref="PG16">
    <cfRule type="cellIs" dxfId="1908" priority="1144" operator="equal">
      <formula>0</formula>
    </cfRule>
    <cfRule type="cellIs" dxfId="1907" priority="1146" operator="greaterThan">
      <formula>0</formula>
    </cfRule>
    <cfRule type="cellIs" dxfId="1906" priority="1145" operator="lessThan">
      <formula>0</formula>
    </cfRule>
  </conditionalFormatting>
  <conditionalFormatting sqref="PI18">
    <cfRule type="colorScale" priority="11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O10:PO12">
    <cfRule type="cellIs" dxfId="1905" priority="1118" operator="equal">
      <formula>0</formula>
    </cfRule>
    <cfRule type="cellIs" dxfId="1904" priority="1119" operator="lessThan">
      <formula>0</formula>
    </cfRule>
  </conditionalFormatting>
  <conditionalFormatting sqref="PO16">
    <cfRule type="cellIs" dxfId="1903" priority="1121" operator="lessThan">
      <formula>0</formula>
    </cfRule>
    <cfRule type="cellIs" dxfId="1902" priority="1120" operator="equal">
      <formula>0</formula>
    </cfRule>
  </conditionalFormatting>
  <conditionalFormatting sqref="PQ10:PQ12">
    <cfRule type="cellIs" dxfId="1901" priority="1124" operator="greaterThan">
      <formula>0</formula>
    </cfRule>
    <cfRule type="cellIs" dxfId="1900" priority="1123" operator="lessThan">
      <formula>0</formula>
    </cfRule>
    <cfRule type="cellIs" dxfId="1899" priority="1122" operator="equal">
      <formula>0</formula>
    </cfRule>
  </conditionalFormatting>
  <conditionalFormatting sqref="PQ16">
    <cfRule type="cellIs" dxfId="1898" priority="1128" operator="equal">
      <formula>0</formula>
    </cfRule>
    <cfRule type="cellIs" dxfId="1897" priority="1130" operator="greaterThan">
      <formula>0</formula>
    </cfRule>
    <cfRule type="cellIs" dxfId="1896" priority="1129" operator="lessThan">
      <formula>0</formula>
    </cfRule>
  </conditionalFormatting>
  <conditionalFormatting sqref="PS18">
    <cfRule type="colorScale" priority="10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Y10:PY12">
    <cfRule type="cellIs" dxfId="1895" priority="1102" operator="equal">
      <formula>0</formula>
    </cfRule>
    <cfRule type="cellIs" dxfId="1894" priority="1103" operator="lessThan">
      <formula>0</formula>
    </cfRule>
  </conditionalFormatting>
  <conditionalFormatting sqref="PY16">
    <cfRule type="cellIs" dxfId="1893" priority="1105" operator="lessThan">
      <formula>0</formula>
    </cfRule>
    <cfRule type="cellIs" dxfId="1892" priority="1104" operator="equal">
      <formula>0</formula>
    </cfRule>
  </conditionalFormatting>
  <conditionalFormatting sqref="QA10:QA12">
    <cfRule type="cellIs" dxfId="1891" priority="1107" operator="lessThan">
      <formula>0</formula>
    </cfRule>
    <cfRule type="cellIs" dxfId="1890" priority="1106" operator="equal">
      <formula>0</formula>
    </cfRule>
    <cfRule type="cellIs" dxfId="1889" priority="1108" operator="greaterThan">
      <formula>0</formula>
    </cfRule>
  </conditionalFormatting>
  <conditionalFormatting sqref="QA16">
    <cfRule type="cellIs" dxfId="1888" priority="1112" operator="equal">
      <formula>0</formula>
    </cfRule>
    <cfRule type="cellIs" dxfId="1887" priority="1113" operator="lessThan">
      <formula>0</formula>
    </cfRule>
    <cfRule type="cellIs" dxfId="1886" priority="1114" operator="greaterThan">
      <formula>0</formula>
    </cfRule>
  </conditionalFormatting>
  <conditionalFormatting sqref="QC18">
    <cfRule type="colorScale" priority="10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I10:QI12">
    <cfRule type="cellIs" dxfId="1885" priority="1087" operator="lessThan">
      <formula>0</formula>
    </cfRule>
    <cfRule type="cellIs" dxfId="1884" priority="1086" operator="equal">
      <formula>0</formula>
    </cfRule>
  </conditionalFormatting>
  <conditionalFormatting sqref="QI16">
    <cfRule type="cellIs" dxfId="1883" priority="1089" operator="lessThan">
      <formula>0</formula>
    </cfRule>
    <cfRule type="cellIs" dxfId="1882" priority="1088" operator="equal">
      <formula>0</formula>
    </cfRule>
  </conditionalFormatting>
  <conditionalFormatting sqref="QK10:QK12">
    <cfRule type="cellIs" dxfId="1881" priority="1092" operator="greaterThan">
      <formula>0</formula>
    </cfRule>
    <cfRule type="cellIs" dxfId="1880" priority="1091" operator="lessThan">
      <formula>0</formula>
    </cfRule>
    <cfRule type="cellIs" dxfId="1879" priority="1090" operator="equal">
      <formula>0</formula>
    </cfRule>
  </conditionalFormatting>
  <conditionalFormatting sqref="QK16">
    <cfRule type="cellIs" dxfId="1878" priority="1098" operator="greaterThan">
      <formula>0</formula>
    </cfRule>
    <cfRule type="cellIs" dxfId="1877" priority="1097" operator="lessThan">
      <formula>0</formula>
    </cfRule>
    <cfRule type="cellIs" dxfId="1876" priority="1096" operator="equal">
      <formula>0</formula>
    </cfRule>
  </conditionalFormatting>
  <conditionalFormatting sqref="QM18">
    <cfRule type="colorScale" priority="10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S10:QS12">
    <cfRule type="cellIs" dxfId="1875" priority="1070" operator="equal">
      <formula>0</formula>
    </cfRule>
    <cfRule type="cellIs" dxfId="1874" priority="1071" operator="lessThan">
      <formula>0</formula>
    </cfRule>
  </conditionalFormatting>
  <conditionalFormatting sqref="QS16">
    <cfRule type="cellIs" dxfId="1873" priority="1073" operator="lessThan">
      <formula>0</formula>
    </cfRule>
    <cfRule type="cellIs" dxfId="1872" priority="1072" operator="equal">
      <formula>0</formula>
    </cfRule>
  </conditionalFormatting>
  <conditionalFormatting sqref="QU10:QU12">
    <cfRule type="cellIs" dxfId="1871" priority="1074" operator="equal">
      <formula>0</formula>
    </cfRule>
    <cfRule type="cellIs" dxfId="1870" priority="1076" operator="greaterThan">
      <formula>0</formula>
    </cfRule>
    <cfRule type="cellIs" dxfId="1869" priority="1075" operator="lessThan">
      <formula>0</formula>
    </cfRule>
  </conditionalFormatting>
  <conditionalFormatting sqref="QU16">
    <cfRule type="cellIs" dxfId="1868" priority="1082" operator="greaterThan">
      <formula>0</formula>
    </cfRule>
    <cfRule type="cellIs" dxfId="1867" priority="1081" operator="lessThan">
      <formula>0</formula>
    </cfRule>
    <cfRule type="cellIs" dxfId="1866" priority="1080" operator="equal">
      <formula>0</formula>
    </cfRule>
  </conditionalFormatting>
  <conditionalFormatting sqref="QW18">
    <cfRule type="colorScale" priority="10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C10:RC12">
    <cfRule type="cellIs" dxfId="1865" priority="1055" operator="lessThan">
      <formula>0</formula>
    </cfRule>
    <cfRule type="cellIs" dxfId="1864" priority="1054" operator="equal">
      <formula>0</formula>
    </cfRule>
  </conditionalFormatting>
  <conditionalFormatting sqref="RC16">
    <cfRule type="cellIs" dxfId="1863" priority="1056" operator="equal">
      <formula>0</formula>
    </cfRule>
    <cfRule type="cellIs" dxfId="1862" priority="1057" operator="lessThan">
      <formula>0</formula>
    </cfRule>
  </conditionalFormatting>
  <conditionalFormatting sqref="RE10:RE12">
    <cfRule type="cellIs" dxfId="1861" priority="1059" operator="lessThan">
      <formula>0</formula>
    </cfRule>
    <cfRule type="cellIs" dxfId="1860" priority="1058" operator="equal">
      <formula>0</formula>
    </cfRule>
    <cfRule type="cellIs" dxfId="1859" priority="1060" operator="greaterThan">
      <formula>0</formula>
    </cfRule>
  </conditionalFormatting>
  <conditionalFormatting sqref="RE16">
    <cfRule type="cellIs" dxfId="1858" priority="1064" operator="equal">
      <formula>0</formula>
    </cfRule>
    <cfRule type="cellIs" dxfId="1857" priority="1065" operator="lessThan">
      <formula>0</formula>
    </cfRule>
    <cfRule type="cellIs" dxfId="1856" priority="1066" operator="greaterThan">
      <formula>0</formula>
    </cfRule>
  </conditionalFormatting>
  <conditionalFormatting sqref="RG18">
    <cfRule type="colorScale" priority="10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M10:RM12">
    <cfRule type="cellIs" dxfId="1855" priority="1039" operator="lessThan">
      <formula>0</formula>
    </cfRule>
    <cfRule type="cellIs" dxfId="1854" priority="1038" operator="equal">
      <formula>0</formula>
    </cfRule>
  </conditionalFormatting>
  <conditionalFormatting sqref="RM16">
    <cfRule type="cellIs" dxfId="1853" priority="1041" operator="lessThan">
      <formula>0</formula>
    </cfRule>
    <cfRule type="cellIs" dxfId="1852" priority="1040" operator="equal">
      <formula>0</formula>
    </cfRule>
  </conditionalFormatting>
  <conditionalFormatting sqref="RO10:RO12">
    <cfRule type="cellIs" dxfId="1851" priority="1044" operator="greaterThan">
      <formula>0</formula>
    </cfRule>
    <cfRule type="cellIs" dxfId="1850" priority="1043" operator="lessThan">
      <formula>0</formula>
    </cfRule>
    <cfRule type="cellIs" dxfId="1849" priority="1042" operator="equal">
      <formula>0</formula>
    </cfRule>
  </conditionalFormatting>
  <conditionalFormatting sqref="RO16">
    <cfRule type="cellIs" dxfId="1848" priority="1050" operator="greaterThan">
      <formula>0</formula>
    </cfRule>
    <cfRule type="cellIs" dxfId="1847" priority="1049" operator="lessThan">
      <formula>0</formula>
    </cfRule>
    <cfRule type="cellIs" dxfId="1846" priority="1048" operator="equal">
      <formula>0</formula>
    </cfRule>
  </conditionalFormatting>
  <conditionalFormatting sqref="RQ18">
    <cfRule type="colorScale" priority="10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W10:RW12">
    <cfRule type="cellIs" dxfId="1845" priority="1023" operator="lessThan">
      <formula>0</formula>
    </cfRule>
    <cfRule type="cellIs" dxfId="1844" priority="1022" operator="equal">
      <formula>0</formula>
    </cfRule>
  </conditionalFormatting>
  <conditionalFormatting sqref="RW16">
    <cfRule type="cellIs" dxfId="1843" priority="1025" operator="lessThan">
      <formula>0</formula>
    </cfRule>
    <cfRule type="cellIs" dxfId="1842" priority="1024" operator="equal">
      <formula>0</formula>
    </cfRule>
  </conditionalFormatting>
  <conditionalFormatting sqref="RY10:RY12">
    <cfRule type="cellIs" dxfId="1841" priority="1028" operator="greaterThan">
      <formula>0</formula>
    </cfRule>
    <cfRule type="cellIs" dxfId="1840" priority="1027" operator="lessThan">
      <formula>0</formula>
    </cfRule>
    <cfRule type="cellIs" dxfId="1839" priority="1026" operator="equal">
      <formula>0</formula>
    </cfRule>
  </conditionalFormatting>
  <conditionalFormatting sqref="RY16">
    <cfRule type="cellIs" dxfId="1838" priority="1034" operator="greaterThan">
      <formula>0</formula>
    </cfRule>
    <cfRule type="cellIs" dxfId="1837" priority="1033" operator="lessThan">
      <formula>0</formula>
    </cfRule>
    <cfRule type="cellIs" dxfId="1836" priority="1032" operator="equal">
      <formula>0</formula>
    </cfRule>
  </conditionalFormatting>
  <conditionalFormatting sqref="SA18">
    <cfRule type="colorScale" priority="100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G10:SG12">
    <cfRule type="cellIs" dxfId="1835" priority="1007" operator="lessThan">
      <formula>0</formula>
    </cfRule>
    <cfRule type="cellIs" dxfId="1834" priority="1006" operator="equal">
      <formula>0</formula>
    </cfRule>
  </conditionalFormatting>
  <conditionalFormatting sqref="SG16">
    <cfRule type="cellIs" dxfId="1833" priority="1009" operator="lessThan">
      <formula>0</formula>
    </cfRule>
    <cfRule type="cellIs" dxfId="1832" priority="1008" operator="equal">
      <formula>0</formula>
    </cfRule>
  </conditionalFormatting>
  <conditionalFormatting sqref="SI10:SI12">
    <cfRule type="cellIs" dxfId="1831" priority="1010" operator="equal">
      <formula>0</formula>
    </cfRule>
    <cfRule type="cellIs" dxfId="1830" priority="1012" operator="greaterThan">
      <formula>0</formula>
    </cfRule>
    <cfRule type="cellIs" dxfId="1829" priority="1011" operator="lessThan">
      <formula>0</formula>
    </cfRule>
  </conditionalFormatting>
  <conditionalFormatting sqref="SI16">
    <cfRule type="cellIs" dxfId="1828" priority="1017" operator="lessThan">
      <formula>0</formula>
    </cfRule>
    <cfRule type="cellIs" dxfId="1827" priority="1016" operator="equal">
      <formula>0</formula>
    </cfRule>
    <cfRule type="cellIs" dxfId="1826" priority="1018" operator="greaterThan">
      <formula>0</formula>
    </cfRule>
  </conditionalFormatting>
  <conditionalFormatting sqref="SK18">
    <cfRule type="colorScale" priority="98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Q10:SQ12">
    <cfRule type="cellIs" dxfId="1825" priority="991" operator="lessThan">
      <formula>0</formula>
    </cfRule>
    <cfRule type="cellIs" dxfId="1824" priority="990" operator="equal">
      <formula>0</formula>
    </cfRule>
  </conditionalFormatting>
  <conditionalFormatting sqref="SQ16">
    <cfRule type="cellIs" dxfId="1823" priority="993" operator="lessThan">
      <formula>0</formula>
    </cfRule>
    <cfRule type="cellIs" dxfId="1822" priority="992" operator="equal">
      <formula>0</formula>
    </cfRule>
  </conditionalFormatting>
  <conditionalFormatting sqref="SS10:SS12">
    <cfRule type="cellIs" dxfId="1821" priority="994" operator="equal">
      <formula>0</formula>
    </cfRule>
    <cfRule type="cellIs" dxfId="1820" priority="996" operator="greaterThan">
      <formula>0</formula>
    </cfRule>
    <cfRule type="cellIs" dxfId="1819" priority="995" operator="lessThan">
      <formula>0</formula>
    </cfRule>
  </conditionalFormatting>
  <conditionalFormatting sqref="SS16">
    <cfRule type="cellIs" dxfId="1818" priority="1002" operator="greaterThan">
      <formula>0</formula>
    </cfRule>
    <cfRule type="cellIs" dxfId="1817" priority="1001" operator="lessThan">
      <formula>0</formula>
    </cfRule>
    <cfRule type="cellIs" dxfId="1816" priority="1000" operator="equal">
      <formula>0</formula>
    </cfRule>
  </conditionalFormatting>
  <conditionalFormatting sqref="SU18">
    <cfRule type="colorScale" priority="9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A10:TA12">
    <cfRule type="cellIs" dxfId="1815" priority="974" operator="equal">
      <formula>0</formula>
    </cfRule>
    <cfRule type="cellIs" dxfId="1814" priority="975" operator="lessThan">
      <formula>0</formula>
    </cfRule>
  </conditionalFormatting>
  <conditionalFormatting sqref="TA16">
    <cfRule type="cellIs" dxfId="1813" priority="977" operator="lessThan">
      <formula>0</formula>
    </cfRule>
    <cfRule type="cellIs" dxfId="1812" priority="976" operator="equal">
      <formula>0</formula>
    </cfRule>
  </conditionalFormatting>
  <conditionalFormatting sqref="TC10:TC12">
    <cfRule type="cellIs" dxfId="1811" priority="980" operator="greaterThan">
      <formula>0</formula>
    </cfRule>
    <cfRule type="cellIs" dxfId="1810" priority="979" operator="lessThan">
      <formula>0</formula>
    </cfRule>
    <cfRule type="cellIs" dxfId="1809" priority="978" operator="equal">
      <formula>0</formula>
    </cfRule>
  </conditionalFormatting>
  <conditionalFormatting sqref="TC16">
    <cfRule type="cellIs" dxfId="1808" priority="986" operator="greaterThan">
      <formula>0</formula>
    </cfRule>
    <cfRule type="cellIs" dxfId="1807" priority="985" operator="lessThan">
      <formula>0</formula>
    </cfRule>
    <cfRule type="cellIs" dxfId="1806" priority="984" operator="equal">
      <formula>0</formula>
    </cfRule>
  </conditionalFormatting>
  <conditionalFormatting sqref="TE18">
    <cfRule type="colorScale" priority="9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K10:TK12">
    <cfRule type="cellIs" dxfId="1805" priority="958" operator="equal">
      <formula>0</formula>
    </cfRule>
    <cfRule type="cellIs" dxfId="1804" priority="959" operator="lessThan">
      <formula>0</formula>
    </cfRule>
  </conditionalFormatting>
  <conditionalFormatting sqref="TK16">
    <cfRule type="cellIs" dxfId="1803" priority="960" operator="equal">
      <formula>0</formula>
    </cfRule>
    <cfRule type="cellIs" dxfId="1802" priority="961" operator="lessThan">
      <formula>0</formula>
    </cfRule>
  </conditionalFormatting>
  <conditionalFormatting sqref="TM10:TM12">
    <cfRule type="cellIs" dxfId="1801" priority="963" operator="lessThan">
      <formula>0</formula>
    </cfRule>
    <cfRule type="cellIs" dxfId="1800" priority="964" operator="greaterThan">
      <formula>0</formula>
    </cfRule>
    <cfRule type="cellIs" dxfId="1799" priority="962" operator="equal">
      <formula>0</formula>
    </cfRule>
  </conditionalFormatting>
  <conditionalFormatting sqref="TM16">
    <cfRule type="cellIs" dxfId="1798" priority="969" operator="lessThan">
      <formula>0</formula>
    </cfRule>
    <cfRule type="cellIs" dxfId="1797" priority="968" operator="equal">
      <formula>0</formula>
    </cfRule>
    <cfRule type="cellIs" dxfId="1796" priority="970" operator="greaterThan">
      <formula>0</formula>
    </cfRule>
  </conditionalFormatting>
  <conditionalFormatting sqref="TO18">
    <cfRule type="colorScale" priority="9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U10:TU12">
    <cfRule type="cellIs" dxfId="1795" priority="943" operator="lessThan">
      <formula>0</formula>
    </cfRule>
    <cfRule type="cellIs" dxfId="1794" priority="942" operator="equal">
      <formula>0</formula>
    </cfRule>
  </conditionalFormatting>
  <conditionalFormatting sqref="TU16">
    <cfRule type="cellIs" dxfId="1793" priority="945" operator="lessThan">
      <formula>0</formula>
    </cfRule>
    <cfRule type="cellIs" dxfId="1792" priority="944" operator="equal">
      <formula>0</formula>
    </cfRule>
  </conditionalFormatting>
  <conditionalFormatting sqref="TW10:TW12">
    <cfRule type="cellIs" dxfId="1791" priority="948" operator="greaterThan">
      <formula>0</formula>
    </cfRule>
    <cfRule type="cellIs" dxfId="1790" priority="947" operator="lessThan">
      <formula>0</formula>
    </cfRule>
    <cfRule type="cellIs" dxfId="1789" priority="946" operator="equal">
      <formula>0</formula>
    </cfRule>
  </conditionalFormatting>
  <conditionalFormatting sqref="TW16">
    <cfRule type="cellIs" dxfId="1788" priority="954" operator="greaterThan">
      <formula>0</formula>
    </cfRule>
    <cfRule type="cellIs" dxfId="1787" priority="953" operator="lessThan">
      <formula>0</formula>
    </cfRule>
    <cfRule type="cellIs" dxfId="1786" priority="952" operator="equal">
      <formula>0</formula>
    </cfRule>
  </conditionalFormatting>
  <conditionalFormatting sqref="TY18">
    <cfRule type="colorScale" priority="9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E10:UE12">
    <cfRule type="cellIs" dxfId="1785" priority="927" operator="lessThan">
      <formula>0</formula>
    </cfRule>
    <cfRule type="cellIs" dxfId="1784" priority="926" operator="equal">
      <formula>0</formula>
    </cfRule>
  </conditionalFormatting>
  <conditionalFormatting sqref="UE16">
    <cfRule type="cellIs" dxfId="1783" priority="929" operator="lessThan">
      <formula>0</formula>
    </cfRule>
    <cfRule type="cellIs" dxfId="1782" priority="928" operator="equal">
      <formula>0</formula>
    </cfRule>
  </conditionalFormatting>
  <conditionalFormatting sqref="UG10:UG12">
    <cfRule type="cellIs" dxfId="1781" priority="931" operator="lessThan">
      <formula>0</formula>
    </cfRule>
    <cfRule type="cellIs" dxfId="1780" priority="932" operator="greaterThan">
      <formula>0</formula>
    </cfRule>
    <cfRule type="cellIs" dxfId="1779" priority="930" operator="equal">
      <formula>0</formula>
    </cfRule>
  </conditionalFormatting>
  <conditionalFormatting sqref="UG16">
    <cfRule type="cellIs" dxfId="1778" priority="937" operator="lessThan">
      <formula>0</formula>
    </cfRule>
    <cfRule type="cellIs" dxfId="1777" priority="936" operator="equal">
      <formula>0</formula>
    </cfRule>
    <cfRule type="cellIs" dxfId="1776" priority="938" operator="greaterThan">
      <formula>0</formula>
    </cfRule>
  </conditionalFormatting>
  <conditionalFormatting sqref="UI18">
    <cfRule type="colorScale" priority="9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O10:UO12">
    <cfRule type="cellIs" dxfId="1775" priority="911" operator="lessThan">
      <formula>0</formula>
    </cfRule>
    <cfRule type="cellIs" dxfId="1774" priority="910" operator="equal">
      <formula>0</formula>
    </cfRule>
  </conditionalFormatting>
  <conditionalFormatting sqref="UO16">
    <cfRule type="cellIs" dxfId="1773" priority="913" operator="lessThan">
      <formula>0</formula>
    </cfRule>
    <cfRule type="cellIs" dxfId="1772" priority="912" operator="equal">
      <formula>0</formula>
    </cfRule>
  </conditionalFormatting>
  <conditionalFormatting sqref="UQ10:UQ12">
    <cfRule type="cellIs" dxfId="1771" priority="916" operator="greaterThan">
      <formula>0</formula>
    </cfRule>
    <cfRule type="cellIs" dxfId="1770" priority="915" operator="lessThan">
      <formula>0</formula>
    </cfRule>
    <cfRule type="cellIs" dxfId="1769" priority="914" operator="equal">
      <formula>0</formula>
    </cfRule>
  </conditionalFormatting>
  <conditionalFormatting sqref="UQ16">
    <cfRule type="cellIs" dxfId="1768" priority="922" operator="greaterThan">
      <formula>0</formula>
    </cfRule>
    <cfRule type="cellIs" dxfId="1767" priority="921" operator="lessThan">
      <formula>0</formula>
    </cfRule>
    <cfRule type="cellIs" dxfId="1766" priority="920" operator="equal">
      <formula>0</formula>
    </cfRule>
  </conditionalFormatting>
  <conditionalFormatting sqref="US18">
    <cfRule type="colorScale" priority="8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Y10:UY12">
    <cfRule type="cellIs" dxfId="1765" priority="895" operator="lessThan">
      <formula>0</formula>
    </cfRule>
    <cfRule type="cellIs" dxfId="1764" priority="894" operator="equal">
      <formula>0</formula>
    </cfRule>
  </conditionalFormatting>
  <conditionalFormatting sqref="UY16">
    <cfRule type="cellIs" dxfId="1763" priority="896" operator="equal">
      <formula>0</formula>
    </cfRule>
    <cfRule type="cellIs" dxfId="1762" priority="897" operator="lessThan">
      <formula>0</formula>
    </cfRule>
  </conditionalFormatting>
  <conditionalFormatting sqref="VA10:VA12">
    <cfRule type="cellIs" dxfId="1761" priority="899" operator="lessThan">
      <formula>0</formula>
    </cfRule>
    <cfRule type="cellIs" dxfId="1760" priority="898" operator="equal">
      <formula>0</formula>
    </cfRule>
    <cfRule type="cellIs" dxfId="1759" priority="900" operator="greaterThan">
      <formula>0</formula>
    </cfRule>
  </conditionalFormatting>
  <conditionalFormatting sqref="VA16">
    <cfRule type="cellIs" dxfId="1758" priority="906" operator="greaterThan">
      <formula>0</formula>
    </cfRule>
    <cfRule type="cellIs" dxfId="1757" priority="905" operator="lessThan">
      <formula>0</formula>
    </cfRule>
    <cfRule type="cellIs" dxfId="1756" priority="904" operator="equal">
      <formula>0</formula>
    </cfRule>
  </conditionalFormatting>
  <conditionalFormatting sqref="VC18">
    <cfRule type="colorScale" priority="8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I10:VI12">
    <cfRule type="cellIs" dxfId="1755" priority="879" operator="lessThan">
      <formula>0</formula>
    </cfRule>
    <cfRule type="cellIs" dxfId="1754" priority="878" operator="equal">
      <formula>0</formula>
    </cfRule>
  </conditionalFormatting>
  <conditionalFormatting sqref="VI16">
    <cfRule type="cellIs" dxfId="1753" priority="881" operator="lessThan">
      <formula>0</formula>
    </cfRule>
    <cfRule type="cellIs" dxfId="1752" priority="880" operator="equal">
      <formula>0</formula>
    </cfRule>
  </conditionalFormatting>
  <conditionalFormatting sqref="VK10:VK12">
    <cfRule type="cellIs" dxfId="1751" priority="883" operator="lessThan">
      <formula>0</formula>
    </cfRule>
    <cfRule type="cellIs" dxfId="1750" priority="882" operator="equal">
      <formula>0</formula>
    </cfRule>
    <cfRule type="cellIs" dxfId="1749" priority="884" operator="greaterThan">
      <formula>0</formula>
    </cfRule>
  </conditionalFormatting>
  <conditionalFormatting sqref="VK16">
    <cfRule type="cellIs" dxfId="1748" priority="889" operator="lessThan">
      <formula>0</formula>
    </cfRule>
    <cfRule type="cellIs" dxfId="1747" priority="888" operator="equal">
      <formula>0</formula>
    </cfRule>
    <cfRule type="cellIs" dxfId="1746" priority="890" operator="greaterThan">
      <formula>0</formula>
    </cfRule>
  </conditionalFormatting>
  <conditionalFormatting sqref="VM18">
    <cfRule type="colorScale" priority="8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S10:VS12">
    <cfRule type="cellIs" dxfId="1745" priority="863" operator="lessThan">
      <formula>0</formula>
    </cfRule>
    <cfRule type="cellIs" dxfId="1744" priority="862" operator="equal">
      <formula>0</formula>
    </cfRule>
  </conditionalFormatting>
  <conditionalFormatting sqref="VS16">
    <cfRule type="cellIs" dxfId="1743" priority="864" operator="equal">
      <formula>0</formula>
    </cfRule>
    <cfRule type="cellIs" dxfId="1742" priority="865" operator="lessThan">
      <formula>0</formula>
    </cfRule>
  </conditionalFormatting>
  <conditionalFormatting sqref="VU10:VU12">
    <cfRule type="cellIs" dxfId="1741" priority="866" operator="equal">
      <formula>0</formula>
    </cfRule>
    <cfRule type="cellIs" dxfId="1740" priority="868" operator="greaterThan">
      <formula>0</formula>
    </cfRule>
    <cfRule type="cellIs" dxfId="1739" priority="867" operator="lessThan">
      <formula>0</formula>
    </cfRule>
  </conditionalFormatting>
  <conditionalFormatting sqref="VU16">
    <cfRule type="cellIs" dxfId="1738" priority="874" operator="greaterThan">
      <formula>0</formula>
    </cfRule>
    <cfRule type="cellIs" dxfId="1737" priority="873" operator="lessThan">
      <formula>0</formula>
    </cfRule>
    <cfRule type="cellIs" dxfId="1736" priority="872" operator="equal">
      <formula>0</formula>
    </cfRule>
  </conditionalFormatting>
  <conditionalFormatting sqref="VW18">
    <cfRule type="colorScale" priority="8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C10:WC12">
    <cfRule type="cellIs" dxfId="1735" priority="847" operator="lessThan">
      <formula>0</formula>
    </cfRule>
    <cfRule type="cellIs" dxfId="1734" priority="846" operator="equal">
      <formula>0</formula>
    </cfRule>
  </conditionalFormatting>
  <conditionalFormatting sqref="WC16">
    <cfRule type="cellIs" dxfId="1733" priority="849" operator="lessThan">
      <formula>0</formula>
    </cfRule>
    <cfRule type="cellIs" dxfId="1732" priority="848" operator="equal">
      <formula>0</formula>
    </cfRule>
  </conditionalFormatting>
  <conditionalFormatting sqref="WE10:WE12">
    <cfRule type="cellIs" dxfId="1731" priority="850" operator="equal">
      <formula>0</formula>
    </cfRule>
    <cfRule type="cellIs" dxfId="1730" priority="851" operator="lessThan">
      <formula>0</formula>
    </cfRule>
    <cfRule type="cellIs" dxfId="1729" priority="852" operator="greaterThan">
      <formula>0</formula>
    </cfRule>
  </conditionalFormatting>
  <conditionalFormatting sqref="WE16">
    <cfRule type="cellIs" dxfId="1728" priority="856" operator="equal">
      <formula>0</formula>
    </cfRule>
    <cfRule type="cellIs" dxfId="1727" priority="857" operator="lessThan">
      <formula>0</formula>
    </cfRule>
    <cfRule type="cellIs" dxfId="1726" priority="858" operator="greaterThan">
      <formula>0</formula>
    </cfRule>
  </conditionalFormatting>
  <conditionalFormatting sqref="WG18">
    <cfRule type="colorScale" priority="8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M10:WM12">
    <cfRule type="cellIs" dxfId="1725" priority="831" operator="lessThan">
      <formula>0</formula>
    </cfRule>
    <cfRule type="cellIs" dxfId="1724" priority="830" operator="equal">
      <formula>0</formula>
    </cfRule>
  </conditionalFormatting>
  <conditionalFormatting sqref="WM16">
    <cfRule type="cellIs" dxfId="1723" priority="833" operator="lessThan">
      <formula>0</formula>
    </cfRule>
    <cfRule type="cellIs" dxfId="1722" priority="832" operator="equal">
      <formula>0</formula>
    </cfRule>
  </conditionalFormatting>
  <conditionalFormatting sqref="WO10:WO12">
    <cfRule type="cellIs" dxfId="1721" priority="836" operator="greaterThan">
      <formula>0</formula>
    </cfRule>
    <cfRule type="cellIs" dxfId="1720" priority="835" operator="lessThan">
      <formula>0</formula>
    </cfRule>
    <cfRule type="cellIs" dxfId="1719" priority="834" operator="equal">
      <formula>0</formula>
    </cfRule>
  </conditionalFormatting>
  <conditionalFormatting sqref="WO16">
    <cfRule type="cellIs" dxfId="1718" priority="840" operator="equal">
      <formula>0</formula>
    </cfRule>
    <cfRule type="cellIs" dxfId="1717" priority="842" operator="greaterThan">
      <formula>0</formula>
    </cfRule>
    <cfRule type="cellIs" dxfId="1716" priority="841" operator="lessThan">
      <formula>0</formula>
    </cfRule>
  </conditionalFormatting>
  <conditionalFormatting sqref="WQ18">
    <cfRule type="colorScale" priority="8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W10:WW12">
    <cfRule type="cellIs" dxfId="1715" priority="814" operator="equal">
      <formula>0</formula>
    </cfRule>
    <cfRule type="cellIs" dxfId="1714" priority="815" operator="lessThan">
      <formula>0</formula>
    </cfRule>
  </conditionalFormatting>
  <conditionalFormatting sqref="WW16">
    <cfRule type="cellIs" dxfId="1713" priority="817" operator="lessThan">
      <formula>0</formula>
    </cfRule>
    <cfRule type="cellIs" dxfId="1712" priority="816" operator="equal">
      <formula>0</formula>
    </cfRule>
  </conditionalFormatting>
  <conditionalFormatting sqref="WY10:WY12">
    <cfRule type="cellIs" dxfId="1711" priority="820" operator="greaterThan">
      <formula>0</formula>
    </cfRule>
    <cfRule type="cellIs" dxfId="1710" priority="819" operator="lessThan">
      <formula>0</formula>
    </cfRule>
    <cfRule type="cellIs" dxfId="1709" priority="818" operator="equal">
      <formula>0</formula>
    </cfRule>
  </conditionalFormatting>
  <conditionalFormatting sqref="WY16">
    <cfRule type="cellIs" dxfId="1708" priority="826" operator="greaterThan">
      <formula>0</formula>
    </cfRule>
    <cfRule type="cellIs" dxfId="1707" priority="824" operator="equal">
      <formula>0</formula>
    </cfRule>
    <cfRule type="cellIs" dxfId="1706" priority="825" operator="lessThan">
      <formula>0</formula>
    </cfRule>
  </conditionalFormatting>
  <conditionalFormatting sqref="XA18">
    <cfRule type="colorScale" priority="7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G10:XG12">
    <cfRule type="cellIs" dxfId="1705" priority="799" operator="lessThan">
      <formula>0</formula>
    </cfRule>
    <cfRule type="cellIs" dxfId="1704" priority="798" operator="equal">
      <formula>0</formula>
    </cfRule>
  </conditionalFormatting>
  <conditionalFormatting sqref="XG16">
    <cfRule type="cellIs" dxfId="1703" priority="801" operator="lessThan">
      <formula>0</formula>
    </cfRule>
    <cfRule type="cellIs" dxfId="1702" priority="800" operator="equal">
      <formula>0</formula>
    </cfRule>
  </conditionalFormatting>
  <conditionalFormatting sqref="XI10:XI12">
    <cfRule type="cellIs" dxfId="1701" priority="804" operator="greaterThan">
      <formula>0</formula>
    </cfRule>
    <cfRule type="cellIs" dxfId="1700" priority="803" operator="lessThan">
      <formula>0</formula>
    </cfRule>
    <cfRule type="cellIs" dxfId="1699" priority="802" operator="equal">
      <formula>0</formula>
    </cfRule>
  </conditionalFormatting>
  <conditionalFormatting sqref="XI16">
    <cfRule type="cellIs" dxfId="1698" priority="809" operator="lessThan">
      <formula>0</formula>
    </cfRule>
    <cfRule type="cellIs" dxfId="1697" priority="810" operator="greaterThan">
      <formula>0</formula>
    </cfRule>
    <cfRule type="cellIs" dxfId="1696" priority="808" operator="equal">
      <formula>0</formula>
    </cfRule>
  </conditionalFormatting>
  <conditionalFormatting sqref="XK18">
    <cfRule type="colorScale" priority="77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Q10:XQ12">
    <cfRule type="cellIs" dxfId="1695" priority="783" operator="lessThan">
      <formula>0</formula>
    </cfRule>
    <cfRule type="cellIs" dxfId="1694" priority="782" operator="equal">
      <formula>0</formula>
    </cfRule>
  </conditionalFormatting>
  <conditionalFormatting sqref="XQ16">
    <cfRule type="cellIs" dxfId="1693" priority="784" operator="equal">
      <formula>0</formula>
    </cfRule>
    <cfRule type="cellIs" dxfId="1692" priority="785" operator="lessThan">
      <formula>0</formula>
    </cfRule>
  </conditionalFormatting>
  <conditionalFormatting sqref="XS10:XS12">
    <cfRule type="cellIs" dxfId="1691" priority="786" operator="equal">
      <formula>0</formula>
    </cfRule>
    <cfRule type="cellIs" dxfId="1690" priority="787" operator="lessThan">
      <formula>0</formula>
    </cfRule>
    <cfRule type="cellIs" dxfId="1689" priority="788" operator="greaterThan">
      <formula>0</formula>
    </cfRule>
  </conditionalFormatting>
  <conditionalFormatting sqref="XS16">
    <cfRule type="cellIs" dxfId="1688" priority="793" operator="lessThan">
      <formula>0</formula>
    </cfRule>
    <cfRule type="cellIs" dxfId="1687" priority="792" operator="equal">
      <formula>0</formula>
    </cfRule>
    <cfRule type="cellIs" dxfId="1686" priority="794" operator="greaterThan">
      <formula>0</formula>
    </cfRule>
  </conditionalFormatting>
  <conditionalFormatting sqref="XU18">
    <cfRule type="colorScale" priority="7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A10:YA12">
    <cfRule type="cellIs" dxfId="1685" priority="767" operator="lessThan">
      <formula>0</formula>
    </cfRule>
    <cfRule type="cellIs" dxfId="1684" priority="766" operator="equal">
      <formula>0</formula>
    </cfRule>
  </conditionalFormatting>
  <conditionalFormatting sqref="YA16">
    <cfRule type="cellIs" dxfId="1683" priority="769" operator="lessThan">
      <formula>0</formula>
    </cfRule>
    <cfRule type="cellIs" dxfId="1682" priority="768" operator="equal">
      <formula>0</formula>
    </cfRule>
  </conditionalFormatting>
  <conditionalFormatting sqref="YC10:YC12">
    <cfRule type="cellIs" dxfId="1681" priority="772" operator="greaterThan">
      <formula>0</formula>
    </cfRule>
    <cfRule type="cellIs" dxfId="1680" priority="771" operator="lessThan">
      <formula>0</formula>
    </cfRule>
    <cfRule type="cellIs" dxfId="1679" priority="770" operator="equal">
      <formula>0</formula>
    </cfRule>
  </conditionalFormatting>
  <conditionalFormatting sqref="YC16">
    <cfRule type="cellIs" dxfId="1678" priority="778" operator="greaterThan">
      <formula>0</formula>
    </cfRule>
    <cfRule type="cellIs" dxfId="1677" priority="777" operator="lessThan">
      <formula>0</formula>
    </cfRule>
    <cfRule type="cellIs" dxfId="1676" priority="776" operator="equal">
      <formula>0</formula>
    </cfRule>
  </conditionalFormatting>
  <conditionalFormatting sqref="YE18">
    <cfRule type="colorScale" priority="7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K10:YK12">
    <cfRule type="cellIs" dxfId="1675" priority="751" operator="lessThan">
      <formula>0</formula>
    </cfRule>
    <cfRule type="cellIs" dxfId="1674" priority="750" operator="equal">
      <formula>0</formula>
    </cfRule>
  </conditionalFormatting>
  <conditionalFormatting sqref="YK16">
    <cfRule type="cellIs" dxfId="1673" priority="753" operator="lessThan">
      <formula>0</formula>
    </cfRule>
    <cfRule type="cellIs" dxfId="1672" priority="752" operator="equal">
      <formula>0</formula>
    </cfRule>
  </conditionalFormatting>
  <conditionalFormatting sqref="YM10:YM12">
    <cfRule type="cellIs" dxfId="1671" priority="756" operator="greaterThan">
      <formula>0</formula>
    </cfRule>
    <cfRule type="cellIs" dxfId="1670" priority="755" operator="lessThan">
      <formula>0</formula>
    </cfRule>
    <cfRule type="cellIs" dxfId="1669" priority="754" operator="equal">
      <formula>0</formula>
    </cfRule>
  </conditionalFormatting>
  <conditionalFormatting sqref="YM16">
    <cfRule type="cellIs" dxfId="1668" priority="761" operator="lessThan">
      <formula>0</formula>
    </cfRule>
    <cfRule type="cellIs" dxfId="1667" priority="760" operator="equal">
      <formula>0</formula>
    </cfRule>
    <cfRule type="cellIs" dxfId="1666" priority="762" operator="greaterThan">
      <formula>0</formula>
    </cfRule>
  </conditionalFormatting>
  <conditionalFormatting sqref="YO18">
    <cfRule type="colorScale" priority="7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U10:YU12">
    <cfRule type="cellIs" dxfId="1665" priority="734" operator="equal">
      <formula>0</formula>
    </cfRule>
    <cfRule type="cellIs" dxfId="1664" priority="735" operator="lessThan">
      <formula>0</formula>
    </cfRule>
  </conditionalFormatting>
  <conditionalFormatting sqref="YU16">
    <cfRule type="cellIs" dxfId="1663" priority="737" operator="lessThan">
      <formula>0</formula>
    </cfRule>
    <cfRule type="cellIs" dxfId="1662" priority="736" operator="equal">
      <formula>0</formula>
    </cfRule>
  </conditionalFormatting>
  <conditionalFormatting sqref="YW10:YW12">
    <cfRule type="cellIs" dxfId="1661" priority="740" operator="greaterThan">
      <formula>0</formula>
    </cfRule>
    <cfRule type="cellIs" dxfId="1660" priority="739" operator="lessThan">
      <formula>0</formula>
    </cfRule>
    <cfRule type="cellIs" dxfId="1659" priority="738" operator="equal">
      <formula>0</formula>
    </cfRule>
  </conditionalFormatting>
  <conditionalFormatting sqref="YW16">
    <cfRule type="cellIs" dxfId="1658" priority="746" operator="greaterThan">
      <formula>0</formula>
    </cfRule>
    <cfRule type="cellIs" dxfId="1657" priority="745" operator="lessThan">
      <formula>0</formula>
    </cfRule>
    <cfRule type="cellIs" dxfId="1656" priority="744" operator="equal">
      <formula>0</formula>
    </cfRule>
  </conditionalFormatting>
  <conditionalFormatting sqref="YY18">
    <cfRule type="colorScale" priority="7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E10:ZE12">
    <cfRule type="cellIs" dxfId="1655" priority="718" operator="equal">
      <formula>0</formula>
    </cfRule>
    <cfRule type="cellIs" dxfId="1654" priority="719" operator="lessThan">
      <formula>0</formula>
    </cfRule>
  </conditionalFormatting>
  <conditionalFormatting sqref="ZE16">
    <cfRule type="cellIs" dxfId="1653" priority="721" operator="lessThan">
      <formula>0</formula>
    </cfRule>
    <cfRule type="cellIs" dxfId="1652" priority="720" operator="equal">
      <formula>0</formula>
    </cfRule>
  </conditionalFormatting>
  <conditionalFormatting sqref="ZG10:ZG12">
    <cfRule type="cellIs" dxfId="1651" priority="724" operator="greaterThan">
      <formula>0</formula>
    </cfRule>
    <cfRule type="cellIs" dxfId="1650" priority="723" operator="lessThan">
      <formula>0</formula>
    </cfRule>
    <cfRule type="cellIs" dxfId="1649" priority="722" operator="equal">
      <formula>0</formula>
    </cfRule>
  </conditionalFormatting>
  <conditionalFormatting sqref="ZG16">
    <cfRule type="cellIs" dxfId="1648" priority="730" operator="greaterThan">
      <formula>0</formula>
    </cfRule>
    <cfRule type="cellIs" dxfId="1647" priority="729" operator="lessThan">
      <formula>0</formula>
    </cfRule>
    <cfRule type="cellIs" dxfId="1646" priority="728" operator="equal">
      <formula>0</formula>
    </cfRule>
  </conditionalFormatting>
  <conditionalFormatting sqref="ZI18">
    <cfRule type="colorScale" priority="6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O10:ZO12">
    <cfRule type="cellIs" dxfId="1645" priority="703" operator="lessThan">
      <formula>0</formula>
    </cfRule>
    <cfRule type="cellIs" dxfId="1644" priority="702" operator="equal">
      <formula>0</formula>
    </cfRule>
  </conditionalFormatting>
  <conditionalFormatting sqref="ZO16">
    <cfRule type="cellIs" dxfId="1643" priority="704" operator="equal">
      <formula>0</formula>
    </cfRule>
    <cfRule type="cellIs" dxfId="1642" priority="705" operator="lessThan">
      <formula>0</formula>
    </cfRule>
  </conditionalFormatting>
  <conditionalFormatting sqref="ZQ10:ZQ12">
    <cfRule type="cellIs" dxfId="1641" priority="707" operator="lessThan">
      <formula>0</formula>
    </cfRule>
    <cfRule type="cellIs" dxfId="1640" priority="706" operator="equal">
      <formula>0</formula>
    </cfRule>
    <cfRule type="cellIs" dxfId="1639" priority="708" operator="greaterThan">
      <formula>0</formula>
    </cfRule>
  </conditionalFormatting>
  <conditionalFormatting sqref="ZQ16">
    <cfRule type="cellIs" dxfId="1638" priority="712" operator="equal">
      <formula>0</formula>
    </cfRule>
    <cfRule type="cellIs" dxfId="1637" priority="713" operator="lessThan">
      <formula>0</formula>
    </cfRule>
    <cfRule type="cellIs" dxfId="1636" priority="714" operator="greaterThan">
      <formula>0</formula>
    </cfRule>
  </conditionalFormatting>
  <conditionalFormatting sqref="ZS18">
    <cfRule type="colorScale" priority="6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Y10:ZY12">
    <cfRule type="cellIs" dxfId="1635" priority="686" operator="equal">
      <formula>0</formula>
    </cfRule>
    <cfRule type="cellIs" dxfId="1634" priority="687" operator="lessThan">
      <formula>0</formula>
    </cfRule>
  </conditionalFormatting>
  <conditionalFormatting sqref="ZY16">
    <cfRule type="cellIs" dxfId="1633" priority="689" operator="lessThan">
      <formula>0</formula>
    </cfRule>
    <cfRule type="cellIs" dxfId="1632" priority="688" operator="equal">
      <formula>0</formula>
    </cfRule>
  </conditionalFormatting>
  <conditionalFormatting sqref="AAA10:AAA12">
    <cfRule type="cellIs" dxfId="1631" priority="692" operator="greaterThan">
      <formula>0</formula>
    </cfRule>
    <cfRule type="cellIs" dxfId="1630" priority="691" operator="lessThan">
      <formula>0</formula>
    </cfRule>
    <cfRule type="cellIs" dxfId="1629" priority="690" operator="equal">
      <formula>0</formula>
    </cfRule>
  </conditionalFormatting>
  <conditionalFormatting sqref="AAA16">
    <cfRule type="cellIs" dxfId="1628" priority="698" operator="greaterThan">
      <formula>0</formula>
    </cfRule>
    <cfRule type="cellIs" dxfId="1627" priority="697" operator="lessThan">
      <formula>0</formula>
    </cfRule>
    <cfRule type="cellIs" dxfId="1626" priority="696" operator="equal">
      <formula>0</formula>
    </cfRule>
  </conditionalFormatting>
  <conditionalFormatting sqref="AAC18">
    <cfRule type="colorScale" priority="6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I10:AAI12">
    <cfRule type="cellIs" dxfId="1625" priority="670" operator="equal">
      <formula>0</formula>
    </cfRule>
    <cfRule type="cellIs" dxfId="1624" priority="671" operator="lessThan">
      <formula>0</formula>
    </cfRule>
  </conditionalFormatting>
  <conditionalFormatting sqref="AAI16">
    <cfRule type="cellIs" dxfId="1623" priority="673" operator="lessThan">
      <formula>0</formula>
    </cfRule>
    <cfRule type="cellIs" dxfId="1622" priority="672" operator="equal">
      <formula>0</formula>
    </cfRule>
  </conditionalFormatting>
  <conditionalFormatting sqref="AAK10:AAK12">
    <cfRule type="cellIs" dxfId="1621" priority="675" operator="lessThan">
      <formula>0</formula>
    </cfRule>
    <cfRule type="cellIs" dxfId="1620" priority="676" operator="greaterThan">
      <formula>0</formula>
    </cfRule>
    <cfRule type="cellIs" dxfId="1619" priority="674" operator="equal">
      <formula>0</formula>
    </cfRule>
  </conditionalFormatting>
  <conditionalFormatting sqref="AAK16">
    <cfRule type="cellIs" dxfId="1618" priority="680" operator="equal">
      <formula>0</formula>
    </cfRule>
    <cfRule type="cellIs" dxfId="1617" priority="682" operator="greaterThan">
      <formula>0</formula>
    </cfRule>
    <cfRule type="cellIs" dxfId="1616" priority="681" operator="lessThan">
      <formula>0</formula>
    </cfRule>
  </conditionalFormatting>
  <conditionalFormatting sqref="AAM18">
    <cfRule type="colorScale" priority="6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S10:AAS12">
    <cfRule type="cellIs" dxfId="1615" priority="655" operator="lessThan">
      <formula>0</formula>
    </cfRule>
    <cfRule type="cellIs" dxfId="1614" priority="654" operator="equal">
      <formula>0</formula>
    </cfRule>
  </conditionalFormatting>
  <conditionalFormatting sqref="AAS16">
    <cfRule type="cellIs" dxfId="1613" priority="656" operator="equal">
      <formula>0</formula>
    </cfRule>
    <cfRule type="cellIs" dxfId="1612" priority="657" operator="lessThan">
      <formula>0</formula>
    </cfRule>
  </conditionalFormatting>
  <conditionalFormatting sqref="AAU10:AAU12">
    <cfRule type="cellIs" dxfId="1611" priority="660" operator="greaterThan">
      <formula>0</formula>
    </cfRule>
    <cfRule type="cellIs" dxfId="1610" priority="659" operator="lessThan">
      <formula>0</formula>
    </cfRule>
    <cfRule type="cellIs" dxfId="1609" priority="658" operator="equal">
      <formula>0</formula>
    </cfRule>
  </conditionalFormatting>
  <conditionalFormatting sqref="AAU16">
    <cfRule type="cellIs" dxfId="1608" priority="666" operator="greaterThan">
      <formula>0</formula>
    </cfRule>
    <cfRule type="cellIs" dxfId="1607" priority="665" operator="lessThan">
      <formula>0</formula>
    </cfRule>
    <cfRule type="cellIs" dxfId="1606" priority="664" operator="equal">
      <formula>0</formula>
    </cfRule>
  </conditionalFormatting>
  <conditionalFormatting sqref="AAW18">
    <cfRule type="colorScale" priority="6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C10:ABC12">
    <cfRule type="cellIs" dxfId="1605" priority="639" operator="lessThan">
      <formula>0</formula>
    </cfRule>
    <cfRule type="cellIs" dxfId="1604" priority="638" operator="equal">
      <formula>0</formula>
    </cfRule>
  </conditionalFormatting>
  <conditionalFormatting sqref="ABC16">
    <cfRule type="cellIs" dxfId="1603" priority="641" operator="lessThan">
      <formula>0</formula>
    </cfRule>
    <cfRule type="cellIs" dxfId="1602" priority="640" operator="equal">
      <formula>0</formula>
    </cfRule>
  </conditionalFormatting>
  <conditionalFormatting sqref="ABE10:ABE12">
    <cfRule type="cellIs" dxfId="1601" priority="642" operator="equal">
      <formula>0</formula>
    </cfRule>
    <cfRule type="cellIs" dxfId="1600" priority="643" operator="lessThan">
      <formula>0</formula>
    </cfRule>
    <cfRule type="cellIs" dxfId="1599" priority="644" operator="greaterThan">
      <formula>0</formula>
    </cfRule>
  </conditionalFormatting>
  <conditionalFormatting sqref="ABE16">
    <cfRule type="cellIs" dxfId="1598" priority="650" operator="greaterThan">
      <formula>0</formula>
    </cfRule>
    <cfRule type="cellIs" dxfId="1597" priority="649" operator="lessThan">
      <formula>0</formula>
    </cfRule>
    <cfRule type="cellIs" dxfId="1596" priority="648" operator="equal">
      <formula>0</formula>
    </cfRule>
  </conditionalFormatting>
  <conditionalFormatting sqref="ABG18">
    <cfRule type="colorScale" priority="6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M10:ABM12">
    <cfRule type="cellIs" dxfId="1595" priority="615" operator="equal">
      <formula>0</formula>
    </cfRule>
    <cfRule type="cellIs" dxfId="1594" priority="616" operator="lessThan">
      <formula>0</formula>
    </cfRule>
  </conditionalFormatting>
  <conditionalFormatting sqref="ABM16">
    <cfRule type="cellIs" dxfId="1593" priority="623" operator="lessThan">
      <formula>0</formula>
    </cfRule>
    <cfRule type="cellIs" dxfId="1592" priority="622" operator="equal">
      <formula>0</formula>
    </cfRule>
  </conditionalFormatting>
  <conditionalFormatting sqref="ABO10:ABO12">
    <cfRule type="cellIs" dxfId="1591" priority="626" operator="greaterThan">
      <formula>0</formula>
    </cfRule>
    <cfRule type="cellIs" dxfId="1590" priority="624" operator="equal">
      <formula>0</formula>
    </cfRule>
    <cfRule type="cellIs" dxfId="1589" priority="625" operator="lessThan">
      <formula>0</formula>
    </cfRule>
  </conditionalFormatting>
  <conditionalFormatting sqref="ABO16">
    <cfRule type="cellIs" dxfId="1588" priority="627" operator="equal">
      <formula>0</formula>
    </cfRule>
    <cfRule type="cellIs" dxfId="1587" priority="629" operator="greaterThan">
      <formula>0</formula>
    </cfRule>
    <cfRule type="cellIs" dxfId="1586" priority="628" operator="lessThan">
      <formula>0</formula>
    </cfRule>
  </conditionalFormatting>
  <conditionalFormatting sqref="ABQ18">
    <cfRule type="colorScale" priority="5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W10:ABW12">
    <cfRule type="cellIs" dxfId="1585" priority="601" operator="lessThan">
      <formula>0</formula>
    </cfRule>
    <cfRule type="cellIs" dxfId="1584" priority="600" operator="equal">
      <formula>0</formula>
    </cfRule>
  </conditionalFormatting>
  <conditionalFormatting sqref="ABW16">
    <cfRule type="cellIs" dxfId="1583" priority="603" operator="lessThan">
      <formula>0</formula>
    </cfRule>
    <cfRule type="cellIs" dxfId="1582" priority="602" operator="equal">
      <formula>0</formula>
    </cfRule>
  </conditionalFormatting>
  <conditionalFormatting sqref="ABY10:ABY12">
    <cfRule type="cellIs" dxfId="1581" priority="606" operator="greaterThan">
      <formula>0</formula>
    </cfRule>
    <cfRule type="cellIs" dxfId="1580" priority="605" operator="lessThan">
      <formula>0</formula>
    </cfRule>
    <cfRule type="cellIs" dxfId="1579" priority="604" operator="equal">
      <formula>0</formula>
    </cfRule>
  </conditionalFormatting>
  <conditionalFormatting sqref="ABY16">
    <cfRule type="cellIs" dxfId="1578" priority="607" operator="equal">
      <formula>0</formula>
    </cfRule>
    <cfRule type="cellIs" dxfId="1577" priority="609" operator="greaterThan">
      <formula>0</formula>
    </cfRule>
    <cfRule type="cellIs" dxfId="1576" priority="608" operator="lessThan">
      <formula>0</formula>
    </cfRule>
  </conditionalFormatting>
  <conditionalFormatting sqref="ACA18">
    <cfRule type="colorScale" priority="5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G10:ACG12">
    <cfRule type="cellIs" dxfId="1575" priority="584" operator="equal">
      <formula>0</formula>
    </cfRule>
    <cfRule type="cellIs" dxfId="1574" priority="585" operator="lessThan">
      <formula>0</formula>
    </cfRule>
  </conditionalFormatting>
  <conditionalFormatting sqref="ACG16">
    <cfRule type="cellIs" dxfId="1573" priority="586" operator="equal">
      <formula>0</formula>
    </cfRule>
    <cfRule type="cellIs" dxfId="1572" priority="587" operator="lessThan">
      <formula>0</formula>
    </cfRule>
  </conditionalFormatting>
  <conditionalFormatting sqref="ACI10:ACI12">
    <cfRule type="cellIs" dxfId="1571" priority="588" operator="equal">
      <formula>0</formula>
    </cfRule>
    <cfRule type="cellIs" dxfId="1570" priority="590" operator="greaterThan">
      <formula>0</formula>
    </cfRule>
    <cfRule type="cellIs" dxfId="1569" priority="589" operator="lessThan">
      <formula>0</formula>
    </cfRule>
  </conditionalFormatting>
  <conditionalFormatting sqref="ACI16">
    <cfRule type="cellIs" dxfId="1568" priority="593" operator="greaterThan">
      <formula>0</formula>
    </cfRule>
    <cfRule type="cellIs" dxfId="1567" priority="592" operator="lessThan">
      <formula>0</formula>
    </cfRule>
    <cfRule type="cellIs" dxfId="1566" priority="591" operator="equal">
      <formula>0</formula>
    </cfRule>
  </conditionalFormatting>
  <conditionalFormatting sqref="ACK18">
    <cfRule type="colorScale" priority="5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Q10:ACQ12">
    <cfRule type="cellIs" dxfId="1565" priority="569" operator="lessThan">
      <formula>0</formula>
    </cfRule>
    <cfRule type="cellIs" dxfId="1564" priority="568" operator="equal">
      <formula>0</formula>
    </cfRule>
  </conditionalFormatting>
  <conditionalFormatting sqref="ACQ16">
    <cfRule type="cellIs" dxfId="1563" priority="571" operator="lessThan">
      <formula>0</formula>
    </cfRule>
    <cfRule type="cellIs" dxfId="1562" priority="570" operator="equal">
      <formula>0</formula>
    </cfRule>
  </conditionalFormatting>
  <conditionalFormatting sqref="ACS10:ACS12">
    <cfRule type="cellIs" dxfId="1561" priority="574" operator="greaterThan">
      <formula>0</formula>
    </cfRule>
    <cfRule type="cellIs" dxfId="1560" priority="572" operator="equal">
      <formula>0</formula>
    </cfRule>
    <cfRule type="cellIs" dxfId="1559" priority="573" operator="lessThan">
      <formula>0</formula>
    </cfRule>
  </conditionalFormatting>
  <conditionalFormatting sqref="ACS16">
    <cfRule type="cellIs" dxfId="1558" priority="576" operator="lessThan">
      <formula>0</formula>
    </cfRule>
    <cfRule type="cellIs" dxfId="1557" priority="575" operator="equal">
      <formula>0</formula>
    </cfRule>
    <cfRule type="cellIs" dxfId="1556" priority="577" operator="greaterThan">
      <formula>0</formula>
    </cfRule>
  </conditionalFormatting>
  <conditionalFormatting sqref="ACU18">
    <cfRule type="colorScale" priority="5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A10:ADA12">
    <cfRule type="cellIs" dxfId="1555" priority="552" operator="equal">
      <formula>0</formula>
    </cfRule>
    <cfRule type="cellIs" dxfId="1554" priority="553" operator="lessThan">
      <formula>0</formula>
    </cfRule>
  </conditionalFormatting>
  <conditionalFormatting sqref="ADA16">
    <cfRule type="cellIs" dxfId="1553" priority="555" operator="lessThan">
      <formula>0</formula>
    </cfRule>
    <cfRule type="cellIs" dxfId="1552" priority="554" operator="equal">
      <formula>0</formula>
    </cfRule>
  </conditionalFormatting>
  <conditionalFormatting sqref="ADC10:ADC12">
    <cfRule type="cellIs" dxfId="1551" priority="556" operator="equal">
      <formula>0</formula>
    </cfRule>
    <cfRule type="cellIs" dxfId="1550" priority="557" operator="lessThan">
      <formula>0</formula>
    </cfRule>
    <cfRule type="cellIs" dxfId="1549" priority="558" operator="greaterThan">
      <formula>0</formula>
    </cfRule>
  </conditionalFormatting>
  <conditionalFormatting sqref="ADC16">
    <cfRule type="cellIs" dxfId="1548" priority="561" operator="greaterThan">
      <formula>0</formula>
    </cfRule>
    <cfRule type="cellIs" dxfId="1547" priority="560" operator="lessThan">
      <formula>0</formula>
    </cfRule>
    <cfRule type="cellIs" dxfId="1546" priority="559" operator="equal">
      <formula>0</formula>
    </cfRule>
  </conditionalFormatting>
  <conditionalFormatting sqref="ADE18">
    <cfRule type="colorScale" priority="5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K10:ADK12">
    <cfRule type="cellIs" dxfId="1545" priority="537" operator="lessThan">
      <formula>0</formula>
    </cfRule>
    <cfRule type="cellIs" dxfId="1544" priority="536" operator="equal">
      <formula>0</formula>
    </cfRule>
  </conditionalFormatting>
  <conditionalFormatting sqref="ADK16">
    <cfRule type="cellIs" dxfId="1543" priority="539" operator="lessThan">
      <formula>0</formula>
    </cfRule>
    <cfRule type="cellIs" dxfId="1542" priority="538" operator="equal">
      <formula>0</formula>
    </cfRule>
  </conditionalFormatting>
  <conditionalFormatting sqref="ADM10:ADM12">
    <cfRule type="cellIs" dxfId="1541" priority="542" operator="greaterThan">
      <formula>0</formula>
    </cfRule>
    <cfRule type="cellIs" dxfId="1540" priority="541" operator="lessThan">
      <formula>0</formula>
    </cfRule>
    <cfRule type="cellIs" dxfId="1539" priority="540" operator="equal">
      <formula>0</formula>
    </cfRule>
  </conditionalFormatting>
  <conditionalFormatting sqref="ADM16">
    <cfRule type="cellIs" dxfId="1538" priority="545" operator="greaterThan">
      <formula>0</formula>
    </cfRule>
    <cfRule type="cellIs" dxfId="1537" priority="544" operator="lessThan">
      <formula>0</formula>
    </cfRule>
    <cfRule type="cellIs" dxfId="1536" priority="543" operator="equal">
      <formula>0</formula>
    </cfRule>
  </conditionalFormatting>
  <conditionalFormatting sqref="ADO18">
    <cfRule type="colorScale" priority="5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U10:ADU12">
    <cfRule type="cellIs" dxfId="1535" priority="520" operator="equal">
      <formula>0</formula>
    </cfRule>
    <cfRule type="cellIs" dxfId="1534" priority="521" operator="lessThan">
      <formula>0</formula>
    </cfRule>
  </conditionalFormatting>
  <conditionalFormatting sqref="ADU16">
    <cfRule type="cellIs" dxfId="1533" priority="523" operator="lessThan">
      <formula>0</formula>
    </cfRule>
    <cfRule type="cellIs" dxfId="1532" priority="522" operator="equal">
      <formula>0</formula>
    </cfRule>
  </conditionalFormatting>
  <conditionalFormatting sqref="ADW10:ADW12">
    <cfRule type="cellIs" dxfId="1531" priority="525" operator="lessThan">
      <formula>0</formula>
    </cfRule>
    <cfRule type="cellIs" dxfId="1530" priority="526" operator="greaterThan">
      <formula>0</formula>
    </cfRule>
    <cfRule type="cellIs" dxfId="1529" priority="524" operator="equal">
      <formula>0</formula>
    </cfRule>
  </conditionalFormatting>
  <conditionalFormatting sqref="ADW16">
    <cfRule type="cellIs" dxfId="1528" priority="528" operator="lessThan">
      <formula>0</formula>
    </cfRule>
    <cfRule type="cellIs" dxfId="1527" priority="527" operator="equal">
      <formula>0</formula>
    </cfRule>
    <cfRule type="cellIs" dxfId="1526" priority="529" operator="greaterThan">
      <formula>0</formula>
    </cfRule>
  </conditionalFormatting>
  <conditionalFormatting sqref="ADY18">
    <cfRule type="colorScale" priority="50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E10:AEE12">
    <cfRule type="cellIs" dxfId="1525" priority="505" operator="lessThan">
      <formula>0</formula>
    </cfRule>
    <cfRule type="cellIs" dxfId="1524" priority="504" operator="equal">
      <formula>0</formula>
    </cfRule>
  </conditionalFormatting>
  <conditionalFormatting sqref="AEE16">
    <cfRule type="cellIs" dxfId="1523" priority="507" operator="lessThan">
      <formula>0</formula>
    </cfRule>
    <cfRule type="cellIs" dxfId="1522" priority="506" operator="equal">
      <formula>0</formula>
    </cfRule>
  </conditionalFormatting>
  <conditionalFormatting sqref="AEG10:AEG12">
    <cfRule type="cellIs" dxfId="1521" priority="510" operator="greaterThan">
      <formula>0</formula>
    </cfRule>
    <cfRule type="cellIs" dxfId="1520" priority="509" operator="lessThan">
      <formula>0</formula>
    </cfRule>
    <cfRule type="cellIs" dxfId="1519" priority="508" operator="equal">
      <formula>0</formula>
    </cfRule>
  </conditionalFormatting>
  <conditionalFormatting sqref="AEG16">
    <cfRule type="cellIs" dxfId="1518" priority="511" operator="equal">
      <formula>0</formula>
    </cfRule>
    <cfRule type="cellIs" dxfId="1517" priority="513" operator="greaterThan">
      <formula>0</formula>
    </cfRule>
    <cfRule type="cellIs" dxfId="1516" priority="512" operator="lessThan">
      <formula>0</formula>
    </cfRule>
  </conditionalFormatting>
  <conditionalFormatting sqref="AEI18">
    <cfRule type="colorScale" priority="48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O10:AEO12">
    <cfRule type="cellIs" dxfId="1515" priority="489" operator="lessThan">
      <formula>0</formula>
    </cfRule>
    <cfRule type="cellIs" dxfId="1514" priority="488" operator="equal">
      <formula>0</formula>
    </cfRule>
  </conditionalFormatting>
  <conditionalFormatting sqref="AEO16">
    <cfRule type="cellIs" dxfId="1513" priority="491" operator="lessThan">
      <formula>0</formula>
    </cfRule>
    <cfRule type="cellIs" dxfId="1512" priority="490" operator="equal">
      <formula>0</formula>
    </cfRule>
  </conditionalFormatting>
  <conditionalFormatting sqref="AEQ10:AEQ12">
    <cfRule type="cellIs" dxfId="1511" priority="494" operator="greaterThan">
      <formula>0</formula>
    </cfRule>
    <cfRule type="cellIs" dxfId="1510" priority="493" operator="lessThan">
      <formula>0</formula>
    </cfRule>
    <cfRule type="cellIs" dxfId="1509" priority="492" operator="equal">
      <formula>0</formula>
    </cfRule>
  </conditionalFormatting>
  <conditionalFormatting sqref="AEQ16">
    <cfRule type="cellIs" dxfId="1508" priority="497" operator="greaterThan">
      <formula>0</formula>
    </cfRule>
    <cfRule type="cellIs" dxfId="1507" priority="496" operator="lessThan">
      <formula>0</formula>
    </cfRule>
    <cfRule type="cellIs" dxfId="1506" priority="495" operator="equal">
      <formula>0</formula>
    </cfRule>
  </conditionalFormatting>
  <conditionalFormatting sqref="AES18">
    <cfRule type="colorScale" priority="4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Y10:AEY12">
    <cfRule type="cellIs" dxfId="1505" priority="472" operator="equal">
      <formula>0</formula>
    </cfRule>
    <cfRule type="cellIs" dxfId="1504" priority="473" operator="lessThan">
      <formula>0</formula>
    </cfRule>
  </conditionalFormatting>
  <conditionalFormatting sqref="AEY16">
    <cfRule type="cellIs" dxfId="1503" priority="475" operator="lessThan">
      <formula>0</formula>
    </cfRule>
    <cfRule type="cellIs" dxfId="1502" priority="474" operator="equal">
      <formula>0</formula>
    </cfRule>
  </conditionalFormatting>
  <conditionalFormatting sqref="AFA10:AFA12">
    <cfRule type="cellIs" dxfId="1501" priority="478" operator="greaterThan">
      <formula>0</formula>
    </cfRule>
    <cfRule type="cellIs" dxfId="1500" priority="477" operator="lessThan">
      <formula>0</formula>
    </cfRule>
    <cfRule type="cellIs" dxfId="1499" priority="476" operator="equal">
      <formula>0</formula>
    </cfRule>
  </conditionalFormatting>
  <conditionalFormatting sqref="AFA16">
    <cfRule type="cellIs" dxfId="1498" priority="480" operator="lessThan">
      <formula>0</formula>
    </cfRule>
    <cfRule type="cellIs" dxfId="1497" priority="481" operator="greaterThan">
      <formula>0</formula>
    </cfRule>
    <cfRule type="cellIs" dxfId="1496" priority="479" operator="equal">
      <formula>0</formula>
    </cfRule>
  </conditionalFormatting>
  <conditionalFormatting sqref="AFC18">
    <cfRule type="colorScale" priority="4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I10:AFI12">
    <cfRule type="cellIs" dxfId="1495" priority="457" operator="lessThan">
      <formula>0</formula>
    </cfRule>
    <cfRule type="cellIs" dxfId="1494" priority="456" operator="equal">
      <formula>0</formula>
    </cfRule>
  </conditionalFormatting>
  <conditionalFormatting sqref="AFI16">
    <cfRule type="cellIs" dxfId="1493" priority="459" operator="lessThan">
      <formula>0</formula>
    </cfRule>
    <cfRule type="cellIs" dxfId="1492" priority="458" operator="equal">
      <formula>0</formula>
    </cfRule>
  </conditionalFormatting>
  <conditionalFormatting sqref="AFK10:AFK12">
    <cfRule type="cellIs" dxfId="1491" priority="462" operator="greaterThan">
      <formula>0</formula>
    </cfRule>
    <cfRule type="cellIs" dxfId="1490" priority="461" operator="lessThan">
      <formula>0</formula>
    </cfRule>
    <cfRule type="cellIs" dxfId="1489" priority="460" operator="equal">
      <formula>0</formula>
    </cfRule>
  </conditionalFormatting>
  <conditionalFormatting sqref="AFK16">
    <cfRule type="cellIs" dxfId="1488" priority="465" operator="greaterThan">
      <formula>0</formula>
    </cfRule>
    <cfRule type="cellIs" dxfId="1487" priority="464" operator="lessThan">
      <formula>0</formula>
    </cfRule>
    <cfRule type="cellIs" dxfId="1486" priority="463" operator="equal">
      <formula>0</formula>
    </cfRule>
  </conditionalFormatting>
  <conditionalFormatting sqref="AFM18">
    <cfRule type="colorScale" priority="4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S10:AFS12">
    <cfRule type="cellIs" dxfId="1485" priority="441" operator="lessThan">
      <formula>0</formula>
    </cfRule>
    <cfRule type="cellIs" dxfId="1484" priority="440" operator="equal">
      <formula>0</formula>
    </cfRule>
  </conditionalFormatting>
  <conditionalFormatting sqref="AFS16">
    <cfRule type="cellIs" dxfId="1483" priority="442" operator="equal">
      <formula>0</formula>
    </cfRule>
    <cfRule type="cellIs" dxfId="1482" priority="443" operator="lessThan">
      <formula>0</formula>
    </cfRule>
  </conditionalFormatting>
  <conditionalFormatting sqref="AFU10:AFU12">
    <cfRule type="cellIs" dxfId="1481" priority="445" operator="lessThan">
      <formula>0</formula>
    </cfRule>
    <cfRule type="cellIs" dxfId="1480" priority="444" operator="equal">
      <formula>0</formula>
    </cfRule>
    <cfRule type="cellIs" dxfId="1479" priority="446" operator="greaterThan">
      <formula>0</formula>
    </cfRule>
  </conditionalFormatting>
  <conditionalFormatting sqref="AFU16">
    <cfRule type="cellIs" dxfId="1478" priority="449" operator="greaterThan">
      <formula>0</formula>
    </cfRule>
    <cfRule type="cellIs" dxfId="1477" priority="448" operator="lessThan">
      <formula>0</formula>
    </cfRule>
    <cfRule type="cellIs" dxfId="1476" priority="447" operator="equal">
      <formula>0</formula>
    </cfRule>
  </conditionalFormatting>
  <conditionalFormatting sqref="AFW18">
    <cfRule type="colorScale" priority="42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C10:AGC12">
    <cfRule type="cellIs" dxfId="1475" priority="425" operator="lessThan">
      <formula>0</formula>
    </cfRule>
    <cfRule type="cellIs" dxfId="1474" priority="424" operator="equal">
      <formula>0</formula>
    </cfRule>
  </conditionalFormatting>
  <conditionalFormatting sqref="AGC16">
    <cfRule type="cellIs" dxfId="1473" priority="427" operator="lessThan">
      <formula>0</formula>
    </cfRule>
    <cfRule type="cellIs" dxfId="1472" priority="426" operator="equal">
      <formula>0</formula>
    </cfRule>
  </conditionalFormatting>
  <conditionalFormatting sqref="AGE10:AGE12">
    <cfRule type="cellIs" dxfId="1471" priority="429" operator="lessThan">
      <formula>0</formula>
    </cfRule>
    <cfRule type="cellIs" dxfId="1470" priority="428" operator="equal">
      <formula>0</formula>
    </cfRule>
    <cfRule type="cellIs" dxfId="1469" priority="430" operator="greaterThan">
      <formula>0</formula>
    </cfRule>
  </conditionalFormatting>
  <conditionalFormatting sqref="AGE16">
    <cfRule type="cellIs" dxfId="1468" priority="432" operator="lessThan">
      <formula>0</formula>
    </cfRule>
    <cfRule type="cellIs" dxfId="1467" priority="431" operator="equal">
      <formula>0</formula>
    </cfRule>
    <cfRule type="cellIs" dxfId="1466" priority="433" operator="greaterThan">
      <formula>0</formula>
    </cfRule>
  </conditionalFormatting>
  <conditionalFormatting sqref="AGG18">
    <cfRule type="colorScale" priority="4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M10:AGM12">
    <cfRule type="cellIs" dxfId="1465" priority="409" operator="lessThan">
      <formula>0</formula>
    </cfRule>
    <cfRule type="cellIs" dxfId="1464" priority="408" operator="equal">
      <formula>0</formula>
    </cfRule>
  </conditionalFormatting>
  <conditionalFormatting sqref="AGM16">
    <cfRule type="cellIs" dxfId="1463" priority="411" operator="lessThan">
      <formula>0</formula>
    </cfRule>
    <cfRule type="cellIs" dxfId="1462" priority="410" operator="equal">
      <formula>0</formula>
    </cfRule>
  </conditionalFormatting>
  <conditionalFormatting sqref="AGO10:AGO12">
    <cfRule type="cellIs" dxfId="1461" priority="412" operator="equal">
      <formula>0</formula>
    </cfRule>
    <cfRule type="cellIs" dxfId="1460" priority="414" operator="greaterThan">
      <formula>0</formula>
    </cfRule>
    <cfRule type="cellIs" dxfId="1459" priority="413" operator="lessThan">
      <formula>0</formula>
    </cfRule>
  </conditionalFormatting>
  <conditionalFormatting sqref="AGO16">
    <cfRule type="cellIs" dxfId="1458" priority="417" operator="greaterThan">
      <formula>0</formula>
    </cfRule>
    <cfRule type="cellIs" dxfId="1457" priority="416" operator="lessThan">
      <formula>0</formula>
    </cfRule>
    <cfRule type="cellIs" dxfId="1456" priority="415" operator="equal">
      <formula>0</formula>
    </cfRule>
  </conditionalFormatting>
  <conditionalFormatting sqref="AGQ18">
    <cfRule type="colorScale" priority="39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W10:AGW12">
    <cfRule type="cellIs" dxfId="1455" priority="393" operator="lessThan">
      <formula>0</formula>
    </cfRule>
    <cfRule type="cellIs" dxfId="1454" priority="392" operator="equal">
      <formula>0</formula>
    </cfRule>
  </conditionalFormatting>
  <conditionalFormatting sqref="AGW16">
    <cfRule type="cellIs" dxfId="1453" priority="395" operator="lessThan">
      <formula>0</formula>
    </cfRule>
    <cfRule type="cellIs" dxfId="1452" priority="394" operator="equal">
      <formula>0</formula>
    </cfRule>
  </conditionalFormatting>
  <conditionalFormatting sqref="AGY10:AGY12">
    <cfRule type="cellIs" dxfId="1451" priority="398" operator="greaterThan">
      <formula>0</formula>
    </cfRule>
    <cfRule type="cellIs" dxfId="1450" priority="397" operator="lessThan">
      <formula>0</formula>
    </cfRule>
    <cfRule type="cellIs" dxfId="1449" priority="396" operator="equal">
      <formula>0</formula>
    </cfRule>
  </conditionalFormatting>
  <conditionalFormatting sqref="AGY16">
    <cfRule type="cellIs" dxfId="1448" priority="400" operator="lessThan">
      <formula>0</formula>
    </cfRule>
    <cfRule type="cellIs" dxfId="1447" priority="401" operator="greaterThan">
      <formula>0</formula>
    </cfRule>
    <cfRule type="cellIs" dxfId="1446" priority="399" operator="equal">
      <formula>0</formula>
    </cfRule>
  </conditionalFormatting>
  <conditionalFormatting sqref="AHA18">
    <cfRule type="colorScale" priority="3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G10:AHG12">
    <cfRule type="cellIs" dxfId="1445" priority="376" operator="equal">
      <formula>0</formula>
    </cfRule>
    <cfRule type="cellIs" dxfId="1444" priority="377" operator="lessThan">
      <formula>0</formula>
    </cfRule>
  </conditionalFormatting>
  <conditionalFormatting sqref="AHG16">
    <cfRule type="cellIs" dxfId="1443" priority="378" operator="equal">
      <formula>0</formula>
    </cfRule>
    <cfRule type="cellIs" dxfId="1442" priority="379" operator="lessThan">
      <formula>0</formula>
    </cfRule>
  </conditionalFormatting>
  <conditionalFormatting sqref="AHI10:AHI12">
    <cfRule type="cellIs" dxfId="1441" priority="381" operator="lessThan">
      <formula>0</formula>
    </cfRule>
    <cfRule type="cellIs" dxfId="1440" priority="382" operator="greaterThan">
      <formula>0</formula>
    </cfRule>
    <cfRule type="cellIs" dxfId="1439" priority="380" operator="equal">
      <formula>0</formula>
    </cfRule>
  </conditionalFormatting>
  <conditionalFormatting sqref="AHI16">
    <cfRule type="cellIs" dxfId="1438" priority="385" operator="greaterThan">
      <formula>0</formula>
    </cfRule>
    <cfRule type="cellIs" dxfId="1437" priority="384" operator="lessThan">
      <formula>0</formula>
    </cfRule>
    <cfRule type="cellIs" dxfId="1436" priority="383" operator="equal">
      <formula>0</formula>
    </cfRule>
  </conditionalFormatting>
  <conditionalFormatting sqref="AHK18">
    <cfRule type="colorScale" priority="3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Q10:AHQ12">
    <cfRule type="cellIs" dxfId="1435" priority="361" operator="lessThan">
      <formula>0</formula>
    </cfRule>
    <cfRule type="cellIs" dxfId="1434" priority="360" operator="equal">
      <formula>0</formula>
    </cfRule>
  </conditionalFormatting>
  <conditionalFormatting sqref="AHQ16">
    <cfRule type="cellIs" dxfId="1433" priority="363" operator="lessThan">
      <formula>0</formula>
    </cfRule>
    <cfRule type="cellIs" dxfId="1432" priority="362" operator="equal">
      <formula>0</formula>
    </cfRule>
  </conditionalFormatting>
  <conditionalFormatting sqref="AHS10:AHS12">
    <cfRule type="cellIs" dxfId="1431" priority="365" operator="lessThan">
      <formula>0</formula>
    </cfRule>
    <cfRule type="cellIs" dxfId="1430" priority="366" operator="greaterThan">
      <formula>0</formula>
    </cfRule>
    <cfRule type="cellIs" dxfId="1429" priority="364" operator="equal">
      <formula>0</formula>
    </cfRule>
  </conditionalFormatting>
  <conditionalFormatting sqref="AHS16">
    <cfRule type="cellIs" dxfId="1428" priority="369" operator="greaterThan">
      <formula>0</formula>
    </cfRule>
    <cfRule type="cellIs" dxfId="1427" priority="368" operator="lessThan">
      <formula>0</formula>
    </cfRule>
    <cfRule type="cellIs" dxfId="1426" priority="367" operator="equal">
      <formula>0</formula>
    </cfRule>
  </conditionalFormatting>
  <conditionalFormatting sqref="AHU18">
    <cfRule type="colorScale" priority="3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A10:AIA12">
    <cfRule type="cellIs" dxfId="1425" priority="344" operator="equal">
      <formula>0</formula>
    </cfRule>
    <cfRule type="cellIs" dxfId="1424" priority="345" operator="lessThan">
      <formula>0</formula>
    </cfRule>
  </conditionalFormatting>
  <conditionalFormatting sqref="AIA16">
    <cfRule type="cellIs" dxfId="1423" priority="346" operator="equal">
      <formula>0</formula>
    </cfRule>
    <cfRule type="cellIs" dxfId="1422" priority="347" operator="lessThan">
      <formula>0</formula>
    </cfRule>
  </conditionalFormatting>
  <conditionalFormatting sqref="AIC10:AIC12">
    <cfRule type="cellIs" dxfId="1421" priority="348" operator="equal">
      <formula>0</formula>
    </cfRule>
    <cfRule type="cellIs" dxfId="1420" priority="349" operator="lessThan">
      <formula>0</formula>
    </cfRule>
    <cfRule type="cellIs" dxfId="1419" priority="350" operator="greaterThan">
      <formula>0</formula>
    </cfRule>
  </conditionalFormatting>
  <conditionalFormatting sqref="AIC16">
    <cfRule type="cellIs" dxfId="1418" priority="351" operator="equal">
      <formula>0</formula>
    </cfRule>
    <cfRule type="cellIs" dxfId="1417" priority="352" operator="lessThan">
      <formula>0</formula>
    </cfRule>
    <cfRule type="cellIs" dxfId="1416" priority="353" operator="greaterThan">
      <formula>0</formula>
    </cfRule>
  </conditionalFormatting>
  <conditionalFormatting sqref="AIE18">
    <cfRule type="colorScale" priority="3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K10:AIK12">
    <cfRule type="cellIs" dxfId="1415" priority="325" operator="lessThan">
      <formula>0</formula>
    </cfRule>
    <cfRule type="cellIs" dxfId="1414" priority="324" operator="equal">
      <formula>0</formula>
    </cfRule>
  </conditionalFormatting>
  <conditionalFormatting sqref="AIK16">
    <cfRule type="cellIs" dxfId="1413" priority="331" operator="lessThan">
      <formula>0</formula>
    </cfRule>
    <cfRule type="cellIs" dxfId="1412" priority="330" operator="equal">
      <formula>0</formula>
    </cfRule>
  </conditionalFormatting>
  <conditionalFormatting sqref="AIM10:AIM12">
    <cfRule type="cellIs" dxfId="1411" priority="323" operator="greaterThan">
      <formula>0</formula>
    </cfRule>
    <cfRule type="cellIs" dxfId="1410" priority="322" operator="lessThan">
      <formula>0</formula>
    </cfRule>
    <cfRule type="cellIs" dxfId="1409" priority="321" operator="equal">
      <formula>0</formula>
    </cfRule>
  </conditionalFormatting>
  <conditionalFormatting sqref="AIM16">
    <cfRule type="cellIs" dxfId="1408" priority="337" operator="greaterThan">
      <formula>0</formula>
    </cfRule>
    <cfRule type="cellIs" dxfId="1407" priority="336" operator="lessThan">
      <formula>0</formula>
    </cfRule>
    <cfRule type="cellIs" dxfId="1406" priority="335" operator="equal">
      <formula>0</formula>
    </cfRule>
  </conditionalFormatting>
  <conditionalFormatting sqref="AIO18">
    <cfRule type="colorScale" priority="30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U10:AIU12">
    <cfRule type="cellIs" dxfId="1405" priority="307" operator="lessThan">
      <formula>0</formula>
    </cfRule>
    <cfRule type="cellIs" dxfId="1404" priority="306" operator="equal">
      <formula>0</formula>
    </cfRule>
  </conditionalFormatting>
  <conditionalFormatting sqref="AIU16">
    <cfRule type="cellIs" dxfId="1403" priority="309" operator="lessThan">
      <formula>0</formula>
    </cfRule>
    <cfRule type="cellIs" dxfId="1402" priority="308" operator="equal">
      <formula>0</formula>
    </cfRule>
  </conditionalFormatting>
  <conditionalFormatting sqref="AIW10:AIW12">
    <cfRule type="cellIs" dxfId="1401" priority="310" operator="equal">
      <formula>0</formula>
    </cfRule>
    <cfRule type="cellIs" dxfId="1400" priority="312" operator="greaterThan">
      <formula>0</formula>
    </cfRule>
    <cfRule type="cellIs" dxfId="1399" priority="311" operator="lessThan">
      <formula>0</formula>
    </cfRule>
  </conditionalFormatting>
  <conditionalFormatting sqref="AIW16">
    <cfRule type="cellIs" dxfId="1398" priority="314" operator="lessThan">
      <formula>0</formula>
    </cfRule>
    <cfRule type="cellIs" dxfId="1397" priority="313" operator="equal">
      <formula>0</formula>
    </cfRule>
    <cfRule type="cellIs" dxfId="1396" priority="315" operator="greaterThan">
      <formula>0</formula>
    </cfRule>
  </conditionalFormatting>
  <conditionalFormatting sqref="AIY18">
    <cfRule type="colorScale" priority="2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E10:AJE12">
    <cfRule type="cellIs" dxfId="1395" priority="291" operator="lessThan">
      <formula>0</formula>
    </cfRule>
    <cfRule type="cellIs" dxfId="1394" priority="290" operator="equal">
      <formula>0</formula>
    </cfRule>
  </conditionalFormatting>
  <conditionalFormatting sqref="AJE16">
    <cfRule type="cellIs" dxfId="1393" priority="293" operator="lessThan">
      <formula>0</formula>
    </cfRule>
    <cfRule type="cellIs" dxfId="1392" priority="292" operator="equal">
      <formula>0</formula>
    </cfRule>
  </conditionalFormatting>
  <conditionalFormatting sqref="AJG10:AJG12">
    <cfRule type="cellIs" dxfId="1391" priority="295" operator="lessThan">
      <formula>0</formula>
    </cfRule>
    <cfRule type="cellIs" dxfId="1390" priority="296" operator="greaterThan">
      <formula>0</formula>
    </cfRule>
    <cfRule type="cellIs" dxfId="1389" priority="294" operator="equal">
      <formula>0</formula>
    </cfRule>
  </conditionalFormatting>
  <conditionalFormatting sqref="AJG16">
    <cfRule type="cellIs" dxfId="1388" priority="299" operator="greaterThan">
      <formula>0</formula>
    </cfRule>
    <cfRule type="cellIs" dxfId="1387" priority="298" operator="lessThan">
      <formula>0</formula>
    </cfRule>
    <cfRule type="cellIs" dxfId="1386" priority="297" operator="equal">
      <formula>0</formula>
    </cfRule>
  </conditionalFormatting>
  <conditionalFormatting sqref="AJI18">
    <cfRule type="colorScale" priority="2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O10:AJO12">
    <cfRule type="cellIs" dxfId="1385" priority="275" operator="lessThan">
      <formula>0</formula>
    </cfRule>
    <cfRule type="cellIs" dxfId="1384" priority="274" operator="equal">
      <formula>0</formula>
    </cfRule>
  </conditionalFormatting>
  <conditionalFormatting sqref="AJO16">
    <cfRule type="cellIs" dxfId="1383" priority="276" operator="equal">
      <formula>0</formula>
    </cfRule>
    <cfRule type="cellIs" dxfId="1382" priority="277" operator="lessThan">
      <formula>0</formula>
    </cfRule>
  </conditionalFormatting>
  <conditionalFormatting sqref="AJQ10:AJQ12">
    <cfRule type="cellIs" dxfId="1381" priority="280" operator="greaterThan">
      <formula>0</formula>
    </cfRule>
    <cfRule type="cellIs" dxfId="1380" priority="279" operator="lessThan">
      <formula>0</formula>
    </cfRule>
    <cfRule type="cellIs" dxfId="1379" priority="278" operator="equal">
      <formula>0</formula>
    </cfRule>
  </conditionalFormatting>
  <conditionalFormatting sqref="AJQ16">
    <cfRule type="cellIs" dxfId="1378" priority="282" operator="lessThan">
      <formula>0</formula>
    </cfRule>
    <cfRule type="cellIs" dxfId="1377" priority="283" operator="greaterThan">
      <formula>0</formula>
    </cfRule>
    <cfRule type="cellIs" dxfId="1376" priority="281" operator="equal">
      <formula>0</formula>
    </cfRule>
  </conditionalFormatting>
  <conditionalFormatting sqref="AJS18">
    <cfRule type="colorScale" priority="25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Y10:AJY12">
    <cfRule type="cellIs" dxfId="1375" priority="259" operator="lessThan">
      <formula>0</formula>
    </cfRule>
    <cfRule type="cellIs" dxfId="1374" priority="258" operator="equal">
      <formula>0</formula>
    </cfRule>
  </conditionalFormatting>
  <conditionalFormatting sqref="AJY16">
    <cfRule type="cellIs" dxfId="1373" priority="261" operator="lessThan">
      <formula>0</formula>
    </cfRule>
    <cfRule type="cellIs" dxfId="1372" priority="260" operator="equal">
      <formula>0</formula>
    </cfRule>
  </conditionalFormatting>
  <conditionalFormatting sqref="AKA10:AKA12">
    <cfRule type="cellIs" dxfId="1371" priority="262" operator="equal">
      <formula>0</formula>
    </cfRule>
    <cfRule type="cellIs" dxfId="1370" priority="264" operator="greaterThan">
      <formula>0</formula>
    </cfRule>
    <cfRule type="cellIs" dxfId="1369" priority="263" operator="lessThan">
      <formula>0</formula>
    </cfRule>
  </conditionalFormatting>
  <conditionalFormatting sqref="AKA16">
    <cfRule type="cellIs" dxfId="1368" priority="267" operator="greaterThan">
      <formula>0</formula>
    </cfRule>
    <cfRule type="cellIs" dxfId="1367" priority="266" operator="lessThan">
      <formula>0</formula>
    </cfRule>
    <cfRule type="cellIs" dxfId="1366" priority="265" operator="equal">
      <formula>0</formula>
    </cfRule>
  </conditionalFormatting>
  <conditionalFormatting sqref="AKC18">
    <cfRule type="colorScale" priority="24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I10:AKI12">
    <cfRule type="cellIs" dxfId="1365" priority="243" operator="lessThan">
      <formula>0</formula>
    </cfRule>
    <cfRule type="cellIs" dxfId="1364" priority="242" operator="equal">
      <formula>0</formula>
    </cfRule>
  </conditionalFormatting>
  <conditionalFormatting sqref="AKI16">
    <cfRule type="cellIs" dxfId="1363" priority="244" operator="equal">
      <formula>0</formula>
    </cfRule>
    <cfRule type="cellIs" dxfId="1362" priority="245" operator="lessThan">
      <formula>0</formula>
    </cfRule>
  </conditionalFormatting>
  <conditionalFormatting sqref="AKK10:AKK12">
    <cfRule type="cellIs" dxfId="1361" priority="248" operator="greaterThan">
      <formula>0</formula>
    </cfRule>
    <cfRule type="cellIs" dxfId="1360" priority="247" operator="lessThan">
      <formula>0</formula>
    </cfRule>
    <cfRule type="cellIs" dxfId="1359" priority="246" operator="equal">
      <formula>0</formula>
    </cfRule>
  </conditionalFormatting>
  <conditionalFormatting sqref="AKK16">
    <cfRule type="cellIs" dxfId="1358" priority="251" operator="greaterThan">
      <formula>0</formula>
    </cfRule>
    <cfRule type="cellIs" dxfId="1357" priority="250" operator="lessThan">
      <formula>0</formula>
    </cfRule>
    <cfRule type="cellIs" dxfId="1356" priority="249" operator="equal">
      <formula>0</formula>
    </cfRule>
  </conditionalFormatting>
  <conditionalFormatting sqref="AKM18">
    <cfRule type="colorScale" priority="22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S10:AKS12">
    <cfRule type="cellIs" dxfId="1355" priority="227" operator="lessThan">
      <formula>0</formula>
    </cfRule>
    <cfRule type="cellIs" dxfId="1354" priority="226" operator="equal">
      <formula>0</formula>
    </cfRule>
  </conditionalFormatting>
  <conditionalFormatting sqref="AKS16">
    <cfRule type="cellIs" dxfId="1353" priority="229" operator="lessThan">
      <formula>0</formula>
    </cfRule>
    <cfRule type="cellIs" dxfId="1352" priority="228" operator="equal">
      <formula>0</formula>
    </cfRule>
  </conditionalFormatting>
  <conditionalFormatting sqref="AKU10:AKU12">
    <cfRule type="cellIs" dxfId="1351" priority="231" operator="lessThan">
      <formula>0</formula>
    </cfRule>
    <cfRule type="cellIs" dxfId="1350" priority="230" operator="equal">
      <formula>0</formula>
    </cfRule>
    <cfRule type="cellIs" dxfId="1349" priority="232" operator="greaterThan">
      <formula>0</formula>
    </cfRule>
  </conditionalFormatting>
  <conditionalFormatting sqref="AKU16">
    <cfRule type="cellIs" dxfId="1348" priority="235" operator="greaterThan">
      <formula>0</formula>
    </cfRule>
    <cfRule type="cellIs" dxfId="1347" priority="234" operator="lessThan">
      <formula>0</formula>
    </cfRule>
    <cfRule type="cellIs" dxfId="1346" priority="233" operator="equal">
      <formula>0</formula>
    </cfRule>
  </conditionalFormatting>
  <conditionalFormatting sqref="AKW18">
    <cfRule type="colorScale" priority="20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C10:ALC12">
    <cfRule type="cellIs" dxfId="1345" priority="211" operator="lessThan">
      <formula>0</formula>
    </cfRule>
    <cfRule type="cellIs" dxfId="1344" priority="210" operator="equal">
      <formula>0</formula>
    </cfRule>
  </conditionalFormatting>
  <conditionalFormatting sqref="ALC16">
    <cfRule type="cellIs" dxfId="1343" priority="213" operator="lessThan">
      <formula>0</formula>
    </cfRule>
    <cfRule type="cellIs" dxfId="1342" priority="212" operator="equal">
      <formula>0</formula>
    </cfRule>
  </conditionalFormatting>
  <conditionalFormatting sqref="ALE10:ALE12">
    <cfRule type="cellIs" dxfId="1341" priority="215" operator="lessThan">
      <formula>0</formula>
    </cfRule>
    <cfRule type="cellIs" dxfId="1340" priority="214" operator="equal">
      <formula>0</formula>
    </cfRule>
    <cfRule type="cellIs" dxfId="1339" priority="216" operator="greaterThan">
      <formula>0</formula>
    </cfRule>
  </conditionalFormatting>
  <conditionalFormatting sqref="ALE16">
    <cfRule type="cellIs" dxfId="1338" priority="219" operator="greaterThan">
      <formula>0</formula>
    </cfRule>
    <cfRule type="cellIs" dxfId="1337" priority="218" operator="lessThan">
      <formula>0</formula>
    </cfRule>
    <cfRule type="cellIs" dxfId="1336" priority="217" operator="equal">
      <formula>0</formula>
    </cfRule>
  </conditionalFormatting>
  <conditionalFormatting sqref="ALG18">
    <cfRule type="colorScale" priority="1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M10:ALM12">
    <cfRule type="cellIs" dxfId="1335" priority="195" operator="lessThan">
      <formula>0</formula>
    </cfRule>
    <cfRule type="cellIs" dxfId="1334" priority="194" operator="equal">
      <formula>0</formula>
    </cfRule>
  </conditionalFormatting>
  <conditionalFormatting sqref="ALM16">
    <cfRule type="cellIs" dxfId="1333" priority="197" operator="lessThan">
      <formula>0</formula>
    </cfRule>
    <cfRule type="cellIs" dxfId="1332" priority="196" operator="equal">
      <formula>0</formula>
    </cfRule>
  </conditionalFormatting>
  <conditionalFormatting sqref="ALO10:ALO12">
    <cfRule type="cellIs" dxfId="1331" priority="199" operator="lessThan">
      <formula>0</formula>
    </cfRule>
    <cfRule type="cellIs" dxfId="1330" priority="200" operator="greaterThan">
      <formula>0</formula>
    </cfRule>
    <cfRule type="cellIs" dxfId="1329" priority="198" operator="equal">
      <formula>0</formula>
    </cfRule>
  </conditionalFormatting>
  <conditionalFormatting sqref="ALO16">
    <cfRule type="cellIs" dxfId="1328" priority="201" operator="equal">
      <formula>0</formula>
    </cfRule>
    <cfRule type="cellIs" dxfId="1327" priority="202" operator="lessThan">
      <formula>0</formula>
    </cfRule>
    <cfRule type="cellIs" dxfId="1326" priority="203" operator="greaterThan">
      <formula>0</formula>
    </cfRule>
  </conditionalFormatting>
  <conditionalFormatting sqref="ALQ18">
    <cfRule type="colorScale" priority="17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W3:ALW7">
    <cfRule type="cellIs" dxfId="1325" priority="189" operator="lessThan">
      <formula>0</formula>
    </cfRule>
    <cfRule type="cellIs" dxfId="1324" priority="188" operator="equal">
      <formula>0</formula>
    </cfRule>
  </conditionalFormatting>
  <conditionalFormatting sqref="ALW10:ALW12">
    <cfRule type="cellIs" dxfId="1323" priority="179" operator="lessThan">
      <formula>0</formula>
    </cfRule>
    <cfRule type="cellIs" dxfId="1322" priority="178" operator="equal">
      <formula>0</formula>
    </cfRule>
  </conditionalFormatting>
  <conditionalFormatting sqref="ALW16">
    <cfRule type="cellIs" dxfId="1321" priority="181" operator="lessThan">
      <formula>0</formula>
    </cfRule>
    <cfRule type="cellIs" dxfId="1320" priority="180" operator="equal">
      <formula>0</formula>
    </cfRule>
  </conditionalFormatting>
  <conditionalFormatting sqref="ALY3:ALY7">
    <cfRule type="cellIs" dxfId="1319" priority="192" operator="greaterThan">
      <formula>0</formula>
    </cfRule>
    <cfRule type="cellIs" dxfId="1318" priority="191" operator="lessThan">
      <formula>0</formula>
    </cfRule>
    <cfRule type="cellIs" dxfId="1317" priority="190" operator="equal">
      <formula>0</formula>
    </cfRule>
  </conditionalFormatting>
  <conditionalFormatting sqref="ALY10:ALY12">
    <cfRule type="cellIs" dxfId="1316" priority="182" operator="equal">
      <formula>0</formula>
    </cfRule>
    <cfRule type="cellIs" dxfId="1315" priority="184" operator="greaterThan">
      <formula>0</formula>
    </cfRule>
    <cfRule type="cellIs" dxfId="1314" priority="183" operator="lessThan">
      <formula>0</formula>
    </cfRule>
  </conditionalFormatting>
  <conditionalFormatting sqref="ALY16">
    <cfRule type="cellIs" dxfId="1313" priority="187" operator="greaterThan">
      <formula>0</formula>
    </cfRule>
    <cfRule type="cellIs" dxfId="1312" priority="186" operator="lessThan">
      <formula>0</formula>
    </cfRule>
    <cfRule type="cellIs" dxfId="1311" priority="185" operator="equal">
      <formula>0</formula>
    </cfRule>
  </conditionalFormatting>
  <conditionalFormatting sqref="AMA18">
    <cfRule type="colorScale" priority="1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G3:AMG7">
    <cfRule type="cellIs" dxfId="1310" priority="172" operator="equal">
      <formula>0</formula>
    </cfRule>
    <cfRule type="cellIs" dxfId="1309" priority="173" operator="lessThan">
      <formula>0</formula>
    </cfRule>
  </conditionalFormatting>
  <conditionalFormatting sqref="AMG10:AMG12">
    <cfRule type="cellIs" dxfId="1308" priority="161" operator="equal">
      <formula>0</formula>
    </cfRule>
    <cfRule type="cellIs" dxfId="1307" priority="162" operator="lessThan">
      <formula>0</formula>
    </cfRule>
  </conditionalFormatting>
  <conditionalFormatting sqref="AMG16">
    <cfRule type="cellIs" dxfId="1306" priority="165" operator="lessThan">
      <formula>0</formula>
    </cfRule>
    <cfRule type="cellIs" dxfId="1305" priority="164" operator="equal">
      <formula>0</formula>
    </cfRule>
  </conditionalFormatting>
  <conditionalFormatting sqref="AMI3:AMI7">
    <cfRule type="cellIs" dxfId="1304" priority="176" operator="greaterThan">
      <formula>0</formula>
    </cfRule>
    <cfRule type="cellIs" dxfId="1303" priority="175" operator="lessThan">
      <formula>0</formula>
    </cfRule>
    <cfRule type="cellIs" dxfId="1302" priority="174" operator="equal">
      <formula>0</formula>
    </cfRule>
  </conditionalFormatting>
  <conditionalFormatting sqref="AMI10:AMI12">
    <cfRule type="cellIs" dxfId="1301" priority="168" operator="greaterThan">
      <formula>0</formula>
    </cfRule>
    <cfRule type="cellIs" dxfId="1300" priority="167" operator="lessThan">
      <formula>0</formula>
    </cfRule>
    <cfRule type="cellIs" dxfId="1299" priority="166" operator="equal">
      <formula>0</formula>
    </cfRule>
  </conditionalFormatting>
  <conditionalFormatting sqref="AMI16">
    <cfRule type="cellIs" dxfId="1298" priority="171" operator="greaterThan">
      <formula>0</formula>
    </cfRule>
    <cfRule type="cellIs" dxfId="1297" priority="170" operator="lessThan">
      <formula>0</formula>
    </cfRule>
    <cfRule type="cellIs" dxfId="1296" priority="169" operator="equal">
      <formula>0</formula>
    </cfRule>
  </conditionalFormatting>
  <conditionalFormatting sqref="AMK18">
    <cfRule type="colorScale" priority="14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Q3:AMQ7">
    <cfRule type="cellIs" dxfId="1295" priority="157" operator="lessThan">
      <formula>0</formula>
    </cfRule>
    <cfRule type="cellIs" dxfId="1294" priority="156" operator="equal">
      <formula>0</formula>
    </cfRule>
  </conditionalFormatting>
  <conditionalFormatting sqref="AMQ10:AMQ12">
    <cfRule type="cellIs" dxfId="1293" priority="145" operator="equal">
      <formula>0</formula>
    </cfRule>
    <cfRule type="cellIs" dxfId="1292" priority="146" operator="lessThan">
      <formula>0</formula>
    </cfRule>
  </conditionalFormatting>
  <conditionalFormatting sqref="AMQ16">
    <cfRule type="cellIs" dxfId="1291" priority="148" operator="equal">
      <formula>0</formula>
    </cfRule>
    <cfRule type="cellIs" dxfId="1290" priority="149" operator="lessThan">
      <formula>0</formula>
    </cfRule>
  </conditionalFormatting>
  <conditionalFormatting sqref="AMS3:AMS7">
    <cfRule type="cellIs" dxfId="1289" priority="160" operator="greaterThan">
      <formula>0</formula>
    </cfRule>
    <cfRule type="cellIs" dxfId="1288" priority="159" operator="lessThan">
      <formula>0</formula>
    </cfRule>
    <cfRule type="cellIs" dxfId="1287" priority="158" operator="equal">
      <formula>0</formula>
    </cfRule>
  </conditionalFormatting>
  <conditionalFormatting sqref="AMS10:AMS12">
    <cfRule type="cellIs" dxfId="1286" priority="152" operator="greaterThan">
      <formula>0</formula>
    </cfRule>
    <cfRule type="cellIs" dxfId="1285" priority="151" operator="lessThan">
      <formula>0</formula>
    </cfRule>
    <cfRule type="cellIs" dxfId="1284" priority="150" operator="equal">
      <formula>0</formula>
    </cfRule>
  </conditionalFormatting>
  <conditionalFormatting sqref="AMS16">
    <cfRule type="cellIs" dxfId="1283" priority="153" operator="equal">
      <formula>0</formula>
    </cfRule>
    <cfRule type="cellIs" dxfId="1282" priority="155" operator="greaterThan">
      <formula>0</formula>
    </cfRule>
    <cfRule type="cellIs" dxfId="1281" priority="154" operator="lessThan">
      <formula>0</formula>
    </cfRule>
  </conditionalFormatting>
  <conditionalFormatting sqref="AMU18">
    <cfRule type="colorScale" priority="1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A3:ANA7">
    <cfRule type="cellIs" dxfId="1280" priority="141" operator="lessThan">
      <formula>0</formula>
    </cfRule>
    <cfRule type="cellIs" dxfId="1279" priority="140" operator="equal">
      <formula>0</formula>
    </cfRule>
  </conditionalFormatting>
  <conditionalFormatting sqref="ANA10:ANA12">
    <cfRule type="cellIs" dxfId="1278" priority="130" operator="lessThan">
      <formula>0</formula>
    </cfRule>
    <cfRule type="cellIs" dxfId="1277" priority="129" operator="equal">
      <formula>0</formula>
    </cfRule>
  </conditionalFormatting>
  <conditionalFormatting sqref="ANA16">
    <cfRule type="cellIs" dxfId="1276" priority="132" operator="equal">
      <formula>0</formula>
    </cfRule>
    <cfRule type="cellIs" dxfId="1275" priority="133" operator="lessThan">
      <formula>0</formula>
    </cfRule>
  </conditionalFormatting>
  <conditionalFormatting sqref="ANC3:ANC7">
    <cfRule type="cellIs" dxfId="1274" priority="144" operator="greaterThan">
      <formula>0</formula>
    </cfRule>
    <cfRule type="cellIs" dxfId="1273" priority="143" operator="lessThan">
      <formula>0</formula>
    </cfRule>
    <cfRule type="cellIs" dxfId="1272" priority="142" operator="equal">
      <formula>0</formula>
    </cfRule>
  </conditionalFormatting>
  <conditionalFormatting sqref="ANC10:ANC12">
    <cfRule type="cellIs" dxfId="1271" priority="134" operator="equal">
      <formula>0</formula>
    </cfRule>
    <cfRule type="cellIs" dxfId="1270" priority="135" operator="lessThan">
      <formula>0</formula>
    </cfRule>
    <cfRule type="cellIs" dxfId="1269" priority="136" operator="greaterThan">
      <formula>0</formula>
    </cfRule>
  </conditionalFormatting>
  <conditionalFormatting sqref="ANC16">
    <cfRule type="cellIs" dxfId="1268" priority="138" operator="lessThan">
      <formula>0</formula>
    </cfRule>
    <cfRule type="cellIs" dxfId="1267" priority="137" operator="equal">
      <formula>0</formula>
    </cfRule>
    <cfRule type="cellIs" dxfId="1266" priority="139" operator="greaterThan">
      <formula>0</formula>
    </cfRule>
  </conditionalFormatting>
  <conditionalFormatting sqref="ANE18">
    <cfRule type="colorScale" priority="1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K3:ANK7">
    <cfRule type="cellIs" dxfId="1265" priority="125" operator="lessThan">
      <formula>0</formula>
    </cfRule>
    <cfRule type="cellIs" dxfId="1264" priority="124" operator="equal">
      <formula>0</formula>
    </cfRule>
  </conditionalFormatting>
  <conditionalFormatting sqref="ANK10:ANK12">
    <cfRule type="cellIs" dxfId="1263" priority="114" operator="lessThan">
      <formula>0</formula>
    </cfRule>
    <cfRule type="cellIs" dxfId="1262" priority="113" operator="equal">
      <formula>0</formula>
    </cfRule>
  </conditionalFormatting>
  <conditionalFormatting sqref="ANK16">
    <cfRule type="cellIs" dxfId="1261" priority="117" operator="lessThan">
      <formula>0</formula>
    </cfRule>
    <cfRule type="cellIs" dxfId="1260" priority="116" operator="equal">
      <formula>0</formula>
    </cfRule>
  </conditionalFormatting>
  <conditionalFormatting sqref="ANM3:ANM7">
    <cfRule type="cellIs" dxfId="1259" priority="127" operator="lessThan">
      <formula>0</formula>
    </cfRule>
    <cfRule type="cellIs" dxfId="1258" priority="126" operator="equal">
      <formula>0</formula>
    </cfRule>
    <cfRule type="cellIs" dxfId="1257" priority="128" operator="greaterThan">
      <formula>0</formula>
    </cfRule>
  </conditionalFormatting>
  <conditionalFormatting sqref="ANM10:ANM12">
    <cfRule type="cellIs" dxfId="1256" priority="120" operator="greaterThan">
      <formula>0</formula>
    </cfRule>
    <cfRule type="cellIs" dxfId="1255" priority="119" operator="lessThan">
      <formula>0</formula>
    </cfRule>
    <cfRule type="cellIs" dxfId="1254" priority="118" operator="equal">
      <formula>0</formula>
    </cfRule>
  </conditionalFormatting>
  <conditionalFormatting sqref="ANM16">
    <cfRule type="cellIs" dxfId="1253" priority="123" operator="greaterThan">
      <formula>0</formula>
    </cfRule>
    <cfRule type="cellIs" dxfId="1252" priority="122" operator="lessThan">
      <formula>0</formula>
    </cfRule>
    <cfRule type="cellIs" dxfId="1251" priority="121" operator="equal">
      <formula>0</formula>
    </cfRule>
  </conditionalFormatting>
  <conditionalFormatting sqref="ANO18">
    <cfRule type="colorScale" priority="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U3:ANU7">
    <cfRule type="cellIs" dxfId="1250" priority="109" operator="lessThan">
      <formula>0</formula>
    </cfRule>
    <cfRule type="cellIs" dxfId="1249" priority="108" operator="equal">
      <formula>0</formula>
    </cfRule>
  </conditionalFormatting>
  <conditionalFormatting sqref="ANU10:ANU12">
    <cfRule type="cellIs" dxfId="1248" priority="97" operator="equal">
      <formula>0</formula>
    </cfRule>
    <cfRule type="cellIs" dxfId="1247" priority="98" operator="lessThan">
      <formula>0</formula>
    </cfRule>
  </conditionalFormatting>
  <conditionalFormatting sqref="ANU16">
    <cfRule type="cellIs" dxfId="1246" priority="101" operator="lessThan">
      <formula>0</formula>
    </cfRule>
    <cfRule type="cellIs" dxfId="1245" priority="100" operator="equal">
      <formula>0</formula>
    </cfRule>
  </conditionalFormatting>
  <conditionalFormatting sqref="ANW3:ANW7">
    <cfRule type="cellIs" dxfId="1244" priority="112" operator="greaterThan">
      <formula>0</formula>
    </cfRule>
    <cfRule type="cellIs" dxfId="1243" priority="111" operator="lessThan">
      <formula>0</formula>
    </cfRule>
    <cfRule type="cellIs" dxfId="1242" priority="110" operator="equal">
      <formula>0</formula>
    </cfRule>
  </conditionalFormatting>
  <conditionalFormatting sqref="ANW10:ANW12">
    <cfRule type="cellIs" dxfId="1241" priority="104" operator="greaterThan">
      <formula>0</formula>
    </cfRule>
    <cfRule type="cellIs" dxfId="1240" priority="103" operator="lessThan">
      <formula>0</formula>
    </cfRule>
    <cfRule type="cellIs" dxfId="1239" priority="102" operator="equal">
      <formula>0</formula>
    </cfRule>
  </conditionalFormatting>
  <conditionalFormatting sqref="ANW16">
    <cfRule type="cellIs" dxfId="1238" priority="106" operator="lessThan">
      <formula>0</formula>
    </cfRule>
    <cfRule type="cellIs" dxfId="1237" priority="105" operator="equal">
      <formula>0</formula>
    </cfRule>
    <cfRule type="cellIs" dxfId="1236" priority="107" operator="greaterThan">
      <formula>0</formula>
    </cfRule>
  </conditionalFormatting>
  <conditionalFormatting sqref="ANY18">
    <cfRule type="colorScale" priority="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E3:AOE7">
    <cfRule type="cellIs" dxfId="1235" priority="92" operator="equal">
      <formula>0</formula>
    </cfRule>
    <cfRule type="cellIs" dxfId="1234" priority="93" operator="lessThan">
      <formula>0</formula>
    </cfRule>
  </conditionalFormatting>
  <conditionalFormatting sqref="AOE10:AOE12">
    <cfRule type="cellIs" dxfId="1233" priority="81" operator="equal">
      <formula>0</formula>
    </cfRule>
    <cfRule type="cellIs" dxfId="1232" priority="82" operator="lessThan">
      <formula>0</formula>
    </cfRule>
  </conditionalFormatting>
  <conditionalFormatting sqref="AOE16">
    <cfRule type="cellIs" dxfId="1231" priority="85" operator="lessThan">
      <formula>0</formula>
    </cfRule>
    <cfRule type="cellIs" dxfId="1230" priority="84" operator="equal">
      <formula>0</formula>
    </cfRule>
  </conditionalFormatting>
  <conditionalFormatting sqref="AOG3:AOG7">
    <cfRule type="cellIs" dxfId="1229" priority="96" operator="greaterThan">
      <formula>0</formula>
    </cfRule>
    <cfRule type="cellIs" dxfId="1228" priority="95" operator="lessThan">
      <formula>0</formula>
    </cfRule>
    <cfRule type="cellIs" dxfId="1227" priority="94" operator="equal">
      <formula>0</formula>
    </cfRule>
  </conditionalFormatting>
  <conditionalFormatting sqref="AOG10:AOG12">
    <cfRule type="cellIs" dxfId="1226" priority="86" operator="equal">
      <formula>0</formula>
    </cfRule>
    <cfRule type="cellIs" dxfId="1225" priority="88" operator="greaterThan">
      <formula>0</formula>
    </cfRule>
    <cfRule type="cellIs" dxfId="1224" priority="87" operator="lessThan">
      <formula>0</formula>
    </cfRule>
  </conditionalFormatting>
  <conditionalFormatting sqref="AOG16">
    <cfRule type="cellIs" dxfId="1223" priority="91" operator="greaterThan">
      <formula>0</formula>
    </cfRule>
    <cfRule type="cellIs" dxfId="1222" priority="90" operator="lessThan">
      <formula>0</formula>
    </cfRule>
    <cfRule type="cellIs" dxfId="1221" priority="89" operator="equal">
      <formula>0</formula>
    </cfRule>
  </conditionalFormatting>
  <conditionalFormatting sqref="AOI18">
    <cfRule type="colorScale" priority="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O3:AOO7">
    <cfRule type="cellIs" dxfId="1220" priority="77" operator="lessThan">
      <formula>0</formula>
    </cfRule>
    <cfRule type="cellIs" dxfId="1219" priority="76" operator="equal">
      <formula>0</formula>
    </cfRule>
  </conditionalFormatting>
  <conditionalFormatting sqref="AOO10:AOO12">
    <cfRule type="cellIs" dxfId="1218" priority="66" operator="lessThan">
      <formula>0</formula>
    </cfRule>
    <cfRule type="cellIs" dxfId="1217" priority="65" operator="equal">
      <formula>0</formula>
    </cfRule>
  </conditionalFormatting>
  <conditionalFormatting sqref="AOO16">
    <cfRule type="cellIs" dxfId="1216" priority="69" operator="lessThan">
      <formula>0</formula>
    </cfRule>
    <cfRule type="cellIs" dxfId="1215" priority="68" operator="equal">
      <formula>0</formula>
    </cfRule>
  </conditionalFormatting>
  <conditionalFormatting sqref="AOQ3:AOQ7">
    <cfRule type="cellIs" dxfId="1214" priority="79" operator="lessThan">
      <formula>0</formula>
    </cfRule>
    <cfRule type="cellIs" dxfId="1213" priority="80" operator="greaterThan">
      <formula>0</formula>
    </cfRule>
    <cfRule type="cellIs" dxfId="1212" priority="78" operator="equal">
      <formula>0</formula>
    </cfRule>
  </conditionalFormatting>
  <conditionalFormatting sqref="AOQ10:AOQ12">
    <cfRule type="cellIs" dxfId="1211" priority="72" operator="greaterThan">
      <formula>0</formula>
    </cfRule>
    <cfRule type="cellIs" dxfId="1210" priority="71" operator="lessThan">
      <formula>0</formula>
    </cfRule>
    <cfRule type="cellIs" dxfId="1209" priority="70" operator="equal">
      <formula>0</formula>
    </cfRule>
  </conditionalFormatting>
  <conditionalFormatting sqref="AOQ16">
    <cfRule type="cellIs" dxfId="1208" priority="73" operator="equal">
      <formula>0</formula>
    </cfRule>
    <cfRule type="cellIs" dxfId="1207" priority="75" operator="greaterThan">
      <formula>0</formula>
    </cfRule>
    <cfRule type="cellIs" dxfId="1206" priority="74" operator="lessThan">
      <formula>0</formula>
    </cfRule>
  </conditionalFormatting>
  <conditionalFormatting sqref="AOS18">
    <cfRule type="colorScale" priority="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Y3:AOY7">
    <cfRule type="cellIs" dxfId="1205" priority="61" operator="lessThan">
      <formula>0</formula>
    </cfRule>
    <cfRule type="cellIs" dxfId="1204" priority="60" operator="equal">
      <formula>0</formula>
    </cfRule>
  </conditionalFormatting>
  <conditionalFormatting sqref="AOY10:AOY12">
    <cfRule type="cellIs" dxfId="1203" priority="50" operator="lessThan">
      <formula>0</formula>
    </cfRule>
    <cfRule type="cellIs" dxfId="1202" priority="49" operator="equal">
      <formula>0</formula>
    </cfRule>
  </conditionalFormatting>
  <conditionalFormatting sqref="AOY16">
    <cfRule type="cellIs" dxfId="1201" priority="52" operator="equal">
      <formula>0</formula>
    </cfRule>
    <cfRule type="cellIs" dxfId="1200" priority="53" operator="lessThan">
      <formula>0</formula>
    </cfRule>
  </conditionalFormatting>
  <conditionalFormatting sqref="APA3:APA7">
    <cfRule type="cellIs" dxfId="1199" priority="64" operator="greaterThan">
      <formula>0</formula>
    </cfRule>
    <cfRule type="cellIs" dxfId="1198" priority="63" operator="lessThan">
      <formula>0</formula>
    </cfRule>
    <cfRule type="cellIs" dxfId="1197" priority="62" operator="equal">
      <formula>0</formula>
    </cfRule>
  </conditionalFormatting>
  <conditionalFormatting sqref="APA10:APA12">
    <cfRule type="cellIs" dxfId="1196" priority="55" operator="lessThan">
      <formula>0</formula>
    </cfRule>
    <cfRule type="cellIs" dxfId="1195" priority="56" operator="greaterThan">
      <formula>0</formula>
    </cfRule>
    <cfRule type="cellIs" dxfId="1194" priority="54" operator="equal">
      <formula>0</formula>
    </cfRule>
  </conditionalFormatting>
  <conditionalFormatting sqref="APA16">
    <cfRule type="cellIs" dxfId="1193" priority="59" operator="greaterThan">
      <formula>0</formula>
    </cfRule>
    <cfRule type="cellIs" dxfId="1192" priority="58" operator="lessThan">
      <formula>0</formula>
    </cfRule>
    <cfRule type="cellIs" dxfId="1191" priority="57" operator="equal">
      <formula>0</formula>
    </cfRule>
  </conditionalFormatting>
  <conditionalFormatting sqref="APC18">
    <cfRule type="colorScale" priority="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I3:API7">
    <cfRule type="cellIs" dxfId="1190" priority="45" operator="lessThan">
      <formula>0</formula>
    </cfRule>
    <cfRule type="cellIs" dxfId="1189" priority="44" operator="equal">
      <formula>0</formula>
    </cfRule>
  </conditionalFormatting>
  <conditionalFormatting sqref="API10:API12">
    <cfRule type="cellIs" dxfId="1188" priority="34" operator="lessThan">
      <formula>0</formula>
    </cfRule>
    <cfRule type="cellIs" dxfId="1187" priority="33" operator="equal">
      <formula>0</formula>
    </cfRule>
  </conditionalFormatting>
  <conditionalFormatting sqref="API16">
    <cfRule type="cellIs" dxfId="1186" priority="37" operator="lessThan">
      <formula>0</formula>
    </cfRule>
    <cfRule type="cellIs" dxfId="1185" priority="36" operator="equal">
      <formula>0</formula>
    </cfRule>
  </conditionalFormatting>
  <conditionalFormatting sqref="APK3:APK7">
    <cfRule type="cellIs" dxfId="1184" priority="46" operator="equal">
      <formula>0</formula>
    </cfRule>
    <cfRule type="cellIs" dxfId="1183" priority="48" operator="greaterThan">
      <formula>0</formula>
    </cfRule>
    <cfRule type="cellIs" dxfId="1182" priority="47" operator="lessThan">
      <formula>0</formula>
    </cfRule>
  </conditionalFormatting>
  <conditionalFormatting sqref="APK10:APK12">
    <cfRule type="cellIs" dxfId="1181" priority="40" operator="greaterThan">
      <formula>0</formula>
    </cfRule>
    <cfRule type="cellIs" dxfId="1180" priority="39" operator="lessThan">
      <formula>0</formula>
    </cfRule>
    <cfRule type="cellIs" dxfId="1179" priority="38" operator="equal">
      <formula>0</formula>
    </cfRule>
  </conditionalFormatting>
  <conditionalFormatting sqref="APK16">
    <cfRule type="cellIs" dxfId="1178" priority="43" operator="greaterThan">
      <formula>0</formula>
    </cfRule>
    <cfRule type="cellIs" dxfId="1177" priority="42" operator="lessThan">
      <formula>0</formula>
    </cfRule>
    <cfRule type="cellIs" dxfId="1176" priority="41" operator="equal">
      <formula>0</formula>
    </cfRule>
  </conditionalFormatting>
  <conditionalFormatting sqref="APM18">
    <cfRule type="colorScale" priority="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PS3:APS7">
    <cfRule type="cellIs" dxfId="1175" priority="29" operator="lessThan">
      <formula>0</formula>
    </cfRule>
    <cfRule type="cellIs" dxfId="1174" priority="28" operator="equal">
      <formula>0</formula>
    </cfRule>
  </conditionalFormatting>
  <conditionalFormatting sqref="APS10:APS12">
    <cfRule type="cellIs" dxfId="1173" priority="18" operator="lessThan">
      <formula>0</formula>
    </cfRule>
    <cfRule type="cellIs" dxfId="1172" priority="17" operator="equal">
      <formula>0</formula>
    </cfRule>
  </conditionalFormatting>
  <conditionalFormatting sqref="APS16">
    <cfRule type="cellIs" dxfId="1171" priority="21" operator="lessThan">
      <formula>0</formula>
    </cfRule>
    <cfRule type="cellIs" dxfId="1170" priority="20" operator="equal">
      <formula>0</formula>
    </cfRule>
  </conditionalFormatting>
  <conditionalFormatting sqref="APU3:APU7">
    <cfRule type="cellIs" dxfId="1169" priority="32" operator="greaterThan">
      <formula>0</formula>
    </cfRule>
    <cfRule type="cellIs" dxfId="1168" priority="31" operator="lessThan">
      <formula>0</formula>
    </cfRule>
    <cfRule type="cellIs" dxfId="1167" priority="30" operator="equal">
      <formula>0</formula>
    </cfRule>
  </conditionalFormatting>
  <conditionalFormatting sqref="APU10:APU12">
    <cfRule type="cellIs" dxfId="1166" priority="24" operator="greaterThan">
      <formula>0</formula>
    </cfRule>
    <cfRule type="cellIs" dxfId="1165" priority="23" operator="lessThan">
      <formula>0</formula>
    </cfRule>
    <cfRule type="cellIs" dxfId="1164" priority="22" operator="equal">
      <formula>0</formula>
    </cfRule>
  </conditionalFormatting>
  <conditionalFormatting sqref="APU16">
    <cfRule type="cellIs" dxfId="1163" priority="27" operator="greaterThan">
      <formula>0</formula>
    </cfRule>
    <cfRule type="cellIs" dxfId="1162" priority="26" operator="lessThan">
      <formula>0</formula>
    </cfRule>
    <cfRule type="cellIs" dxfId="1161" priority="25" operator="equal">
      <formula>0</formula>
    </cfRule>
  </conditionalFormatting>
  <conditionalFormatting sqref="APW18">
    <cfRule type="colorScale" priority="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QC3:AQC7">
    <cfRule type="cellIs" dxfId="1160" priority="13" operator="lessThan">
      <formula>0</formula>
    </cfRule>
    <cfRule type="cellIs" dxfId="1159" priority="12" operator="equal">
      <formula>0</formula>
    </cfRule>
  </conditionalFormatting>
  <conditionalFormatting sqref="AQC10:AQC12">
    <cfRule type="cellIs" dxfId="1158" priority="1" operator="equal">
      <formula>0</formula>
    </cfRule>
    <cfRule type="cellIs" dxfId="1157" priority="2" operator="lessThan">
      <formula>0</formula>
    </cfRule>
  </conditionalFormatting>
  <conditionalFormatting sqref="AQC16">
    <cfRule type="cellIs" dxfId="1156" priority="4" operator="equal">
      <formula>0</formula>
    </cfRule>
    <cfRule type="cellIs" dxfId="1155" priority="5" operator="lessThan">
      <formula>0</formula>
    </cfRule>
  </conditionalFormatting>
  <conditionalFormatting sqref="AQE3:AQE7">
    <cfRule type="cellIs" dxfId="1154" priority="16" operator="greaterThan">
      <formula>0</formula>
    </cfRule>
    <cfRule type="cellIs" dxfId="1153" priority="15" operator="lessThan">
      <formula>0</formula>
    </cfRule>
    <cfRule type="cellIs" dxfId="1152" priority="14" operator="equal">
      <formula>0</formula>
    </cfRule>
  </conditionalFormatting>
  <conditionalFormatting sqref="AQE10:AQE12">
    <cfRule type="cellIs" dxfId="1151" priority="7" operator="lessThan">
      <formula>0</formula>
    </cfRule>
    <cfRule type="cellIs" dxfId="1150" priority="6" operator="equal">
      <formula>0</formula>
    </cfRule>
    <cfRule type="cellIs" dxfId="1149" priority="8" operator="greaterThan">
      <formula>0</formula>
    </cfRule>
  </conditionalFormatting>
  <conditionalFormatting sqref="AQE16">
    <cfRule type="cellIs" dxfId="1148" priority="11" operator="greaterThan">
      <formula>0</formula>
    </cfRule>
    <cfRule type="cellIs" dxfId="1147" priority="10" operator="lessThan">
      <formula>0</formula>
    </cfRule>
    <cfRule type="cellIs" dxfId="1146" priority="9" operator="equal">
      <formula>0</formula>
    </cfRule>
  </conditionalFormatting>
  <pageMargins left="0.25" right="0.25" top="0.80208333333333337" bottom="0.5608974358974359" header="0.3" footer="0.3"/>
  <pageSetup fitToWidth="0" fitToHeight="0" orientation="landscape" r:id="rId1"/>
  <headerFooter>
    <oddHeader>&amp;L&amp;"Calibri,Bold"&amp;16NORTH&amp;C&amp;"Calibri,Bold"&amp;16BEER - PREMIUM&amp;R&amp;"Calibri,Bold"&amp;16MON for TUE - &amp;UAS&amp;"Calibri,Regular"&amp;11&amp;U
&amp;7Printed &amp;D &amp;T</oddHeader>
    <oddFooter>&amp;C&amp;7&amp;Z&amp;F(GV 10/13/25)&amp;R&amp;7&amp;P of &amp;N</oddFooter>
  </headerFooter>
  <cellWatches>
    <cellWatch r="WG3"/>
  </cellWatche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037B-9E6F-45C9-8269-6CF1C52A764B}">
  <sheetPr>
    <tabColor rgb="FFFF0000"/>
  </sheetPr>
  <dimension ref="A1:AA21"/>
  <sheetViews>
    <sheetView topLeftCell="K1" zoomScale="130" zoomScaleNormal="130" workbookViewId="0">
      <selection activeCell="T2" sqref="K1:T1048576"/>
    </sheetView>
  </sheetViews>
  <sheetFormatPr defaultRowHeight="15" x14ac:dyDescent="0.25"/>
  <cols>
    <col min="1" max="1" width="1.28515625" style="1" hidden="1" customWidth="1"/>
    <col min="2" max="2" width="3.140625" style="8" hidden="1" customWidth="1"/>
    <col min="3" max="3" width="2.42578125" style="9" hidden="1" customWidth="1"/>
    <col min="4" max="4" width="3.140625" style="8" hidden="1" customWidth="1"/>
    <col min="5" max="5" width="2.42578125" style="9" hidden="1" customWidth="1"/>
    <col min="6" max="10" width="3.140625" style="8" hidden="1" customWidth="1"/>
    <col min="11" max="11" width="1.28515625" style="1" customWidth="1"/>
    <col min="12" max="12" width="3.140625" style="8" customWidth="1"/>
    <col min="13" max="13" width="2.42578125" style="9" customWidth="1"/>
    <col min="14" max="14" width="3.140625" style="8" customWidth="1"/>
    <col min="15" max="15" width="2.42578125" style="9" customWidth="1"/>
    <col min="16" max="20" width="3.140625" style="8" customWidth="1"/>
    <col min="22" max="22" width="8.42578125" style="27" bestFit="1" customWidth="1"/>
    <col min="23" max="23" width="33.85546875" style="27" bestFit="1" customWidth="1"/>
    <col min="24" max="24" width="26.42578125" bestFit="1" customWidth="1"/>
    <col min="25" max="25" width="12.140625" customWidth="1"/>
  </cols>
  <sheetData>
    <row r="1" spans="1:27" x14ac:dyDescent="0.25">
      <c r="B1" s="62" t="s">
        <v>0</v>
      </c>
      <c r="C1" s="63"/>
      <c r="D1" s="62" t="s">
        <v>2</v>
      </c>
      <c r="E1" s="70"/>
      <c r="F1" s="63"/>
      <c r="G1" s="64" t="s">
        <v>1</v>
      </c>
      <c r="H1" s="64"/>
      <c r="I1" s="68">
        <v>45536</v>
      </c>
      <c r="J1" s="68"/>
      <c r="L1" s="53" t="s">
        <v>0</v>
      </c>
      <c r="M1" s="54"/>
      <c r="N1" s="55"/>
      <c r="O1" s="56"/>
      <c r="P1" s="57"/>
      <c r="Q1" s="58" t="s">
        <v>1</v>
      </c>
      <c r="R1" s="58"/>
      <c r="S1" s="59"/>
      <c r="T1" s="59"/>
    </row>
    <row r="2" spans="1:27" x14ac:dyDescent="0.25">
      <c r="A2" s="21"/>
      <c r="B2" s="39" t="s">
        <v>11</v>
      </c>
      <c r="C2" s="40"/>
      <c r="D2" s="39" t="s">
        <v>12</v>
      </c>
      <c r="E2" s="40"/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21"/>
      <c r="L2" s="60" t="s">
        <v>11</v>
      </c>
      <c r="M2" s="61"/>
      <c r="N2" s="60" t="s">
        <v>12</v>
      </c>
      <c r="O2" s="61"/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V2" s="25" t="s">
        <v>45</v>
      </c>
      <c r="W2" s="26" t="s">
        <v>46</v>
      </c>
    </row>
    <row r="3" spans="1:27" x14ac:dyDescent="0.25">
      <c r="B3" s="24">
        <v>24</v>
      </c>
      <c r="C3" s="6" t="s">
        <v>20</v>
      </c>
      <c r="D3" s="24"/>
      <c r="E3" s="6" t="s">
        <v>20</v>
      </c>
      <c r="F3" s="5">
        <f>IF(OR(ISNUMBER(B3), ISNUMBER(D3)), IF(ISNUMBER(B3), B3, 0) + IF(ISNUMBER(D3), D3, 0), "")</f>
        <v>24</v>
      </c>
      <c r="G3" s="3"/>
      <c r="H3" s="7" t="e">
        <f t="shared" ref="H3" si="0">IF(ISNUMBER(F3), (#REF! + (#REF! * 24)) - F3, "")</f>
        <v>#REF!</v>
      </c>
      <c r="I3" s="5">
        <v>4</v>
      </c>
      <c r="J3" s="7" t="e">
        <f>IF(ISNUMBER(I3), I3-H3, "")</f>
        <v>#REF!</v>
      </c>
      <c r="L3" s="2"/>
      <c r="M3" s="6" t="s">
        <v>20</v>
      </c>
      <c r="N3" s="2"/>
      <c r="O3" s="6" t="s">
        <v>20</v>
      </c>
      <c r="P3" s="5" t="str">
        <f>IF(OR(ISNUMBER(L3), ISNUMBER(N3)), IF(ISNUMBER(L3), L3, 0) + IF(ISNUMBER(N3), N3, 0), "")</f>
        <v/>
      </c>
      <c r="Q3" s="3"/>
      <c r="R3" s="7" t="str">
        <f t="shared" ref="R3:R7" si="1">IF(ISNUMBER(P3), (F3 + (G3 * 24)) - P3, "")</f>
        <v/>
      </c>
      <c r="S3" s="5"/>
      <c r="T3" s="7" t="str">
        <f>IF(ISNUMBER(S3), S3-R3, "")</f>
        <v/>
      </c>
      <c r="V3" s="25" t="s">
        <v>47</v>
      </c>
      <c r="W3" s="26" t="s">
        <v>48</v>
      </c>
    </row>
    <row r="4" spans="1:27" x14ac:dyDescent="0.25">
      <c r="B4" s="24">
        <v>0</v>
      </c>
      <c r="C4" s="6" t="s">
        <v>20</v>
      </c>
      <c r="D4" s="24">
        <v>24</v>
      </c>
      <c r="E4" s="6" t="s">
        <v>20</v>
      </c>
      <c r="F4" s="5">
        <f t="shared" ref="F4:F10" si="2">IF(OR(ISNUMBER(B4), ISNUMBER(D4)), IF(ISNUMBER(B4), B4, 0) + IF(ISNUMBER(D4), D4, 0), "")</f>
        <v>24</v>
      </c>
      <c r="G4" s="3"/>
      <c r="H4" s="7" t="e">
        <f t="shared" ref="H4" si="3">IF(ISNUMBER(F4), (#REF! + (#REF! * 24)) - F4, "")</f>
        <v>#REF!</v>
      </c>
      <c r="I4" s="5">
        <v>1</v>
      </c>
      <c r="J4" s="7" t="e">
        <f t="shared" ref="J4:J10" si="4">IF(ISNUMBER(I4), I4-H4, "")</f>
        <v>#REF!</v>
      </c>
      <c r="L4" s="2"/>
      <c r="M4" s="6" t="s">
        <v>20</v>
      </c>
      <c r="N4" s="2"/>
      <c r="O4" s="6" t="s">
        <v>20</v>
      </c>
      <c r="P4" s="5" t="str">
        <f t="shared" ref="P4:P7" si="5">IF(OR(ISNUMBER(L4), ISNUMBER(N4)), IF(ISNUMBER(L4), L4, 0) + IF(ISNUMBER(N4), N4, 0), "")</f>
        <v/>
      </c>
      <c r="Q4" s="3"/>
      <c r="R4" s="7" t="str">
        <f t="shared" si="1"/>
        <v/>
      </c>
      <c r="S4" s="5"/>
      <c r="T4" s="7" t="str">
        <f t="shared" ref="T4:T7" si="6">IF(ISNUMBER(S4), S4-R4, "")</f>
        <v/>
      </c>
      <c r="V4" s="25" t="s">
        <v>49</v>
      </c>
      <c r="W4" s="26" t="s">
        <v>50</v>
      </c>
    </row>
    <row r="5" spans="1:27" x14ac:dyDescent="0.25">
      <c r="B5" s="24">
        <v>6</v>
      </c>
      <c r="C5" s="6" t="s">
        <v>20</v>
      </c>
      <c r="D5" s="24">
        <v>2</v>
      </c>
      <c r="E5" s="6" t="s">
        <v>20</v>
      </c>
      <c r="F5" s="5">
        <f t="shared" si="2"/>
        <v>8</v>
      </c>
      <c r="G5" s="3"/>
      <c r="H5" s="7" t="e">
        <f t="shared" ref="H5" si="7">IF(ISNUMBER(F5), (#REF! + (#REF! * 24)) - F5, "")</f>
        <v>#REF!</v>
      </c>
      <c r="I5" s="5">
        <v>1</v>
      </c>
      <c r="J5" s="7" t="e">
        <f t="shared" si="4"/>
        <v>#REF!</v>
      </c>
      <c r="L5" s="2"/>
      <c r="M5" s="6" t="s">
        <v>20</v>
      </c>
      <c r="N5" s="2"/>
      <c r="O5" s="6" t="s">
        <v>20</v>
      </c>
      <c r="P5" s="5" t="str">
        <f t="shared" si="5"/>
        <v/>
      </c>
      <c r="Q5" s="3"/>
      <c r="R5" s="7" t="str">
        <f t="shared" si="1"/>
        <v/>
      </c>
      <c r="S5" s="5"/>
      <c r="T5" s="7" t="str">
        <f t="shared" si="6"/>
        <v/>
      </c>
    </row>
    <row r="6" spans="1:27" x14ac:dyDescent="0.25">
      <c r="B6" s="24">
        <v>6</v>
      </c>
      <c r="C6" s="6" t="s">
        <v>20</v>
      </c>
      <c r="D6" s="24">
        <v>7</v>
      </c>
      <c r="E6" s="6" t="s">
        <v>20</v>
      </c>
      <c r="F6" s="5">
        <f t="shared" si="2"/>
        <v>13</v>
      </c>
      <c r="G6" s="3"/>
      <c r="H6" s="7" t="e">
        <f t="shared" ref="H6" si="8">IF(ISNUMBER(F6), (#REF! + (#REF! * 24)) - F6, "")</f>
        <v>#REF!</v>
      </c>
      <c r="I6" s="5">
        <v>0</v>
      </c>
      <c r="J6" s="7" t="e">
        <f t="shared" si="4"/>
        <v>#REF!</v>
      </c>
      <c r="L6" s="2"/>
      <c r="M6" s="6" t="s">
        <v>20</v>
      </c>
      <c r="N6" s="2"/>
      <c r="O6" s="6" t="s">
        <v>20</v>
      </c>
      <c r="P6" s="5" t="str">
        <f t="shared" si="5"/>
        <v/>
      </c>
      <c r="Q6" s="3"/>
      <c r="R6" s="7" t="str">
        <f t="shared" si="1"/>
        <v/>
      </c>
      <c r="S6" s="5"/>
      <c r="T6" s="7" t="str">
        <f t="shared" si="6"/>
        <v/>
      </c>
      <c r="V6" s="71" t="s">
        <v>51</v>
      </c>
      <c r="W6" s="71"/>
      <c r="X6" s="71"/>
      <c r="Y6" s="71"/>
    </row>
    <row r="7" spans="1:27" x14ac:dyDescent="0.25">
      <c r="B7" s="24"/>
      <c r="C7" s="6" t="s">
        <v>20</v>
      </c>
      <c r="D7" s="24">
        <v>13</v>
      </c>
      <c r="E7" s="6" t="s">
        <v>20</v>
      </c>
      <c r="F7" s="5">
        <f t="shared" si="2"/>
        <v>13</v>
      </c>
      <c r="G7" s="3"/>
      <c r="H7" s="7" t="e">
        <f t="shared" ref="H7" si="9">IF(ISNUMBER(F7), (#REF! + (#REF! * 24)) - F7, "")</f>
        <v>#REF!</v>
      </c>
      <c r="I7" s="5">
        <v>0</v>
      </c>
      <c r="J7" s="7" t="e">
        <f t="shared" si="4"/>
        <v>#REF!</v>
      </c>
      <c r="L7" s="2"/>
      <c r="M7" s="6" t="s">
        <v>20</v>
      </c>
      <c r="N7" s="2"/>
      <c r="O7" s="6" t="s">
        <v>20</v>
      </c>
      <c r="P7" s="5" t="str">
        <f t="shared" si="5"/>
        <v/>
      </c>
      <c r="Q7" s="35"/>
      <c r="R7" s="7" t="str">
        <f t="shared" si="1"/>
        <v/>
      </c>
      <c r="S7" s="5"/>
      <c r="T7" s="7" t="str">
        <f t="shared" si="6"/>
        <v/>
      </c>
      <c r="V7" s="28" t="s">
        <v>52</v>
      </c>
      <c r="W7" s="28" t="s">
        <v>53</v>
      </c>
      <c r="X7" s="29" t="s">
        <v>54</v>
      </c>
      <c r="Y7" s="29" t="s">
        <v>55</v>
      </c>
    </row>
    <row r="8" spans="1:27" x14ac:dyDescent="0.25">
      <c r="B8" s="24"/>
      <c r="C8" s="6" t="s">
        <v>20</v>
      </c>
      <c r="D8" s="24">
        <v>8</v>
      </c>
      <c r="E8" s="6" t="s">
        <v>20</v>
      </c>
      <c r="F8" s="5">
        <f t="shared" si="2"/>
        <v>8</v>
      </c>
      <c r="G8" s="3"/>
      <c r="H8" s="7" t="e">
        <f t="shared" ref="H8" si="10">IF(ISNUMBER(F8), (#REF! + (#REF! * 24)) - F8, "")</f>
        <v>#REF!</v>
      </c>
      <c r="I8" s="5">
        <v>0</v>
      </c>
      <c r="J8" s="7" t="e">
        <f t="shared" si="4"/>
        <v>#REF!</v>
      </c>
      <c r="K8" s="21"/>
      <c r="V8" s="30">
        <v>0.5</v>
      </c>
      <c r="W8" s="31">
        <v>1984</v>
      </c>
      <c r="X8" s="32">
        <v>6</v>
      </c>
      <c r="Y8" s="33">
        <f>(X8*17)/W8</f>
        <v>5.1411290322580648E-2</v>
      </c>
      <c r="Z8" t="s">
        <v>56</v>
      </c>
    </row>
    <row r="9" spans="1:27" x14ac:dyDescent="0.25">
      <c r="B9" s="24">
        <v>24</v>
      </c>
      <c r="C9" s="6" t="s">
        <v>20</v>
      </c>
      <c r="D9" s="24">
        <v>5</v>
      </c>
      <c r="E9" s="6" t="s">
        <v>20</v>
      </c>
      <c r="F9" s="5">
        <f t="shared" si="2"/>
        <v>29</v>
      </c>
      <c r="G9" s="3"/>
      <c r="H9" s="7" t="e">
        <f t="shared" ref="H9" si="11">IF(ISNUMBER(F9), (#REF! + (#REF! * 24)) - F9, "")</f>
        <v>#REF!</v>
      </c>
      <c r="I9" s="5"/>
      <c r="J9" s="7" t="str">
        <f t="shared" si="4"/>
        <v/>
      </c>
      <c r="L9" s="60" t="s">
        <v>11</v>
      </c>
      <c r="M9" s="61"/>
      <c r="N9" s="60" t="s">
        <v>12</v>
      </c>
      <c r="O9" s="61"/>
      <c r="P9" s="4" t="s">
        <v>13</v>
      </c>
      <c r="Q9" s="4" t="s">
        <v>14</v>
      </c>
      <c r="R9" s="4" t="s">
        <v>15</v>
      </c>
      <c r="S9" s="4" t="s">
        <v>16</v>
      </c>
      <c r="T9" s="4" t="s">
        <v>17</v>
      </c>
      <c r="V9" s="30">
        <v>0.25</v>
      </c>
      <c r="W9" s="31">
        <v>992</v>
      </c>
      <c r="X9" s="32">
        <v>3</v>
      </c>
      <c r="Y9" s="33">
        <f t="shared" ref="Y9:Y10" si="12">(X9*17)/W9</f>
        <v>5.1411290322580648E-2</v>
      </c>
      <c r="Z9" t="s">
        <v>57</v>
      </c>
    </row>
    <row r="10" spans="1:27" x14ac:dyDescent="0.25">
      <c r="B10" s="24"/>
      <c r="C10" s="6" t="s">
        <v>20</v>
      </c>
      <c r="D10" s="24">
        <v>7</v>
      </c>
      <c r="E10" s="6" t="s">
        <v>20</v>
      </c>
      <c r="F10" s="5">
        <f t="shared" si="2"/>
        <v>7</v>
      </c>
      <c r="G10" s="3"/>
      <c r="H10" s="7" t="e">
        <f t="shared" ref="H10" si="13">IF(ISNUMBER(F10), (#REF! + (#REF! * 24)) - F10, "")</f>
        <v>#REF!</v>
      </c>
      <c r="I10" s="5"/>
      <c r="J10" s="7" t="str">
        <f t="shared" si="4"/>
        <v/>
      </c>
      <c r="L10" s="2"/>
      <c r="M10" s="6" t="s">
        <v>20</v>
      </c>
      <c r="N10" s="2"/>
      <c r="O10" s="6" t="s">
        <v>20</v>
      </c>
      <c r="P10" s="5" t="str">
        <f t="shared" ref="P10:P12" si="14">IF(OR(ISNUMBER(L10), ISNUMBER(N10)), IF(ISNUMBER(L10), L10, 0) + IF(ISNUMBER(N10), N10, 0), "")</f>
        <v/>
      </c>
      <c r="Q10" s="3"/>
      <c r="R10" s="10" t="str">
        <f>IF(ISNUMBER(P10), (F10+G10)-P10, "")</f>
        <v/>
      </c>
      <c r="S10" s="5"/>
      <c r="T10" s="10" t="str">
        <f t="shared" ref="T10:T12" si="15">IF(ISNUMBER(S10), S10-R10, "")</f>
        <v/>
      </c>
      <c r="V10" s="30">
        <v>0.16666666666666666</v>
      </c>
      <c r="W10" s="31">
        <v>640</v>
      </c>
      <c r="X10" s="34"/>
      <c r="Y10" s="33">
        <f t="shared" si="12"/>
        <v>0</v>
      </c>
    </row>
    <row r="11" spans="1:27" x14ac:dyDescent="0.25">
      <c r="L11" s="2"/>
      <c r="M11" s="6" t="s">
        <v>20</v>
      </c>
      <c r="N11" s="2"/>
      <c r="O11" s="6" t="s">
        <v>20</v>
      </c>
      <c r="P11" s="5" t="str">
        <f t="shared" si="14"/>
        <v/>
      </c>
      <c r="Q11" s="3"/>
      <c r="R11" s="10" t="str">
        <f t="shared" ref="R11:R12" si="16">IF(ISNUMBER(P11), (F11+G11)-P11, "")</f>
        <v/>
      </c>
      <c r="S11" s="5"/>
      <c r="T11" s="10" t="str">
        <f t="shared" si="15"/>
        <v/>
      </c>
    </row>
    <row r="12" spans="1:27" x14ac:dyDescent="0.25">
      <c r="A12" s="21"/>
      <c r="B12" s="39" t="s">
        <v>11</v>
      </c>
      <c r="C12" s="40"/>
      <c r="D12" s="39" t="s">
        <v>12</v>
      </c>
      <c r="E12" s="40"/>
      <c r="F12" s="4" t="s">
        <v>13</v>
      </c>
      <c r="G12" s="4" t="s">
        <v>14</v>
      </c>
      <c r="H12" s="4" t="s">
        <v>15</v>
      </c>
      <c r="I12" s="4" t="s">
        <v>16</v>
      </c>
      <c r="J12" s="4" t="s">
        <v>17</v>
      </c>
      <c r="L12" s="2"/>
      <c r="M12" s="6" t="s">
        <v>20</v>
      </c>
      <c r="N12" s="2"/>
      <c r="O12" s="6" t="s">
        <v>20</v>
      </c>
      <c r="P12" s="5" t="str">
        <f t="shared" si="14"/>
        <v/>
      </c>
      <c r="Q12" s="3"/>
      <c r="R12" s="10" t="str">
        <f t="shared" si="16"/>
        <v/>
      </c>
      <c r="S12" s="5"/>
      <c r="T12" s="10" t="str">
        <f t="shared" si="15"/>
        <v/>
      </c>
    </row>
    <row r="13" spans="1:27" x14ac:dyDescent="0.25">
      <c r="B13" s="24">
        <v>0</v>
      </c>
      <c r="C13" s="6" t="s">
        <v>20</v>
      </c>
      <c r="D13" s="24">
        <v>0.5</v>
      </c>
      <c r="E13" s="6" t="s">
        <v>20</v>
      </c>
      <c r="F13" s="5">
        <f t="shared" ref="F13:F15" si="17">IF(OR(ISNUMBER(B13), ISNUMBER(D13)), IF(ISNUMBER(B13), B13, 0) + IF(ISNUMBER(D13), D13, 0), "")</f>
        <v>0.5</v>
      </c>
      <c r="G13" s="3"/>
      <c r="H13" s="10" t="e">
        <f t="shared" ref="H13" si="18">IF(ISNUMBER(F13), (#REF!+#REF!)-F13, "")</f>
        <v>#REF!</v>
      </c>
      <c r="I13" s="5">
        <v>0.28999999999999998</v>
      </c>
      <c r="J13" s="10" t="e">
        <f t="shared" ref="J13:J15" si="19">IF(ISNUMBER(I13), I13-H13, "")</f>
        <v>#REF!</v>
      </c>
      <c r="K13" s="21"/>
    </row>
    <row r="14" spans="1:27" x14ac:dyDescent="0.25">
      <c r="B14" s="24">
        <v>0</v>
      </c>
      <c r="C14" s="6" t="s">
        <v>20</v>
      </c>
      <c r="D14" s="24">
        <v>0.7</v>
      </c>
      <c r="E14" s="6" t="s">
        <v>20</v>
      </c>
      <c r="F14" s="5">
        <f t="shared" si="17"/>
        <v>0.7</v>
      </c>
      <c r="G14" s="3"/>
      <c r="H14" s="10" t="e">
        <f t="shared" ref="H14" si="20">IF(ISNUMBER(F14), (#REF!+#REF!)-F14, "")</f>
        <v>#REF!</v>
      </c>
      <c r="I14" s="5">
        <v>7.0000000000000007E-2</v>
      </c>
      <c r="J14" s="10" t="e">
        <f t="shared" si="19"/>
        <v>#REF!</v>
      </c>
      <c r="L14" s="60" t="s">
        <v>31</v>
      </c>
      <c r="M14" s="61"/>
      <c r="N14" s="41" t="s">
        <v>32</v>
      </c>
      <c r="O14" s="42"/>
      <c r="P14" s="42"/>
      <c r="Q14" s="42"/>
      <c r="R14" s="42"/>
      <c r="S14" s="42"/>
      <c r="T14" s="43"/>
      <c r="AA14" t="s">
        <v>61</v>
      </c>
    </row>
    <row r="15" spans="1:27" x14ac:dyDescent="0.25">
      <c r="B15" s="24">
        <v>0</v>
      </c>
      <c r="C15" s="6" t="s">
        <v>20</v>
      </c>
      <c r="D15" s="24">
        <v>0.9</v>
      </c>
      <c r="E15" s="6" t="s">
        <v>20</v>
      </c>
      <c r="F15" s="5">
        <f t="shared" si="17"/>
        <v>0.9</v>
      </c>
      <c r="G15" s="3"/>
      <c r="H15" s="10" t="e">
        <f t="shared" ref="H15" si="21">IF(ISNUMBER(F15), (#REF!+#REF!)-F15, "")</f>
        <v>#REF!</v>
      </c>
      <c r="I15" s="5">
        <v>0.04</v>
      </c>
      <c r="J15" s="10" t="e">
        <f t="shared" si="19"/>
        <v>#REF!</v>
      </c>
      <c r="L15" s="2"/>
      <c r="M15" s="6" t="s">
        <v>20</v>
      </c>
      <c r="N15" s="44"/>
      <c r="O15" s="45"/>
      <c r="P15" s="45"/>
      <c r="Q15" s="45"/>
      <c r="R15" s="45"/>
      <c r="S15" s="45"/>
      <c r="T15" s="46"/>
      <c r="Y15" s="37">
        <v>27</v>
      </c>
      <c r="Z15" s="37">
        <v>8</v>
      </c>
      <c r="AA15" s="37">
        <f>SUM(Y15+Z15)</f>
        <v>35</v>
      </c>
    </row>
    <row r="16" spans="1:27" x14ac:dyDescent="0.25">
      <c r="K16" s="21"/>
      <c r="L16" s="16"/>
      <c r="M16" s="17"/>
      <c r="N16" s="16"/>
      <c r="O16" s="17"/>
      <c r="Q16" s="18"/>
      <c r="R16" s="19"/>
      <c r="T16" s="19"/>
    </row>
    <row r="17" spans="1:20" x14ac:dyDescent="0.25">
      <c r="A17" s="21"/>
      <c r="B17" s="39" t="s">
        <v>31</v>
      </c>
      <c r="C17" s="40"/>
      <c r="D17" s="41" t="s">
        <v>32</v>
      </c>
      <c r="E17" s="42"/>
      <c r="F17" s="42"/>
      <c r="G17" s="42"/>
      <c r="H17" s="42"/>
      <c r="I17" s="42"/>
      <c r="J17" s="43"/>
      <c r="L17" s="60" t="s">
        <v>36</v>
      </c>
      <c r="M17" s="61"/>
      <c r="N17" s="47" t="s">
        <v>37</v>
      </c>
      <c r="O17" s="48"/>
      <c r="P17" s="48"/>
      <c r="Q17" s="48"/>
      <c r="R17" s="48"/>
      <c r="S17" s="48"/>
      <c r="T17" s="49"/>
    </row>
    <row r="18" spans="1:20" x14ac:dyDescent="0.25">
      <c r="B18" s="24">
        <v>2</v>
      </c>
      <c r="C18" s="6" t="s">
        <v>20</v>
      </c>
      <c r="D18" s="44"/>
      <c r="E18" s="45"/>
      <c r="F18" s="45"/>
      <c r="G18" s="45"/>
      <c r="H18" s="45"/>
      <c r="I18" s="45"/>
      <c r="J18" s="46"/>
      <c r="L18" s="2"/>
      <c r="M18" s="6" t="s">
        <v>39</v>
      </c>
      <c r="N18" s="50"/>
      <c r="O18" s="51"/>
      <c r="P18" s="51"/>
      <c r="Q18" s="51"/>
      <c r="R18" s="51"/>
      <c r="S18" s="51"/>
      <c r="T18" s="52"/>
    </row>
    <row r="19" spans="1:20" x14ac:dyDescent="0.25">
      <c r="B19" s="18"/>
      <c r="C19" s="17"/>
      <c r="D19" s="18"/>
      <c r="E19" s="17"/>
      <c r="G19" s="18"/>
      <c r="H19" s="19"/>
      <c r="J19" s="19"/>
    </row>
    <row r="20" spans="1:20" x14ac:dyDescent="0.25">
      <c r="A20" s="21"/>
      <c r="B20" s="39" t="s">
        <v>36</v>
      </c>
      <c r="C20" s="40"/>
      <c r="D20" s="47" t="s">
        <v>37</v>
      </c>
      <c r="E20" s="48"/>
      <c r="F20" s="48"/>
      <c r="G20" s="48"/>
      <c r="H20" s="48"/>
      <c r="I20" s="48"/>
      <c r="J20" s="49"/>
    </row>
    <row r="21" spans="1:20" x14ac:dyDescent="0.25">
      <c r="B21" s="24">
        <v>90</v>
      </c>
      <c r="C21" s="6" t="s">
        <v>39</v>
      </c>
      <c r="D21" s="50"/>
      <c r="E21" s="51"/>
      <c r="F21" s="51"/>
      <c r="G21" s="51"/>
      <c r="H21" s="51"/>
      <c r="I21" s="51"/>
      <c r="J21" s="52"/>
    </row>
  </sheetData>
  <mergeCells count="25">
    <mergeCell ref="Q1:R1"/>
    <mergeCell ref="S1:T1"/>
    <mergeCell ref="B2:C2"/>
    <mergeCell ref="D2:E2"/>
    <mergeCell ref="L2:M2"/>
    <mergeCell ref="N2:O2"/>
    <mergeCell ref="B1:C1"/>
    <mergeCell ref="D1:F1"/>
    <mergeCell ref="G1:H1"/>
    <mergeCell ref="I1:J1"/>
    <mergeCell ref="L1:M1"/>
    <mergeCell ref="N1:P1"/>
    <mergeCell ref="B20:C20"/>
    <mergeCell ref="D20:J21"/>
    <mergeCell ref="V6:Y6"/>
    <mergeCell ref="B12:C12"/>
    <mergeCell ref="D12:E12"/>
    <mergeCell ref="B17:C17"/>
    <mergeCell ref="D17:J18"/>
    <mergeCell ref="L9:M9"/>
    <mergeCell ref="N9:O9"/>
    <mergeCell ref="L14:M14"/>
    <mergeCell ref="N14:T15"/>
    <mergeCell ref="L17:M17"/>
    <mergeCell ref="N17:T18"/>
  </mergeCells>
  <conditionalFormatting sqref="H13:H15">
    <cfRule type="cellIs" dxfId="1145" priority="36" operator="equal">
      <formula>0</formula>
    </cfRule>
    <cfRule type="cellIs" dxfId="1144" priority="37" operator="lessThan">
      <formula>0</formula>
    </cfRule>
  </conditionalFormatting>
  <conditionalFormatting sqref="H19">
    <cfRule type="cellIs" dxfId="1143" priority="44" operator="equal">
      <formula>0</formula>
    </cfRule>
    <cfRule type="cellIs" dxfId="1142" priority="45" operator="lessThan">
      <formula>0</formula>
    </cfRule>
  </conditionalFormatting>
  <conditionalFormatting sqref="J13:J15">
    <cfRule type="cellIs" dxfId="1141" priority="38" operator="equal">
      <formula>0</formula>
    </cfRule>
    <cfRule type="cellIs" dxfId="1140" priority="39" operator="lessThan">
      <formula>0</formula>
    </cfRule>
    <cfRule type="cellIs" dxfId="1139" priority="40" operator="greaterThan">
      <formula>0</formula>
    </cfRule>
  </conditionalFormatting>
  <conditionalFormatting sqref="J19">
    <cfRule type="cellIs" dxfId="1138" priority="46" operator="equal">
      <formula>0</formula>
    </cfRule>
    <cfRule type="cellIs" dxfId="1137" priority="47" operator="lessThan">
      <formula>0</formula>
    </cfRule>
    <cfRule type="cellIs" dxfId="1136" priority="48" operator="greaterThan">
      <formula>0</formula>
    </cfRule>
  </conditionalFormatting>
  <conditionalFormatting sqref="L18">
    <cfRule type="colorScale" priority="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3:R7 H3:H10">
    <cfRule type="cellIs" dxfId="1135" priority="30" operator="equal">
      <formula>0</formula>
    </cfRule>
    <cfRule type="cellIs" dxfId="1134" priority="31" operator="lessThan">
      <formula>0</formula>
    </cfRule>
  </conditionalFormatting>
  <conditionalFormatting sqref="R10:R12">
    <cfRule type="cellIs" dxfId="1133" priority="1" operator="equal">
      <formula>0</formula>
    </cfRule>
    <cfRule type="cellIs" dxfId="1132" priority="2" operator="lessThan">
      <formula>0</formula>
    </cfRule>
  </conditionalFormatting>
  <conditionalFormatting sqref="R16">
    <cfRule type="cellIs" dxfId="1131" priority="14" operator="equal">
      <formula>0</formula>
    </cfRule>
    <cfRule type="cellIs" dxfId="1130" priority="15" operator="lessThan">
      <formula>0</formula>
    </cfRule>
  </conditionalFormatting>
  <conditionalFormatting sqref="T3:T7 J3:J10">
    <cfRule type="cellIs" dxfId="1129" priority="41" operator="equal">
      <formula>0</formula>
    </cfRule>
    <cfRule type="cellIs" dxfId="1128" priority="42" operator="lessThan">
      <formula>0</formula>
    </cfRule>
    <cfRule type="cellIs" dxfId="1127" priority="43" operator="greaterThan">
      <formula>0</formula>
    </cfRule>
  </conditionalFormatting>
  <conditionalFormatting sqref="T10:T12">
    <cfRule type="cellIs" dxfId="1126" priority="16" operator="equal">
      <formula>0</formula>
    </cfRule>
    <cfRule type="cellIs" dxfId="1125" priority="17" operator="lessThan">
      <formula>0</formula>
    </cfRule>
    <cfRule type="cellIs" dxfId="1124" priority="18" operator="greaterThan">
      <formula>0</formula>
    </cfRule>
  </conditionalFormatting>
  <conditionalFormatting sqref="T16">
    <cfRule type="cellIs" dxfId="1123" priority="22" operator="equal">
      <formula>0</formula>
    </cfRule>
    <cfRule type="cellIs" dxfId="1122" priority="23" operator="lessThan">
      <formula>0</formula>
    </cfRule>
    <cfRule type="cellIs" dxfId="1121" priority="2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1178-0576-4427-8A44-484470C09617}">
  <sheetPr>
    <tabColor theme="7" tint="0.79998168889431442"/>
  </sheetPr>
  <dimension ref="A1:APA24"/>
  <sheetViews>
    <sheetView view="pageLayout" zoomScale="130" zoomScaleNormal="130" zoomScalePageLayoutView="130" workbookViewId="0">
      <selection activeCell="AOP23" sqref="AOP23"/>
    </sheetView>
  </sheetViews>
  <sheetFormatPr defaultRowHeight="12.75" customHeight="1" x14ac:dyDescent="0.2"/>
  <cols>
    <col min="1" max="1" width="14.28515625" style="1" customWidth="1"/>
    <col min="2" max="3" width="3.140625" style="1" customWidth="1"/>
    <col min="4" max="4" width="1.28515625" style="1" hidden="1" customWidth="1"/>
    <col min="5" max="5" width="3.140625" style="8" hidden="1" customWidth="1"/>
    <col min="6" max="6" width="2.42578125" style="9" hidden="1" customWidth="1"/>
    <col min="7" max="7" width="3.140625" style="8" hidden="1" customWidth="1"/>
    <col min="8" max="8" width="2.42578125" style="9" hidden="1" customWidth="1"/>
    <col min="9" max="13" width="3.140625" style="8" hidden="1" customWidth="1"/>
    <col min="14" max="14" width="1.28515625" style="1" hidden="1" customWidth="1"/>
    <col min="15" max="15" width="3.140625" style="8" hidden="1" customWidth="1"/>
    <col min="16" max="16" width="2.42578125" style="9" hidden="1" customWidth="1"/>
    <col min="17" max="17" width="3.140625" style="8" hidden="1" customWidth="1"/>
    <col min="18" max="18" width="2.42578125" style="9" hidden="1" customWidth="1"/>
    <col min="19" max="23" width="3.140625" style="8" hidden="1" customWidth="1"/>
    <col min="24" max="24" width="1.28515625" style="1" hidden="1" customWidth="1"/>
    <col min="25" max="25" width="3.140625" style="8" hidden="1" customWidth="1"/>
    <col min="26" max="26" width="2.42578125" style="9" hidden="1" customWidth="1"/>
    <col min="27" max="27" width="3.140625" style="8" hidden="1" customWidth="1"/>
    <col min="28" max="28" width="2.42578125" style="9" hidden="1" customWidth="1"/>
    <col min="29" max="33" width="3.140625" style="8" hidden="1" customWidth="1"/>
    <col min="34" max="34" width="1.28515625" style="1" hidden="1" customWidth="1"/>
    <col min="35" max="35" width="3.140625" style="8" hidden="1" customWidth="1"/>
    <col min="36" max="36" width="2.42578125" style="9" hidden="1" customWidth="1"/>
    <col min="37" max="37" width="3.140625" style="8" hidden="1" customWidth="1"/>
    <col min="38" max="38" width="2.42578125" style="9" hidden="1" customWidth="1"/>
    <col min="39" max="43" width="3.140625" style="8" hidden="1" customWidth="1"/>
    <col min="44" max="44" width="1.28515625" style="1" hidden="1" customWidth="1"/>
    <col min="45" max="45" width="3.140625" style="8" hidden="1" customWidth="1"/>
    <col min="46" max="46" width="2.42578125" style="9" hidden="1" customWidth="1"/>
    <col min="47" max="47" width="3.140625" style="8" hidden="1" customWidth="1"/>
    <col min="48" max="48" width="2.42578125" style="9" hidden="1" customWidth="1"/>
    <col min="49" max="53" width="3.140625" style="8" hidden="1" customWidth="1"/>
    <col min="54" max="54" width="1.28515625" style="1" hidden="1" customWidth="1"/>
    <col min="55" max="55" width="3.140625" style="8" hidden="1" customWidth="1"/>
    <col min="56" max="56" width="2.42578125" style="9" hidden="1" customWidth="1"/>
    <col min="57" max="57" width="3.140625" style="8" hidden="1" customWidth="1"/>
    <col min="58" max="58" width="2.42578125" style="9" hidden="1" customWidth="1"/>
    <col min="59" max="62" width="3.140625" style="8" hidden="1" customWidth="1"/>
    <col min="63" max="63" width="0.140625" style="8" hidden="1" customWidth="1"/>
    <col min="64" max="64" width="1.28515625" style="1" hidden="1" customWidth="1"/>
    <col min="65" max="65" width="3.140625" style="8" hidden="1" customWidth="1"/>
    <col min="66" max="66" width="2.42578125" style="9" hidden="1" customWidth="1"/>
    <col min="67" max="67" width="3.140625" style="8" hidden="1" customWidth="1"/>
    <col min="68" max="68" width="2.42578125" style="9" hidden="1" customWidth="1"/>
    <col min="69" max="73" width="3.140625" style="8" hidden="1" customWidth="1"/>
    <col min="74" max="74" width="1.28515625" style="1" hidden="1" customWidth="1"/>
    <col min="75" max="75" width="3.140625" style="8" hidden="1" customWidth="1"/>
    <col min="76" max="76" width="2.42578125" style="9" hidden="1" customWidth="1"/>
    <col min="77" max="77" width="3.140625" style="8" hidden="1" customWidth="1"/>
    <col min="78" max="78" width="2.42578125" style="9" hidden="1" customWidth="1"/>
    <col min="79" max="83" width="3.140625" style="8" hidden="1" customWidth="1"/>
    <col min="84" max="84" width="1.28515625" style="1" hidden="1" customWidth="1"/>
    <col min="85" max="85" width="3.140625" style="8" hidden="1" customWidth="1"/>
    <col min="86" max="86" width="2.42578125" style="9" hidden="1" customWidth="1"/>
    <col min="87" max="87" width="3.140625" style="8" hidden="1" customWidth="1"/>
    <col min="88" max="88" width="2.42578125" style="9" hidden="1" customWidth="1"/>
    <col min="89" max="93" width="3.140625" style="8" hidden="1" customWidth="1"/>
    <col min="94" max="94" width="1.28515625" style="1" hidden="1" customWidth="1"/>
    <col min="95" max="95" width="3.140625" style="8" hidden="1" customWidth="1"/>
    <col min="96" max="96" width="2.42578125" style="9" hidden="1" customWidth="1"/>
    <col min="97" max="97" width="3.140625" style="8" hidden="1" customWidth="1"/>
    <col min="98" max="98" width="2.42578125" style="9" hidden="1" customWidth="1"/>
    <col min="99" max="103" width="3.140625" style="8" hidden="1" customWidth="1"/>
    <col min="104" max="104" width="1.28515625" style="1" hidden="1" customWidth="1"/>
    <col min="105" max="105" width="3.140625" style="8" hidden="1" customWidth="1"/>
    <col min="106" max="106" width="2.42578125" style="9" hidden="1" customWidth="1"/>
    <col min="107" max="107" width="3.140625" style="8" hidden="1" customWidth="1"/>
    <col min="108" max="108" width="2.42578125" style="9" hidden="1" customWidth="1"/>
    <col min="109" max="113" width="3.140625" style="8" hidden="1" customWidth="1"/>
    <col min="114" max="114" width="1.28515625" style="1" hidden="1" customWidth="1"/>
    <col min="115" max="115" width="3.140625" style="8" hidden="1" customWidth="1"/>
    <col min="116" max="116" width="2.42578125" style="9" hidden="1" customWidth="1"/>
    <col min="117" max="117" width="3.140625" style="8" hidden="1" customWidth="1"/>
    <col min="118" max="118" width="2.42578125" style="9" hidden="1" customWidth="1"/>
    <col min="119" max="123" width="3.140625" style="8" hidden="1" customWidth="1"/>
    <col min="124" max="124" width="1.28515625" style="1" hidden="1" customWidth="1"/>
    <col min="125" max="125" width="3.140625" style="8" hidden="1" customWidth="1"/>
    <col min="126" max="126" width="2.42578125" style="9" hidden="1" customWidth="1"/>
    <col min="127" max="127" width="3.140625" style="8" hidden="1" customWidth="1"/>
    <col min="128" max="128" width="2.42578125" style="9" hidden="1" customWidth="1"/>
    <col min="129" max="133" width="3.140625" style="8" hidden="1" customWidth="1"/>
    <col min="134" max="134" width="1.28515625" style="1" hidden="1" customWidth="1"/>
    <col min="135" max="135" width="3.140625" style="8" hidden="1" customWidth="1"/>
    <col min="136" max="136" width="2.42578125" style="9" hidden="1" customWidth="1"/>
    <col min="137" max="137" width="3.140625" style="8" hidden="1" customWidth="1"/>
    <col min="138" max="138" width="2.42578125" style="9" hidden="1" customWidth="1"/>
    <col min="139" max="143" width="3.140625" style="8" hidden="1" customWidth="1"/>
    <col min="144" max="144" width="1.28515625" style="1" hidden="1" customWidth="1"/>
    <col min="145" max="145" width="3.140625" style="8" hidden="1" customWidth="1"/>
    <col min="146" max="146" width="2.42578125" style="9" hidden="1" customWidth="1"/>
    <col min="147" max="147" width="3.140625" style="8" hidden="1" customWidth="1"/>
    <col min="148" max="148" width="2.42578125" style="9" hidden="1" customWidth="1"/>
    <col min="149" max="153" width="3.140625" style="8" hidden="1" customWidth="1"/>
    <col min="154" max="154" width="1.28515625" style="1" hidden="1" customWidth="1"/>
    <col min="155" max="155" width="3.140625" style="8" hidden="1" customWidth="1"/>
    <col min="156" max="156" width="2.42578125" style="9" hidden="1" customWidth="1"/>
    <col min="157" max="157" width="3.140625" style="8" hidden="1" customWidth="1"/>
    <col min="158" max="158" width="2.42578125" style="9" hidden="1" customWidth="1"/>
    <col min="159" max="163" width="3.140625" style="8" hidden="1" customWidth="1"/>
    <col min="164" max="164" width="1.28515625" style="1" hidden="1" customWidth="1"/>
    <col min="165" max="165" width="3.140625" style="8" hidden="1" customWidth="1"/>
    <col min="166" max="166" width="2.42578125" style="9" hidden="1" customWidth="1"/>
    <col min="167" max="167" width="3.140625" style="8" hidden="1" customWidth="1"/>
    <col min="168" max="168" width="2.42578125" style="9" hidden="1" customWidth="1"/>
    <col min="169" max="173" width="3.140625" style="8" hidden="1" customWidth="1"/>
    <col min="174" max="174" width="1.28515625" style="1" hidden="1" customWidth="1"/>
    <col min="175" max="175" width="3.140625" style="8" hidden="1" customWidth="1"/>
    <col min="176" max="176" width="2.42578125" style="9" hidden="1" customWidth="1"/>
    <col min="177" max="177" width="3.140625" style="8" hidden="1" customWidth="1"/>
    <col min="178" max="178" width="2.42578125" style="9" hidden="1" customWidth="1"/>
    <col min="179" max="183" width="3.140625" style="8" hidden="1" customWidth="1"/>
    <col min="184" max="184" width="1.28515625" style="1" hidden="1" customWidth="1"/>
    <col min="185" max="185" width="3.140625" style="8" hidden="1" customWidth="1"/>
    <col min="186" max="186" width="2.42578125" style="9" hidden="1" customWidth="1"/>
    <col min="187" max="187" width="3.140625" style="8" hidden="1" customWidth="1"/>
    <col min="188" max="188" width="2.42578125" style="9" hidden="1" customWidth="1"/>
    <col min="189" max="193" width="3.140625" style="8" hidden="1" customWidth="1"/>
    <col min="194" max="194" width="1.28515625" style="1" hidden="1" customWidth="1"/>
    <col min="195" max="195" width="3.140625" style="8" hidden="1" customWidth="1"/>
    <col min="196" max="196" width="2.42578125" style="9" hidden="1" customWidth="1"/>
    <col min="197" max="197" width="3.140625" style="8" hidden="1" customWidth="1"/>
    <col min="198" max="198" width="2.42578125" style="9" hidden="1" customWidth="1"/>
    <col min="199" max="203" width="3.140625" style="8" hidden="1" customWidth="1"/>
    <col min="204" max="204" width="1.28515625" style="1" hidden="1" customWidth="1"/>
    <col min="205" max="205" width="3.140625" style="8" hidden="1" customWidth="1"/>
    <col min="206" max="206" width="2.42578125" style="9" hidden="1" customWidth="1"/>
    <col min="207" max="207" width="3.140625" style="8" hidden="1" customWidth="1"/>
    <col min="208" max="208" width="2.42578125" style="9" hidden="1" customWidth="1"/>
    <col min="209" max="213" width="3.140625" style="8" hidden="1" customWidth="1"/>
    <col min="214" max="214" width="1.28515625" style="1" hidden="1" customWidth="1"/>
    <col min="215" max="215" width="3.140625" style="8" hidden="1" customWidth="1"/>
    <col min="216" max="216" width="2.42578125" style="9" hidden="1" customWidth="1"/>
    <col min="217" max="217" width="3.140625" style="8" hidden="1" customWidth="1"/>
    <col min="218" max="218" width="2.42578125" style="9" hidden="1" customWidth="1"/>
    <col min="219" max="223" width="3.140625" style="8" hidden="1" customWidth="1"/>
    <col min="224" max="224" width="1.28515625" style="1" hidden="1" customWidth="1"/>
    <col min="225" max="225" width="3.140625" style="8" hidden="1" customWidth="1"/>
    <col min="226" max="226" width="2.42578125" style="9" hidden="1" customWidth="1"/>
    <col min="227" max="227" width="3.140625" style="8" hidden="1" customWidth="1"/>
    <col min="228" max="228" width="2.42578125" style="9" hidden="1" customWidth="1"/>
    <col min="229" max="233" width="3.140625" style="8" hidden="1" customWidth="1"/>
    <col min="234" max="234" width="1.28515625" style="1" hidden="1" customWidth="1"/>
    <col min="235" max="235" width="3.140625" style="8" hidden="1" customWidth="1"/>
    <col min="236" max="236" width="2.42578125" style="9" hidden="1" customWidth="1"/>
    <col min="237" max="237" width="3.140625" style="8" hidden="1" customWidth="1"/>
    <col min="238" max="238" width="2.42578125" style="9" hidden="1" customWidth="1"/>
    <col min="239" max="243" width="3.140625" style="8" hidden="1" customWidth="1"/>
    <col min="244" max="244" width="1.28515625" style="1" hidden="1" customWidth="1"/>
    <col min="245" max="245" width="3.140625" style="8" hidden="1" customWidth="1"/>
    <col min="246" max="246" width="2.42578125" style="9" hidden="1" customWidth="1"/>
    <col min="247" max="247" width="3.140625" style="8" hidden="1" customWidth="1"/>
    <col min="248" max="248" width="2.42578125" style="9" hidden="1" customWidth="1"/>
    <col min="249" max="253" width="3.140625" style="8" hidden="1" customWidth="1"/>
    <col min="254" max="254" width="1.28515625" style="1" hidden="1" customWidth="1"/>
    <col min="255" max="255" width="3.140625" style="8" hidden="1" customWidth="1"/>
    <col min="256" max="256" width="2.42578125" style="9" hidden="1" customWidth="1"/>
    <col min="257" max="257" width="3.140625" style="8" hidden="1" customWidth="1"/>
    <col min="258" max="258" width="2.42578125" style="9" hidden="1" customWidth="1"/>
    <col min="259" max="263" width="3.140625" style="8" hidden="1" customWidth="1"/>
    <col min="264" max="264" width="1.28515625" style="1" hidden="1" customWidth="1"/>
    <col min="265" max="265" width="3.140625" style="8" hidden="1" customWidth="1"/>
    <col min="266" max="266" width="2.42578125" style="9" hidden="1" customWidth="1"/>
    <col min="267" max="267" width="3.140625" style="8" hidden="1" customWidth="1"/>
    <col min="268" max="268" width="2.42578125" style="9" hidden="1" customWidth="1"/>
    <col min="269" max="273" width="3.140625" style="8" hidden="1" customWidth="1"/>
    <col min="274" max="274" width="1.28515625" style="1" hidden="1" customWidth="1"/>
    <col min="275" max="275" width="3.140625" style="8" hidden="1" customWidth="1"/>
    <col min="276" max="276" width="2.42578125" style="9" hidden="1" customWidth="1"/>
    <col min="277" max="277" width="3.140625" style="8" hidden="1" customWidth="1"/>
    <col min="278" max="278" width="2.42578125" style="9" hidden="1" customWidth="1"/>
    <col min="279" max="283" width="3.140625" style="8" hidden="1" customWidth="1"/>
    <col min="284" max="284" width="1.28515625" style="1" hidden="1" customWidth="1"/>
    <col min="285" max="285" width="3.140625" style="8" hidden="1" customWidth="1"/>
    <col min="286" max="286" width="2.42578125" style="9" hidden="1" customWidth="1"/>
    <col min="287" max="287" width="3.140625" style="8" hidden="1" customWidth="1"/>
    <col min="288" max="288" width="2.42578125" style="9" hidden="1" customWidth="1"/>
    <col min="289" max="293" width="3.140625" style="8" hidden="1" customWidth="1"/>
    <col min="294" max="294" width="1.28515625" style="1" hidden="1" customWidth="1"/>
    <col min="295" max="295" width="3.140625" style="8" hidden="1" customWidth="1"/>
    <col min="296" max="296" width="2.42578125" style="9" hidden="1" customWidth="1"/>
    <col min="297" max="297" width="3.140625" style="8" hidden="1" customWidth="1"/>
    <col min="298" max="298" width="2.42578125" style="9" hidden="1" customWidth="1"/>
    <col min="299" max="303" width="3.140625" style="8" hidden="1" customWidth="1"/>
    <col min="304" max="304" width="1.28515625" style="1" hidden="1" customWidth="1"/>
    <col min="305" max="305" width="3.140625" style="8" hidden="1" customWidth="1"/>
    <col min="306" max="306" width="2.42578125" style="9" hidden="1" customWidth="1"/>
    <col min="307" max="307" width="3.140625" style="8" hidden="1" customWidth="1"/>
    <col min="308" max="308" width="2.42578125" style="9" hidden="1" customWidth="1"/>
    <col min="309" max="313" width="3.140625" style="8" hidden="1" customWidth="1"/>
    <col min="314" max="314" width="1.28515625" style="1" hidden="1" customWidth="1"/>
    <col min="315" max="315" width="3.140625" style="8" hidden="1" customWidth="1"/>
    <col min="316" max="316" width="2.42578125" style="9" hidden="1" customWidth="1"/>
    <col min="317" max="317" width="3.140625" style="8" hidden="1" customWidth="1"/>
    <col min="318" max="318" width="2.42578125" style="9" hidden="1" customWidth="1"/>
    <col min="319" max="323" width="3.140625" style="8" hidden="1" customWidth="1"/>
    <col min="324" max="324" width="1.28515625" style="1" hidden="1" customWidth="1"/>
    <col min="325" max="325" width="3.140625" style="8" hidden="1" customWidth="1"/>
    <col min="326" max="326" width="2.42578125" style="9" hidden="1" customWidth="1"/>
    <col min="327" max="327" width="3.140625" style="8" hidden="1" customWidth="1"/>
    <col min="328" max="328" width="2.42578125" style="9" hidden="1" customWidth="1"/>
    <col min="329" max="333" width="3.140625" style="8" hidden="1" customWidth="1"/>
    <col min="334" max="334" width="1.28515625" style="1" hidden="1" customWidth="1"/>
    <col min="335" max="335" width="3.140625" style="8" hidden="1" customWidth="1"/>
    <col min="336" max="336" width="2.42578125" style="9" hidden="1" customWidth="1"/>
    <col min="337" max="337" width="3.140625" style="8" hidden="1" customWidth="1"/>
    <col min="338" max="338" width="2.42578125" style="9" hidden="1" customWidth="1"/>
    <col min="339" max="343" width="3.140625" style="8" hidden="1" customWidth="1"/>
    <col min="344" max="344" width="1.28515625" style="1" hidden="1" customWidth="1"/>
    <col min="345" max="345" width="3.140625" style="8" hidden="1" customWidth="1"/>
    <col min="346" max="346" width="2.42578125" style="9" hidden="1" customWidth="1"/>
    <col min="347" max="347" width="3.140625" style="8" hidden="1" customWidth="1"/>
    <col min="348" max="348" width="2.42578125" style="9" hidden="1" customWidth="1"/>
    <col min="349" max="353" width="3.140625" style="8" hidden="1" customWidth="1"/>
    <col min="354" max="354" width="1.28515625" style="1" hidden="1" customWidth="1"/>
    <col min="355" max="355" width="3.140625" style="8" hidden="1" customWidth="1"/>
    <col min="356" max="356" width="2.42578125" style="9" hidden="1" customWidth="1"/>
    <col min="357" max="357" width="3.140625" style="8" hidden="1" customWidth="1"/>
    <col min="358" max="358" width="2.42578125" style="9" hidden="1" customWidth="1"/>
    <col min="359" max="363" width="3.140625" style="8" hidden="1" customWidth="1"/>
    <col min="364" max="364" width="1.28515625" style="1" hidden="1" customWidth="1"/>
    <col min="365" max="365" width="3.140625" style="8" hidden="1" customWidth="1"/>
    <col min="366" max="366" width="2.42578125" style="9" hidden="1" customWidth="1"/>
    <col min="367" max="367" width="3.140625" style="8" hidden="1" customWidth="1"/>
    <col min="368" max="368" width="2.42578125" style="9" hidden="1" customWidth="1"/>
    <col min="369" max="373" width="3.140625" style="8" hidden="1" customWidth="1"/>
    <col min="374" max="374" width="1.28515625" style="1" hidden="1" customWidth="1"/>
    <col min="375" max="375" width="3.140625" style="8" hidden="1" customWidth="1"/>
    <col min="376" max="376" width="2.42578125" style="9" hidden="1" customWidth="1"/>
    <col min="377" max="377" width="3.140625" style="8" hidden="1" customWidth="1"/>
    <col min="378" max="378" width="2.42578125" style="9" hidden="1" customWidth="1"/>
    <col min="379" max="383" width="3.140625" style="8" hidden="1" customWidth="1"/>
    <col min="384" max="384" width="1.28515625" style="1" hidden="1" customWidth="1"/>
    <col min="385" max="385" width="3.140625" style="8" hidden="1" customWidth="1"/>
    <col min="386" max="386" width="2.42578125" style="9" hidden="1" customWidth="1"/>
    <col min="387" max="387" width="3.140625" style="8" hidden="1" customWidth="1"/>
    <col min="388" max="388" width="2.42578125" style="9" hidden="1" customWidth="1"/>
    <col min="389" max="393" width="3.140625" style="8" hidden="1" customWidth="1"/>
    <col min="394" max="394" width="1.28515625" style="1" hidden="1" customWidth="1"/>
    <col min="395" max="395" width="3.140625" style="8" hidden="1" customWidth="1"/>
    <col min="396" max="396" width="2.42578125" style="9" hidden="1" customWidth="1"/>
    <col min="397" max="397" width="3.140625" style="8" hidden="1" customWidth="1"/>
    <col min="398" max="398" width="2.42578125" style="9" hidden="1" customWidth="1"/>
    <col min="399" max="403" width="3.140625" style="8" hidden="1" customWidth="1"/>
    <col min="404" max="404" width="1.28515625" style="1" hidden="1" customWidth="1"/>
    <col min="405" max="405" width="3.140625" style="8" hidden="1" customWidth="1"/>
    <col min="406" max="406" width="2.42578125" style="9" hidden="1" customWidth="1"/>
    <col min="407" max="407" width="3.140625" style="8" hidden="1" customWidth="1"/>
    <col min="408" max="408" width="2.42578125" style="9" hidden="1" customWidth="1"/>
    <col min="409" max="413" width="3.140625" style="8" hidden="1" customWidth="1"/>
    <col min="414" max="414" width="1.28515625" style="1" hidden="1" customWidth="1"/>
    <col min="415" max="415" width="3.140625" style="8" hidden="1" customWidth="1"/>
    <col min="416" max="416" width="2.42578125" style="9" hidden="1" customWidth="1"/>
    <col min="417" max="417" width="3.140625" style="8" hidden="1" customWidth="1"/>
    <col min="418" max="418" width="2.42578125" style="9" hidden="1" customWidth="1"/>
    <col min="419" max="423" width="3.140625" style="8" hidden="1" customWidth="1"/>
    <col min="424" max="424" width="1.28515625" style="1" hidden="1" customWidth="1"/>
    <col min="425" max="425" width="3.140625" style="8" hidden="1" customWidth="1"/>
    <col min="426" max="426" width="2.42578125" style="9" hidden="1" customWidth="1"/>
    <col min="427" max="427" width="3.140625" style="8" hidden="1" customWidth="1"/>
    <col min="428" max="428" width="2.42578125" style="9" hidden="1" customWidth="1"/>
    <col min="429" max="433" width="3.140625" style="8" hidden="1" customWidth="1"/>
    <col min="434" max="434" width="1.28515625" style="1" hidden="1" customWidth="1"/>
    <col min="435" max="435" width="3.140625" style="8" hidden="1" customWidth="1"/>
    <col min="436" max="436" width="2.42578125" style="9" hidden="1" customWidth="1"/>
    <col min="437" max="437" width="3.140625" style="8" hidden="1" customWidth="1"/>
    <col min="438" max="438" width="2.42578125" style="9" hidden="1" customWidth="1"/>
    <col min="439" max="443" width="3.140625" style="8" hidden="1" customWidth="1"/>
    <col min="444" max="444" width="1.28515625" style="1" hidden="1" customWidth="1"/>
    <col min="445" max="445" width="3.140625" style="8" hidden="1" customWidth="1"/>
    <col min="446" max="446" width="2.42578125" style="9" hidden="1" customWidth="1"/>
    <col min="447" max="447" width="3.140625" style="8" hidden="1" customWidth="1"/>
    <col min="448" max="448" width="2.42578125" style="9" hidden="1" customWidth="1"/>
    <col min="449" max="453" width="3.140625" style="8" hidden="1" customWidth="1"/>
    <col min="454" max="454" width="1.28515625" style="1" hidden="1" customWidth="1"/>
    <col min="455" max="455" width="3.140625" style="8" hidden="1" customWidth="1"/>
    <col min="456" max="456" width="2.42578125" style="9" hidden="1" customWidth="1"/>
    <col min="457" max="457" width="3.140625" style="8" hidden="1" customWidth="1"/>
    <col min="458" max="458" width="2.42578125" style="9" hidden="1" customWidth="1"/>
    <col min="459" max="463" width="3.140625" style="8" hidden="1" customWidth="1"/>
    <col min="464" max="464" width="1.28515625" style="1" hidden="1" customWidth="1"/>
    <col min="465" max="465" width="3.140625" style="8" hidden="1" customWidth="1"/>
    <col min="466" max="466" width="2.42578125" style="9" hidden="1" customWidth="1"/>
    <col min="467" max="467" width="3.140625" style="8" hidden="1" customWidth="1"/>
    <col min="468" max="468" width="2.42578125" style="9" hidden="1" customWidth="1"/>
    <col min="469" max="473" width="3.140625" style="8" hidden="1" customWidth="1"/>
    <col min="474" max="474" width="1.28515625" style="1" hidden="1" customWidth="1"/>
    <col min="475" max="475" width="3.140625" style="8" hidden="1" customWidth="1"/>
    <col min="476" max="476" width="2.42578125" style="9" hidden="1" customWidth="1"/>
    <col min="477" max="477" width="3.140625" style="8" hidden="1" customWidth="1"/>
    <col min="478" max="478" width="2.42578125" style="9" hidden="1" customWidth="1"/>
    <col min="479" max="483" width="3.140625" style="8" hidden="1" customWidth="1"/>
    <col min="484" max="484" width="1.28515625" style="1" hidden="1" customWidth="1"/>
    <col min="485" max="485" width="3.140625" style="8" hidden="1" customWidth="1"/>
    <col min="486" max="486" width="2.42578125" style="9" hidden="1" customWidth="1"/>
    <col min="487" max="487" width="3.140625" style="8" hidden="1" customWidth="1"/>
    <col min="488" max="488" width="2.42578125" style="9" hidden="1" customWidth="1"/>
    <col min="489" max="493" width="3.140625" style="8" hidden="1" customWidth="1"/>
    <col min="494" max="494" width="1.28515625" style="1" hidden="1" customWidth="1"/>
    <col min="495" max="495" width="3.140625" style="8" hidden="1" customWidth="1"/>
    <col min="496" max="496" width="2.42578125" style="9" hidden="1" customWidth="1"/>
    <col min="497" max="497" width="3.140625" style="8" hidden="1" customWidth="1"/>
    <col min="498" max="498" width="2.42578125" style="9" hidden="1" customWidth="1"/>
    <col min="499" max="503" width="3.140625" style="8" hidden="1" customWidth="1"/>
    <col min="504" max="504" width="1.28515625" style="1" hidden="1" customWidth="1"/>
    <col min="505" max="505" width="3.140625" style="8" hidden="1" customWidth="1"/>
    <col min="506" max="506" width="2.42578125" style="9" hidden="1" customWidth="1"/>
    <col min="507" max="507" width="3.140625" style="8" hidden="1" customWidth="1"/>
    <col min="508" max="508" width="2.42578125" style="9" hidden="1" customWidth="1"/>
    <col min="509" max="513" width="3.140625" style="8" hidden="1" customWidth="1"/>
    <col min="514" max="514" width="1.28515625" style="1" hidden="1" customWidth="1"/>
    <col min="515" max="515" width="3.140625" style="8" hidden="1" customWidth="1"/>
    <col min="516" max="516" width="2.42578125" style="9" hidden="1" customWidth="1"/>
    <col min="517" max="517" width="3.140625" style="8" hidden="1" customWidth="1"/>
    <col min="518" max="518" width="2.42578125" style="9" hidden="1" customWidth="1"/>
    <col min="519" max="523" width="3.140625" style="8" hidden="1" customWidth="1"/>
    <col min="524" max="524" width="1.28515625" style="1" hidden="1" customWidth="1"/>
    <col min="525" max="525" width="3.140625" style="8" hidden="1" customWidth="1"/>
    <col min="526" max="526" width="2.42578125" style="9" hidden="1" customWidth="1"/>
    <col min="527" max="527" width="3.140625" style="8" hidden="1" customWidth="1"/>
    <col min="528" max="528" width="2.42578125" style="9" hidden="1" customWidth="1"/>
    <col min="529" max="533" width="3.140625" style="8" hidden="1" customWidth="1"/>
    <col min="534" max="534" width="1.28515625" style="1" hidden="1" customWidth="1"/>
    <col min="535" max="535" width="3.140625" style="8" hidden="1" customWidth="1"/>
    <col min="536" max="536" width="2.42578125" style="9" hidden="1" customWidth="1"/>
    <col min="537" max="537" width="3.140625" style="8" hidden="1" customWidth="1"/>
    <col min="538" max="538" width="2.42578125" style="9" hidden="1" customWidth="1"/>
    <col min="539" max="543" width="3.140625" style="8" hidden="1" customWidth="1"/>
    <col min="544" max="544" width="1.28515625" style="1" hidden="1" customWidth="1"/>
    <col min="545" max="545" width="3.140625" style="8" hidden="1" customWidth="1"/>
    <col min="546" max="546" width="2.42578125" style="9" hidden="1" customWidth="1"/>
    <col min="547" max="547" width="3.140625" style="8" hidden="1" customWidth="1"/>
    <col min="548" max="548" width="2.42578125" style="9" hidden="1" customWidth="1"/>
    <col min="549" max="553" width="3.140625" style="8" hidden="1" customWidth="1"/>
    <col min="554" max="554" width="1.28515625" style="1" hidden="1" customWidth="1"/>
    <col min="555" max="555" width="3.140625" style="8" hidden="1" customWidth="1"/>
    <col min="556" max="556" width="2.42578125" style="9" hidden="1" customWidth="1"/>
    <col min="557" max="557" width="3.140625" style="8" hidden="1" customWidth="1"/>
    <col min="558" max="558" width="2.42578125" style="9" hidden="1" customWidth="1"/>
    <col min="559" max="563" width="3.140625" style="8" hidden="1" customWidth="1"/>
    <col min="564" max="564" width="1.28515625" style="1" hidden="1" customWidth="1"/>
    <col min="565" max="565" width="3.140625" style="8" hidden="1" customWidth="1"/>
    <col min="566" max="566" width="2.42578125" style="9" hidden="1" customWidth="1"/>
    <col min="567" max="567" width="3.140625" style="8" hidden="1" customWidth="1"/>
    <col min="568" max="568" width="2.42578125" style="9" hidden="1" customWidth="1"/>
    <col min="569" max="573" width="3.140625" style="8" hidden="1" customWidth="1"/>
    <col min="574" max="574" width="1.28515625" style="1" hidden="1" customWidth="1"/>
    <col min="575" max="575" width="3.140625" style="8" hidden="1" customWidth="1"/>
    <col min="576" max="576" width="2.42578125" style="9" hidden="1" customWidth="1"/>
    <col min="577" max="577" width="3.140625" style="8" hidden="1" customWidth="1"/>
    <col min="578" max="578" width="2.42578125" style="9" hidden="1" customWidth="1"/>
    <col min="579" max="583" width="3.140625" style="8" hidden="1" customWidth="1"/>
    <col min="584" max="584" width="1.28515625" style="1" hidden="1" customWidth="1"/>
    <col min="585" max="585" width="3.140625" style="8" hidden="1" customWidth="1"/>
    <col min="586" max="586" width="2.42578125" style="9" hidden="1" customWidth="1"/>
    <col min="587" max="587" width="3.140625" style="8" hidden="1" customWidth="1"/>
    <col min="588" max="588" width="2.42578125" style="9" hidden="1" customWidth="1"/>
    <col min="589" max="593" width="3.140625" style="8" hidden="1" customWidth="1"/>
    <col min="594" max="594" width="1.28515625" style="1" hidden="1" customWidth="1"/>
    <col min="595" max="595" width="3.140625" style="8" hidden="1" customWidth="1"/>
    <col min="596" max="596" width="2.42578125" style="9" hidden="1" customWidth="1"/>
    <col min="597" max="597" width="3.140625" style="8" hidden="1" customWidth="1"/>
    <col min="598" max="598" width="2.42578125" style="9" hidden="1" customWidth="1"/>
    <col min="599" max="603" width="3.140625" style="8" hidden="1" customWidth="1"/>
    <col min="604" max="604" width="1.28515625" style="1" hidden="1" customWidth="1"/>
    <col min="605" max="605" width="3.140625" style="8" hidden="1" customWidth="1"/>
    <col min="606" max="606" width="2.42578125" style="9" hidden="1" customWidth="1"/>
    <col min="607" max="607" width="3.140625" style="8" hidden="1" customWidth="1"/>
    <col min="608" max="608" width="2.42578125" style="9" hidden="1" customWidth="1"/>
    <col min="609" max="613" width="3.140625" style="8" hidden="1" customWidth="1"/>
    <col min="614" max="614" width="1.28515625" style="1" hidden="1" customWidth="1"/>
    <col min="615" max="615" width="3.140625" style="8" hidden="1" customWidth="1"/>
    <col min="616" max="616" width="2.42578125" style="9" hidden="1" customWidth="1"/>
    <col min="617" max="617" width="3.140625" style="8" hidden="1" customWidth="1"/>
    <col min="618" max="618" width="2.42578125" style="9" hidden="1" customWidth="1"/>
    <col min="619" max="623" width="3.140625" style="8" hidden="1" customWidth="1"/>
    <col min="624" max="624" width="1.28515625" style="1" hidden="1" customWidth="1"/>
    <col min="625" max="625" width="3.140625" style="8" hidden="1" customWidth="1"/>
    <col min="626" max="626" width="2.42578125" style="9" hidden="1" customWidth="1"/>
    <col min="627" max="627" width="3.140625" style="8" hidden="1" customWidth="1"/>
    <col min="628" max="628" width="2.42578125" style="9" hidden="1" customWidth="1"/>
    <col min="629" max="633" width="3.140625" style="8" hidden="1" customWidth="1"/>
    <col min="634" max="634" width="1.28515625" style="1" hidden="1" customWidth="1"/>
    <col min="635" max="635" width="3.140625" style="8" hidden="1" customWidth="1"/>
    <col min="636" max="636" width="2.42578125" style="9" hidden="1" customWidth="1"/>
    <col min="637" max="637" width="3.140625" style="8" hidden="1" customWidth="1"/>
    <col min="638" max="638" width="2.42578125" style="9" hidden="1" customWidth="1"/>
    <col min="639" max="643" width="3.140625" style="8" hidden="1" customWidth="1"/>
    <col min="644" max="644" width="1.28515625" style="1" hidden="1" customWidth="1"/>
    <col min="645" max="645" width="3.140625" style="8" hidden="1" customWidth="1"/>
    <col min="646" max="646" width="2.42578125" style="9" hidden="1" customWidth="1"/>
    <col min="647" max="647" width="3.140625" style="8" hidden="1" customWidth="1"/>
    <col min="648" max="648" width="2.42578125" style="9" hidden="1" customWidth="1"/>
    <col min="649" max="653" width="3.140625" style="8" hidden="1" customWidth="1"/>
    <col min="654" max="654" width="1.28515625" style="1" hidden="1" customWidth="1"/>
    <col min="655" max="655" width="3.140625" style="8" hidden="1" customWidth="1"/>
    <col min="656" max="656" width="2.42578125" style="9" hidden="1" customWidth="1"/>
    <col min="657" max="657" width="3.140625" style="8" hidden="1" customWidth="1"/>
    <col min="658" max="658" width="2.42578125" style="9" hidden="1" customWidth="1"/>
    <col min="659" max="663" width="3.140625" style="8" hidden="1" customWidth="1"/>
    <col min="664" max="664" width="1.28515625" style="1" hidden="1" customWidth="1"/>
    <col min="665" max="665" width="3.140625" style="8" hidden="1" customWidth="1"/>
    <col min="666" max="666" width="2.42578125" style="9" hidden="1" customWidth="1"/>
    <col min="667" max="667" width="3.140625" style="8" hidden="1" customWidth="1"/>
    <col min="668" max="668" width="2.42578125" style="9" hidden="1" customWidth="1"/>
    <col min="669" max="673" width="3.140625" style="8" hidden="1" customWidth="1"/>
    <col min="674" max="674" width="1.28515625" style="1" hidden="1" customWidth="1"/>
    <col min="675" max="675" width="3.140625" style="8" hidden="1" customWidth="1"/>
    <col min="676" max="676" width="2.42578125" style="9" hidden="1" customWidth="1"/>
    <col min="677" max="677" width="3.140625" style="8" hidden="1" customWidth="1"/>
    <col min="678" max="678" width="2.42578125" style="9" hidden="1" customWidth="1"/>
    <col min="679" max="683" width="3.140625" style="8" hidden="1" customWidth="1"/>
    <col min="684" max="684" width="1.28515625" style="1" hidden="1" customWidth="1"/>
    <col min="685" max="685" width="3.140625" style="8" hidden="1" customWidth="1"/>
    <col min="686" max="686" width="2.42578125" style="9" hidden="1" customWidth="1"/>
    <col min="687" max="687" width="3.140625" style="8" hidden="1" customWidth="1"/>
    <col min="688" max="688" width="2.42578125" style="9" hidden="1" customWidth="1"/>
    <col min="689" max="693" width="3.140625" style="8" hidden="1" customWidth="1"/>
    <col min="694" max="694" width="1.28515625" style="1" hidden="1" customWidth="1"/>
    <col min="695" max="695" width="3.140625" style="8" hidden="1" customWidth="1"/>
    <col min="696" max="696" width="2.42578125" style="9" hidden="1" customWidth="1"/>
    <col min="697" max="697" width="3.140625" style="8" hidden="1" customWidth="1"/>
    <col min="698" max="698" width="2.42578125" style="9" hidden="1" customWidth="1"/>
    <col min="699" max="703" width="3.140625" style="8" hidden="1" customWidth="1"/>
    <col min="704" max="704" width="1.28515625" style="1" hidden="1" customWidth="1"/>
    <col min="705" max="705" width="3.140625" style="8" hidden="1" customWidth="1"/>
    <col min="706" max="706" width="2.42578125" style="9" hidden="1" customWidth="1"/>
    <col min="707" max="707" width="3.140625" style="8" hidden="1" customWidth="1"/>
    <col min="708" max="708" width="2.42578125" style="9" hidden="1" customWidth="1"/>
    <col min="709" max="713" width="3.140625" style="8" hidden="1" customWidth="1"/>
    <col min="714" max="714" width="1.28515625" style="1" hidden="1" customWidth="1"/>
    <col min="715" max="715" width="3.140625" style="8" hidden="1" customWidth="1"/>
    <col min="716" max="716" width="2.42578125" style="9" hidden="1" customWidth="1"/>
    <col min="717" max="717" width="3.140625" style="8" hidden="1" customWidth="1"/>
    <col min="718" max="718" width="2.42578125" style="9" hidden="1" customWidth="1"/>
    <col min="719" max="723" width="3.140625" style="8" hidden="1" customWidth="1"/>
    <col min="724" max="724" width="1.28515625" style="1" hidden="1" customWidth="1"/>
    <col min="725" max="725" width="3.140625" style="8" hidden="1" customWidth="1"/>
    <col min="726" max="726" width="2.42578125" style="9" hidden="1" customWidth="1"/>
    <col min="727" max="727" width="3.140625" style="8" hidden="1" customWidth="1"/>
    <col min="728" max="728" width="2.42578125" style="9" hidden="1" customWidth="1"/>
    <col min="729" max="733" width="3.140625" style="8" hidden="1" customWidth="1"/>
    <col min="734" max="734" width="1.28515625" style="1" hidden="1" customWidth="1"/>
    <col min="735" max="735" width="3.140625" style="8" hidden="1" customWidth="1"/>
    <col min="736" max="736" width="2.42578125" style="9" hidden="1" customWidth="1"/>
    <col min="737" max="737" width="3.140625" style="8" hidden="1" customWidth="1"/>
    <col min="738" max="738" width="2.42578125" style="9" hidden="1" customWidth="1"/>
    <col min="739" max="743" width="3.140625" style="8" hidden="1" customWidth="1"/>
    <col min="744" max="744" width="1.28515625" style="1" hidden="1" customWidth="1"/>
    <col min="745" max="745" width="3.140625" style="8" hidden="1" customWidth="1"/>
    <col min="746" max="746" width="2.42578125" style="9" hidden="1" customWidth="1"/>
    <col min="747" max="747" width="3.140625" style="8" hidden="1" customWidth="1"/>
    <col min="748" max="748" width="2.42578125" style="9" hidden="1" customWidth="1"/>
    <col min="749" max="753" width="3.140625" style="8" hidden="1" customWidth="1"/>
    <col min="754" max="754" width="1.28515625" style="1" hidden="1" customWidth="1"/>
    <col min="755" max="755" width="3.140625" style="8" hidden="1" customWidth="1"/>
    <col min="756" max="756" width="2.42578125" style="9" hidden="1" customWidth="1"/>
    <col min="757" max="757" width="3.140625" style="8" hidden="1" customWidth="1"/>
    <col min="758" max="758" width="2.42578125" style="9" hidden="1" customWidth="1"/>
    <col min="759" max="763" width="3.140625" style="8" hidden="1" customWidth="1"/>
    <col min="764" max="764" width="1.28515625" style="1" hidden="1" customWidth="1"/>
    <col min="765" max="765" width="3.140625" style="8" hidden="1" customWidth="1"/>
    <col min="766" max="766" width="2.42578125" style="9" hidden="1" customWidth="1"/>
    <col min="767" max="767" width="3.140625" style="8" hidden="1" customWidth="1"/>
    <col min="768" max="768" width="2.42578125" style="9" hidden="1" customWidth="1"/>
    <col min="769" max="773" width="3.140625" style="8" hidden="1" customWidth="1"/>
    <col min="774" max="774" width="1.28515625" style="1" hidden="1" customWidth="1"/>
    <col min="775" max="775" width="3.140625" style="8" hidden="1" customWidth="1"/>
    <col min="776" max="776" width="2.42578125" style="9" hidden="1" customWidth="1"/>
    <col min="777" max="777" width="3.140625" style="8" hidden="1" customWidth="1"/>
    <col min="778" max="778" width="2.42578125" style="9" hidden="1" customWidth="1"/>
    <col min="779" max="783" width="3.140625" style="8" hidden="1" customWidth="1"/>
    <col min="784" max="784" width="1.28515625" style="1" hidden="1" customWidth="1"/>
    <col min="785" max="785" width="3.140625" style="8" hidden="1" customWidth="1"/>
    <col min="786" max="786" width="2.42578125" style="9" hidden="1" customWidth="1"/>
    <col min="787" max="787" width="3.140625" style="8" hidden="1" customWidth="1"/>
    <col min="788" max="788" width="2.42578125" style="9" hidden="1" customWidth="1"/>
    <col min="789" max="793" width="3.140625" style="8" hidden="1" customWidth="1"/>
    <col min="794" max="794" width="1.28515625" style="1" hidden="1" customWidth="1"/>
    <col min="795" max="795" width="3.140625" style="8" hidden="1" customWidth="1"/>
    <col min="796" max="796" width="2.42578125" style="9" hidden="1" customWidth="1"/>
    <col min="797" max="797" width="3.140625" style="8" hidden="1" customWidth="1"/>
    <col min="798" max="798" width="2.42578125" style="9" hidden="1" customWidth="1"/>
    <col min="799" max="803" width="3.140625" style="8" hidden="1" customWidth="1"/>
    <col min="804" max="804" width="1.28515625" style="1" hidden="1" customWidth="1"/>
    <col min="805" max="805" width="3.140625" style="8" hidden="1" customWidth="1"/>
    <col min="806" max="806" width="2.42578125" style="9" hidden="1" customWidth="1"/>
    <col min="807" max="807" width="3.140625" style="8" hidden="1" customWidth="1"/>
    <col min="808" max="808" width="2.42578125" style="9" hidden="1" customWidth="1"/>
    <col min="809" max="813" width="3.140625" style="8" hidden="1" customWidth="1"/>
    <col min="814" max="814" width="1.28515625" style="1" hidden="1" customWidth="1"/>
    <col min="815" max="815" width="3.140625" style="8" hidden="1" customWidth="1"/>
    <col min="816" max="816" width="2.42578125" style="9" hidden="1" customWidth="1"/>
    <col min="817" max="817" width="3.140625" style="8" hidden="1" customWidth="1"/>
    <col min="818" max="818" width="2.42578125" style="9" hidden="1" customWidth="1"/>
    <col min="819" max="823" width="3.140625" style="8" hidden="1" customWidth="1"/>
    <col min="824" max="824" width="1.28515625" style="1" hidden="1" customWidth="1"/>
    <col min="825" max="825" width="3.140625" style="8" hidden="1" customWidth="1"/>
    <col min="826" max="826" width="2.42578125" style="9" hidden="1" customWidth="1"/>
    <col min="827" max="827" width="3.140625" style="8" hidden="1" customWidth="1"/>
    <col min="828" max="828" width="2.42578125" style="9" hidden="1" customWidth="1"/>
    <col min="829" max="833" width="3.140625" style="8" hidden="1" customWidth="1"/>
    <col min="834" max="834" width="1.28515625" style="1" hidden="1" customWidth="1"/>
    <col min="835" max="835" width="3.140625" style="8" hidden="1" customWidth="1"/>
    <col min="836" max="836" width="2.42578125" style="9" hidden="1" customWidth="1"/>
    <col min="837" max="837" width="3.140625" style="8" hidden="1" customWidth="1"/>
    <col min="838" max="838" width="2.42578125" style="9" hidden="1" customWidth="1"/>
    <col min="839" max="843" width="3.140625" style="8" hidden="1" customWidth="1"/>
    <col min="844" max="844" width="1.28515625" style="1" hidden="1" customWidth="1"/>
    <col min="845" max="845" width="3.140625" style="8" hidden="1" customWidth="1"/>
    <col min="846" max="846" width="2.42578125" style="9" hidden="1" customWidth="1"/>
    <col min="847" max="847" width="3.140625" style="8" hidden="1" customWidth="1"/>
    <col min="848" max="848" width="2.42578125" style="9" hidden="1" customWidth="1"/>
    <col min="849" max="853" width="3.140625" style="8" hidden="1" customWidth="1"/>
    <col min="854" max="854" width="1.28515625" style="1" hidden="1" customWidth="1"/>
    <col min="855" max="855" width="3.140625" style="8" hidden="1" customWidth="1"/>
    <col min="856" max="856" width="2.42578125" style="9" hidden="1" customWidth="1"/>
    <col min="857" max="857" width="3.140625" style="8" hidden="1" customWidth="1"/>
    <col min="858" max="858" width="2.42578125" style="9" hidden="1" customWidth="1"/>
    <col min="859" max="863" width="3.140625" style="8" hidden="1" customWidth="1"/>
    <col min="864" max="864" width="1.28515625" style="1" hidden="1" customWidth="1"/>
    <col min="865" max="865" width="3.140625" style="8" hidden="1" customWidth="1"/>
    <col min="866" max="866" width="2.42578125" style="9" hidden="1" customWidth="1"/>
    <col min="867" max="867" width="3.140625" style="8" hidden="1" customWidth="1"/>
    <col min="868" max="868" width="2.42578125" style="9" hidden="1" customWidth="1"/>
    <col min="869" max="873" width="3.140625" style="8" hidden="1" customWidth="1"/>
    <col min="874" max="874" width="1.28515625" style="1" hidden="1" customWidth="1"/>
    <col min="875" max="875" width="3.140625" style="8" hidden="1" customWidth="1"/>
    <col min="876" max="876" width="2.42578125" style="9" hidden="1" customWidth="1"/>
    <col min="877" max="877" width="3.140625" style="8" hidden="1" customWidth="1"/>
    <col min="878" max="878" width="2.42578125" style="9" hidden="1" customWidth="1"/>
    <col min="879" max="883" width="3.140625" style="8" hidden="1" customWidth="1"/>
    <col min="884" max="884" width="1.28515625" style="1" hidden="1" customWidth="1"/>
    <col min="885" max="885" width="3.140625" style="8" hidden="1" customWidth="1"/>
    <col min="886" max="886" width="2.42578125" style="9" hidden="1" customWidth="1"/>
    <col min="887" max="887" width="3.140625" style="8" hidden="1" customWidth="1"/>
    <col min="888" max="888" width="2.42578125" style="9" hidden="1" customWidth="1"/>
    <col min="889" max="893" width="3.140625" style="8" hidden="1" customWidth="1"/>
    <col min="894" max="894" width="1.28515625" style="1" hidden="1" customWidth="1"/>
    <col min="895" max="895" width="3.140625" style="8" hidden="1" customWidth="1"/>
    <col min="896" max="896" width="2.42578125" style="9" hidden="1" customWidth="1"/>
    <col min="897" max="897" width="3.140625" style="8" hidden="1" customWidth="1"/>
    <col min="898" max="898" width="2.42578125" style="9" hidden="1" customWidth="1"/>
    <col min="899" max="903" width="3.140625" style="8" hidden="1" customWidth="1"/>
    <col min="904" max="904" width="1.28515625" style="1" hidden="1" customWidth="1"/>
    <col min="905" max="905" width="3.140625" style="8" hidden="1" customWidth="1"/>
    <col min="906" max="906" width="2.42578125" style="9" hidden="1" customWidth="1"/>
    <col min="907" max="907" width="3.140625" style="8" hidden="1" customWidth="1"/>
    <col min="908" max="908" width="2.42578125" style="9" hidden="1" customWidth="1"/>
    <col min="909" max="913" width="3.140625" style="8" hidden="1" customWidth="1"/>
    <col min="914" max="914" width="1.28515625" style="1" hidden="1" customWidth="1"/>
    <col min="915" max="915" width="3.140625" style="8" hidden="1" customWidth="1"/>
    <col min="916" max="916" width="2.42578125" style="9" hidden="1" customWidth="1"/>
    <col min="917" max="917" width="3.140625" style="8" hidden="1" customWidth="1"/>
    <col min="918" max="918" width="2.42578125" style="9" hidden="1" customWidth="1"/>
    <col min="919" max="923" width="3.140625" style="8" hidden="1" customWidth="1"/>
    <col min="924" max="924" width="1.28515625" style="1" hidden="1" customWidth="1"/>
    <col min="925" max="925" width="3.140625" style="8" hidden="1" customWidth="1"/>
    <col min="926" max="926" width="2.42578125" style="9" hidden="1" customWidth="1"/>
    <col min="927" max="927" width="3.140625" style="8" hidden="1" customWidth="1"/>
    <col min="928" max="928" width="2.42578125" style="9" hidden="1" customWidth="1"/>
    <col min="929" max="933" width="3.140625" style="8" hidden="1" customWidth="1"/>
    <col min="934" max="934" width="1.28515625" style="1" hidden="1" customWidth="1"/>
    <col min="935" max="935" width="3.140625" style="8" hidden="1" customWidth="1"/>
    <col min="936" max="936" width="2.42578125" style="9" hidden="1" customWidth="1"/>
    <col min="937" max="937" width="3.140625" style="8" hidden="1" customWidth="1"/>
    <col min="938" max="938" width="2.42578125" style="9" hidden="1" customWidth="1"/>
    <col min="939" max="943" width="3.140625" style="8" hidden="1" customWidth="1"/>
    <col min="944" max="944" width="1.28515625" style="1" hidden="1" customWidth="1"/>
    <col min="945" max="945" width="3.140625" style="8" hidden="1" customWidth="1"/>
    <col min="946" max="946" width="2.42578125" style="9" hidden="1" customWidth="1"/>
    <col min="947" max="947" width="3.140625" style="8" hidden="1" customWidth="1"/>
    <col min="948" max="948" width="2.42578125" style="9" hidden="1" customWidth="1"/>
    <col min="949" max="953" width="3.140625" style="8" hidden="1" customWidth="1"/>
    <col min="954" max="954" width="1.28515625" style="1" hidden="1" customWidth="1"/>
    <col min="955" max="955" width="3.140625" style="8" hidden="1" customWidth="1"/>
    <col min="956" max="956" width="2.42578125" style="9" hidden="1" customWidth="1"/>
    <col min="957" max="957" width="3.140625" style="8" hidden="1" customWidth="1"/>
    <col min="958" max="958" width="2.42578125" style="9" hidden="1" customWidth="1"/>
    <col min="959" max="963" width="3.140625" style="8" hidden="1" customWidth="1"/>
    <col min="964" max="964" width="1.28515625" style="1" hidden="1" customWidth="1"/>
    <col min="965" max="965" width="3.140625" style="8" hidden="1" customWidth="1"/>
    <col min="966" max="966" width="2.42578125" style="9" hidden="1" customWidth="1"/>
    <col min="967" max="967" width="3.140625" style="8" hidden="1" customWidth="1"/>
    <col min="968" max="968" width="2.42578125" style="9" hidden="1" customWidth="1"/>
    <col min="969" max="973" width="3.140625" style="8" hidden="1" customWidth="1"/>
    <col min="974" max="974" width="1.28515625" style="1" hidden="1" customWidth="1"/>
    <col min="975" max="975" width="3.140625" style="8" hidden="1" customWidth="1"/>
    <col min="976" max="976" width="2.42578125" style="9" hidden="1" customWidth="1"/>
    <col min="977" max="977" width="3.140625" style="8" hidden="1" customWidth="1"/>
    <col min="978" max="978" width="2.42578125" style="9" hidden="1" customWidth="1"/>
    <col min="979" max="983" width="3.140625" style="8" hidden="1" customWidth="1"/>
    <col min="984" max="984" width="1.28515625" style="1" hidden="1" customWidth="1"/>
    <col min="985" max="985" width="3.140625" style="8" hidden="1" customWidth="1"/>
    <col min="986" max="986" width="2.42578125" style="9" hidden="1" customWidth="1"/>
    <col min="987" max="987" width="3.140625" style="8" hidden="1" customWidth="1"/>
    <col min="988" max="988" width="2.42578125" style="9" hidden="1" customWidth="1"/>
    <col min="989" max="993" width="3.140625" style="8" hidden="1" customWidth="1"/>
    <col min="994" max="994" width="1.28515625" style="1" hidden="1" customWidth="1"/>
    <col min="995" max="995" width="3.140625" style="8" hidden="1" customWidth="1"/>
    <col min="996" max="996" width="2.42578125" style="9" hidden="1" customWidth="1"/>
    <col min="997" max="997" width="3.140625" style="8" hidden="1" customWidth="1"/>
    <col min="998" max="998" width="2.42578125" style="9" hidden="1" customWidth="1"/>
    <col min="999" max="1003" width="3.140625" style="8" hidden="1" customWidth="1"/>
    <col min="1004" max="1004" width="1.28515625" style="1" hidden="1" customWidth="1"/>
    <col min="1005" max="1005" width="3.140625" style="8" hidden="1" customWidth="1"/>
    <col min="1006" max="1006" width="2.42578125" style="9" hidden="1" customWidth="1"/>
    <col min="1007" max="1007" width="3.140625" style="8" hidden="1" customWidth="1"/>
    <col min="1008" max="1008" width="2.42578125" style="9" hidden="1" customWidth="1"/>
    <col min="1009" max="1013" width="3.140625" style="8" hidden="1" customWidth="1"/>
    <col min="1014" max="1014" width="1.28515625" style="1" hidden="1" customWidth="1"/>
    <col min="1015" max="1015" width="3.140625" style="8" hidden="1" customWidth="1"/>
    <col min="1016" max="1016" width="2.42578125" style="9" hidden="1" customWidth="1"/>
    <col min="1017" max="1017" width="3.140625" style="8" hidden="1" customWidth="1"/>
    <col min="1018" max="1018" width="2.42578125" style="9" hidden="1" customWidth="1"/>
    <col min="1019" max="1023" width="3.140625" style="8" hidden="1" customWidth="1"/>
    <col min="1024" max="1024" width="1.28515625" style="1" hidden="1" customWidth="1"/>
    <col min="1025" max="1025" width="3.140625" style="8" hidden="1" customWidth="1"/>
    <col min="1026" max="1026" width="2.42578125" style="9" hidden="1" customWidth="1"/>
    <col min="1027" max="1027" width="3.140625" style="8" hidden="1" customWidth="1"/>
    <col min="1028" max="1028" width="2.42578125" style="9" hidden="1" customWidth="1"/>
    <col min="1029" max="1033" width="3.140625" style="8" hidden="1" customWidth="1"/>
    <col min="1034" max="1034" width="1.28515625" style="1" hidden="1" customWidth="1"/>
    <col min="1035" max="1035" width="3.140625" style="8" hidden="1" customWidth="1"/>
    <col min="1036" max="1036" width="2.42578125" style="9" hidden="1" customWidth="1"/>
    <col min="1037" max="1037" width="3.140625" style="8" hidden="1" customWidth="1"/>
    <col min="1038" max="1038" width="2.42578125" style="9" hidden="1" customWidth="1"/>
    <col min="1039" max="1043" width="3.140625" style="8" hidden="1" customWidth="1"/>
    <col min="1044" max="1044" width="1.28515625" style="1" hidden="1" customWidth="1"/>
    <col min="1045" max="1045" width="3.140625" style="8" hidden="1" customWidth="1"/>
    <col min="1046" max="1046" width="2.42578125" style="9" hidden="1" customWidth="1"/>
    <col min="1047" max="1047" width="3.140625" style="8" hidden="1" customWidth="1"/>
    <col min="1048" max="1048" width="2.42578125" style="9" hidden="1" customWidth="1"/>
    <col min="1049" max="1053" width="3.140625" style="8" hidden="1" customWidth="1"/>
    <col min="1054" max="1054" width="1.28515625" style="1" customWidth="1"/>
    <col min="1055" max="1055" width="3.140625" style="8" customWidth="1"/>
    <col min="1056" max="1056" width="2.42578125" style="9" customWidth="1"/>
    <col min="1057" max="1057" width="3.140625" style="8" customWidth="1"/>
    <col min="1058" max="1058" width="2.42578125" style="9" customWidth="1"/>
    <col min="1059" max="1063" width="3.140625" style="8" customWidth="1"/>
    <col min="1064" max="1064" width="1.28515625" style="1" customWidth="1"/>
    <col min="1065" max="1065" width="3.140625" style="8" customWidth="1"/>
    <col min="1066" max="1066" width="2.42578125" style="9" customWidth="1"/>
    <col min="1067" max="1067" width="3.140625" style="8" customWidth="1"/>
    <col min="1068" max="1068" width="2.42578125" style="9" customWidth="1"/>
    <col min="1069" max="1073" width="3.140625" style="8" customWidth="1"/>
    <col min="1074" max="1074" width="1.28515625" style="1" customWidth="1"/>
    <col min="1075" max="1075" width="3.140625" style="8" customWidth="1"/>
    <col min="1076" max="1076" width="2.42578125" style="9" customWidth="1"/>
    <col min="1077" max="1077" width="3.140625" style="8" customWidth="1"/>
    <col min="1078" max="1078" width="2.42578125" style="9" customWidth="1"/>
    <col min="1079" max="1083" width="3.140625" style="8" customWidth="1"/>
    <col min="1084" max="1084" width="1.28515625" style="1" customWidth="1"/>
    <col min="1085" max="1085" width="3.140625" style="8" customWidth="1"/>
    <col min="1086" max="1086" width="2.42578125" style="9" customWidth="1"/>
    <col min="1087" max="1087" width="3.140625" style="8" customWidth="1"/>
    <col min="1088" max="1088" width="2.42578125" style="9" customWidth="1"/>
    <col min="1089" max="1093" width="3.140625" style="8" customWidth="1"/>
    <col min="1094" max="16384" width="9.140625" style="1"/>
  </cols>
  <sheetData>
    <row r="1" spans="1:1093" ht="11.25" x14ac:dyDescent="0.2">
      <c r="A1" s="38" t="s">
        <v>79</v>
      </c>
      <c r="B1" s="69">
        <f ca="1">_xlfn.LET(_xlpm.anchor,DATE(2026,5,4),_xlpm.cycle,14,_xlpm.next,_xlpm.anchor+_xlfn.CEILING.MATH(MAX(0,TODAY()-_xlpm.anchor),_xlpm.cycle),IF(_xlpm.next=TODAY(),"DUE TODAY",_xlpm.next))</f>
        <v>46300</v>
      </c>
      <c r="C1" s="69"/>
      <c r="D1" s="69"/>
      <c r="E1" s="62" t="s">
        <v>0</v>
      </c>
      <c r="F1" s="63"/>
      <c r="G1" s="62"/>
      <c r="H1" s="70"/>
      <c r="I1" s="63"/>
      <c r="J1" s="64" t="s">
        <v>1</v>
      </c>
      <c r="K1" s="64"/>
      <c r="L1" s="68">
        <v>45522</v>
      </c>
      <c r="M1" s="68"/>
      <c r="O1" s="62" t="s">
        <v>0</v>
      </c>
      <c r="P1" s="63"/>
      <c r="Q1" s="62"/>
      <c r="R1" s="70"/>
      <c r="S1" s="63"/>
      <c r="T1" s="64" t="s">
        <v>1</v>
      </c>
      <c r="U1" s="64"/>
      <c r="V1" s="68">
        <v>45529</v>
      </c>
      <c r="W1" s="68"/>
      <c r="Y1" s="62" t="s">
        <v>0</v>
      </c>
      <c r="Z1" s="63"/>
      <c r="AA1" s="62" t="s">
        <v>2</v>
      </c>
      <c r="AB1" s="70"/>
      <c r="AC1" s="63"/>
      <c r="AD1" s="64" t="s">
        <v>1</v>
      </c>
      <c r="AE1" s="64"/>
      <c r="AF1" s="68">
        <v>45536</v>
      </c>
      <c r="AG1" s="68"/>
      <c r="AI1" s="62" t="s">
        <v>0</v>
      </c>
      <c r="AJ1" s="63"/>
      <c r="AK1" s="65" t="s">
        <v>2</v>
      </c>
      <c r="AL1" s="66"/>
      <c r="AM1" s="67"/>
      <c r="AN1" s="64" t="s">
        <v>1</v>
      </c>
      <c r="AO1" s="64"/>
      <c r="AP1" s="68">
        <v>45543</v>
      </c>
      <c r="AQ1" s="68"/>
      <c r="AS1" s="62" t="s">
        <v>0</v>
      </c>
      <c r="AT1" s="63"/>
      <c r="AU1" s="65" t="s">
        <v>2</v>
      </c>
      <c r="AV1" s="66"/>
      <c r="AW1" s="67"/>
      <c r="AX1" s="64" t="s">
        <v>1</v>
      </c>
      <c r="AY1" s="64"/>
      <c r="AZ1" s="68">
        <v>45550</v>
      </c>
      <c r="BA1" s="68"/>
      <c r="BC1" s="62" t="s">
        <v>0</v>
      </c>
      <c r="BD1" s="63"/>
      <c r="BE1" s="55" t="s">
        <v>3</v>
      </c>
      <c r="BF1" s="56"/>
      <c r="BG1" s="57"/>
      <c r="BH1" s="64" t="s">
        <v>1</v>
      </c>
      <c r="BI1" s="64"/>
      <c r="BJ1" s="59">
        <v>45557</v>
      </c>
      <c r="BK1" s="59"/>
      <c r="BM1" s="62" t="s">
        <v>0</v>
      </c>
      <c r="BN1" s="63"/>
      <c r="BO1" s="55" t="s">
        <v>2</v>
      </c>
      <c r="BP1" s="56"/>
      <c r="BQ1" s="57"/>
      <c r="BR1" s="64" t="s">
        <v>1</v>
      </c>
      <c r="BS1" s="64"/>
      <c r="BT1" s="59">
        <v>45564</v>
      </c>
      <c r="BU1" s="59"/>
      <c r="BW1" s="62" t="s">
        <v>0</v>
      </c>
      <c r="BX1" s="63"/>
      <c r="BY1" s="65" t="s">
        <v>3</v>
      </c>
      <c r="BZ1" s="66"/>
      <c r="CA1" s="67"/>
      <c r="CB1" s="64" t="s">
        <v>1</v>
      </c>
      <c r="CC1" s="64"/>
      <c r="CD1" s="68">
        <v>45571</v>
      </c>
      <c r="CE1" s="68"/>
      <c r="CG1" s="62" t="s">
        <v>0</v>
      </c>
      <c r="CH1" s="63"/>
      <c r="CI1" s="65" t="s">
        <v>2</v>
      </c>
      <c r="CJ1" s="66"/>
      <c r="CK1" s="67"/>
      <c r="CL1" s="64" t="s">
        <v>1</v>
      </c>
      <c r="CM1" s="64"/>
      <c r="CN1" s="68">
        <v>45578</v>
      </c>
      <c r="CO1" s="68"/>
      <c r="CQ1" s="62" t="s">
        <v>0</v>
      </c>
      <c r="CR1" s="63"/>
      <c r="CS1" s="65" t="s">
        <v>2</v>
      </c>
      <c r="CT1" s="66"/>
      <c r="CU1" s="67"/>
      <c r="CV1" s="64" t="s">
        <v>1</v>
      </c>
      <c r="CW1" s="64"/>
      <c r="CX1" s="68">
        <v>45585</v>
      </c>
      <c r="CY1" s="68"/>
      <c r="DA1" s="62" t="s">
        <v>0</v>
      </c>
      <c r="DB1" s="63"/>
      <c r="DC1" s="65" t="s">
        <v>2</v>
      </c>
      <c r="DD1" s="66"/>
      <c r="DE1" s="67"/>
      <c r="DF1" s="64" t="s">
        <v>1</v>
      </c>
      <c r="DG1" s="64"/>
      <c r="DH1" s="68">
        <v>45592</v>
      </c>
      <c r="DI1" s="68"/>
      <c r="DK1" s="62" t="s">
        <v>0</v>
      </c>
      <c r="DL1" s="63"/>
      <c r="DM1" s="65" t="s">
        <v>4</v>
      </c>
      <c r="DN1" s="66"/>
      <c r="DO1" s="67"/>
      <c r="DP1" s="64" t="s">
        <v>1</v>
      </c>
      <c r="DQ1" s="64"/>
      <c r="DR1" s="68">
        <v>45599</v>
      </c>
      <c r="DS1" s="68"/>
      <c r="DU1" s="62" t="s">
        <v>0</v>
      </c>
      <c r="DV1" s="63"/>
      <c r="DW1" s="65" t="s">
        <v>2</v>
      </c>
      <c r="DX1" s="66"/>
      <c r="DY1" s="67"/>
      <c r="DZ1" s="64" t="s">
        <v>1</v>
      </c>
      <c r="EA1" s="64"/>
      <c r="EB1" s="68">
        <v>45606</v>
      </c>
      <c r="EC1" s="68"/>
      <c r="EE1" s="62" t="s">
        <v>0</v>
      </c>
      <c r="EF1" s="63"/>
      <c r="EG1" s="65" t="s">
        <v>2</v>
      </c>
      <c r="EH1" s="66"/>
      <c r="EI1" s="67"/>
      <c r="EJ1" s="64" t="s">
        <v>1</v>
      </c>
      <c r="EK1" s="64"/>
      <c r="EL1" s="68">
        <v>45613</v>
      </c>
      <c r="EM1" s="68"/>
      <c r="EO1" s="62" t="s">
        <v>0</v>
      </c>
      <c r="EP1" s="63"/>
      <c r="EQ1" s="65" t="s">
        <v>5</v>
      </c>
      <c r="ER1" s="66"/>
      <c r="ES1" s="67"/>
      <c r="ET1" s="64" t="s">
        <v>1</v>
      </c>
      <c r="EU1" s="64"/>
      <c r="EV1" s="68">
        <v>45615</v>
      </c>
      <c r="EW1" s="68"/>
      <c r="EY1" s="62" t="s">
        <v>0</v>
      </c>
      <c r="EZ1" s="63"/>
      <c r="FA1" s="65" t="s">
        <v>2</v>
      </c>
      <c r="FB1" s="66"/>
      <c r="FC1" s="67"/>
      <c r="FD1" s="64" t="s">
        <v>1</v>
      </c>
      <c r="FE1" s="64"/>
      <c r="FF1" s="68">
        <v>45620</v>
      </c>
      <c r="FG1" s="68"/>
      <c r="FI1" s="62" t="s">
        <v>0</v>
      </c>
      <c r="FJ1" s="63"/>
      <c r="FK1" s="65" t="s">
        <v>2</v>
      </c>
      <c r="FL1" s="66"/>
      <c r="FM1" s="67"/>
      <c r="FN1" s="64" t="s">
        <v>1</v>
      </c>
      <c r="FO1" s="64"/>
      <c r="FP1" s="68">
        <v>45627</v>
      </c>
      <c r="FQ1" s="68"/>
      <c r="FS1" s="62" t="s">
        <v>0</v>
      </c>
      <c r="FT1" s="63"/>
      <c r="FU1" s="65" t="s">
        <v>2</v>
      </c>
      <c r="FV1" s="66"/>
      <c r="FW1" s="67"/>
      <c r="FX1" s="64" t="s">
        <v>1</v>
      </c>
      <c r="FY1" s="64"/>
      <c r="FZ1" s="68">
        <v>45634</v>
      </c>
      <c r="GA1" s="68"/>
      <c r="GC1" s="62" t="s">
        <v>0</v>
      </c>
      <c r="GD1" s="63"/>
      <c r="GE1" s="65" t="s">
        <v>3</v>
      </c>
      <c r="GF1" s="66"/>
      <c r="GG1" s="67"/>
      <c r="GH1" s="64" t="s">
        <v>1</v>
      </c>
      <c r="GI1" s="64"/>
      <c r="GJ1" s="68">
        <v>45641</v>
      </c>
      <c r="GK1" s="68"/>
      <c r="GM1" s="62" t="s">
        <v>0</v>
      </c>
      <c r="GN1" s="63"/>
      <c r="GO1" s="65" t="s">
        <v>3</v>
      </c>
      <c r="GP1" s="66"/>
      <c r="GQ1" s="67"/>
      <c r="GR1" s="64" t="s">
        <v>1</v>
      </c>
      <c r="GS1" s="64"/>
      <c r="GT1" s="68">
        <v>45648</v>
      </c>
      <c r="GU1" s="68"/>
      <c r="GW1" s="62" t="s">
        <v>0</v>
      </c>
      <c r="GX1" s="63"/>
      <c r="GY1" s="65" t="s">
        <v>2</v>
      </c>
      <c r="GZ1" s="66"/>
      <c r="HA1" s="67"/>
      <c r="HB1" s="64" t="s">
        <v>1</v>
      </c>
      <c r="HC1" s="64"/>
      <c r="HD1" s="68">
        <v>45655</v>
      </c>
      <c r="HE1" s="68"/>
      <c r="HG1" s="62" t="s">
        <v>0</v>
      </c>
      <c r="HH1" s="63"/>
      <c r="HI1" s="65" t="s">
        <v>3</v>
      </c>
      <c r="HJ1" s="66"/>
      <c r="HK1" s="67"/>
      <c r="HL1" s="64" t="s">
        <v>1</v>
      </c>
      <c r="HM1" s="64"/>
      <c r="HN1" s="68">
        <v>45662</v>
      </c>
      <c r="HO1" s="68"/>
      <c r="HQ1" s="62" t="s">
        <v>0</v>
      </c>
      <c r="HR1" s="63"/>
      <c r="HS1" s="65" t="s">
        <v>3</v>
      </c>
      <c r="HT1" s="66"/>
      <c r="HU1" s="67"/>
      <c r="HV1" s="64" t="s">
        <v>1</v>
      </c>
      <c r="HW1" s="64"/>
      <c r="HX1" s="68">
        <v>45669</v>
      </c>
      <c r="HY1" s="68"/>
      <c r="IA1" s="62" t="s">
        <v>0</v>
      </c>
      <c r="IB1" s="63"/>
      <c r="IC1" s="65" t="s">
        <v>3</v>
      </c>
      <c r="ID1" s="66"/>
      <c r="IE1" s="67"/>
      <c r="IF1" s="64" t="s">
        <v>1</v>
      </c>
      <c r="IG1" s="64"/>
      <c r="IH1" s="68">
        <v>45676</v>
      </c>
      <c r="II1" s="68"/>
      <c r="IK1" s="62" t="s">
        <v>0</v>
      </c>
      <c r="IL1" s="63"/>
      <c r="IM1" s="65" t="s">
        <v>3</v>
      </c>
      <c r="IN1" s="66"/>
      <c r="IO1" s="67"/>
      <c r="IP1" s="64" t="s">
        <v>1</v>
      </c>
      <c r="IQ1" s="64"/>
      <c r="IR1" s="68">
        <v>45683</v>
      </c>
      <c r="IS1" s="68"/>
      <c r="IU1" s="62" t="s">
        <v>0</v>
      </c>
      <c r="IV1" s="63"/>
      <c r="IW1" s="65" t="s">
        <v>3</v>
      </c>
      <c r="IX1" s="66"/>
      <c r="IY1" s="67"/>
      <c r="IZ1" s="64" t="s">
        <v>1</v>
      </c>
      <c r="JA1" s="64"/>
      <c r="JB1" s="68">
        <v>45690</v>
      </c>
      <c r="JC1" s="68"/>
      <c r="JE1" s="62" t="s">
        <v>0</v>
      </c>
      <c r="JF1" s="63"/>
      <c r="JG1" s="65" t="s">
        <v>3</v>
      </c>
      <c r="JH1" s="66"/>
      <c r="JI1" s="67"/>
      <c r="JJ1" s="64" t="s">
        <v>1</v>
      </c>
      <c r="JK1" s="64"/>
      <c r="JL1" s="68">
        <v>45697</v>
      </c>
      <c r="JM1" s="68"/>
      <c r="JO1" s="62" t="s">
        <v>0</v>
      </c>
      <c r="JP1" s="63"/>
      <c r="JQ1" s="65" t="s">
        <v>6</v>
      </c>
      <c r="JR1" s="66"/>
      <c r="JS1" s="67"/>
      <c r="JT1" s="64" t="s">
        <v>1</v>
      </c>
      <c r="JU1" s="64"/>
      <c r="JV1" s="68">
        <v>45704</v>
      </c>
      <c r="JW1" s="68"/>
      <c r="JY1" s="62" t="s">
        <v>0</v>
      </c>
      <c r="JZ1" s="63"/>
      <c r="KA1" s="65" t="s">
        <v>3</v>
      </c>
      <c r="KB1" s="66"/>
      <c r="KC1" s="67"/>
      <c r="KD1" s="64" t="s">
        <v>1</v>
      </c>
      <c r="KE1" s="64"/>
      <c r="KF1" s="68">
        <v>45711</v>
      </c>
      <c r="KG1" s="68"/>
      <c r="KI1" s="62" t="s">
        <v>0</v>
      </c>
      <c r="KJ1" s="63"/>
      <c r="KK1" s="65" t="s">
        <v>3</v>
      </c>
      <c r="KL1" s="66"/>
      <c r="KM1" s="67"/>
      <c r="KN1" s="64" t="s">
        <v>1</v>
      </c>
      <c r="KO1" s="64"/>
      <c r="KP1" s="68">
        <v>45718</v>
      </c>
      <c r="KQ1" s="68"/>
      <c r="KS1" s="62" t="s">
        <v>0</v>
      </c>
      <c r="KT1" s="63"/>
      <c r="KU1" s="65" t="s">
        <v>3</v>
      </c>
      <c r="KV1" s="66"/>
      <c r="KW1" s="67"/>
      <c r="KX1" s="64" t="s">
        <v>1</v>
      </c>
      <c r="KY1" s="64"/>
      <c r="KZ1" s="68">
        <v>45725</v>
      </c>
      <c r="LA1" s="68"/>
      <c r="LC1" s="62" t="s">
        <v>0</v>
      </c>
      <c r="LD1" s="63"/>
      <c r="LE1" s="65" t="s">
        <v>6</v>
      </c>
      <c r="LF1" s="66"/>
      <c r="LG1" s="67"/>
      <c r="LH1" s="64" t="s">
        <v>1</v>
      </c>
      <c r="LI1" s="64"/>
      <c r="LJ1" s="68">
        <v>45732</v>
      </c>
      <c r="LK1" s="68"/>
      <c r="LM1" s="62" t="s">
        <v>0</v>
      </c>
      <c r="LN1" s="63"/>
      <c r="LO1" s="65" t="s">
        <v>6</v>
      </c>
      <c r="LP1" s="66"/>
      <c r="LQ1" s="67"/>
      <c r="LR1" s="64" t="s">
        <v>1</v>
      </c>
      <c r="LS1" s="64"/>
      <c r="LT1" s="68">
        <v>45739</v>
      </c>
      <c r="LU1" s="68"/>
      <c r="LW1" s="62" t="s">
        <v>0</v>
      </c>
      <c r="LX1" s="63"/>
      <c r="LY1" s="65" t="s">
        <v>6</v>
      </c>
      <c r="LZ1" s="66"/>
      <c r="MA1" s="67"/>
      <c r="MB1" s="64" t="s">
        <v>1</v>
      </c>
      <c r="MC1" s="64"/>
      <c r="MD1" s="68">
        <v>45746</v>
      </c>
      <c r="ME1" s="68"/>
      <c r="MG1" s="62" t="s">
        <v>0</v>
      </c>
      <c r="MH1" s="63"/>
      <c r="MI1" s="65" t="s">
        <v>6</v>
      </c>
      <c r="MJ1" s="66"/>
      <c r="MK1" s="67"/>
      <c r="ML1" s="64" t="s">
        <v>1</v>
      </c>
      <c r="MM1" s="64"/>
      <c r="MN1" s="68">
        <v>45753</v>
      </c>
      <c r="MO1" s="68"/>
      <c r="MQ1" s="62" t="s">
        <v>0</v>
      </c>
      <c r="MR1" s="63"/>
      <c r="MS1" s="55" t="s">
        <v>7</v>
      </c>
      <c r="MT1" s="56"/>
      <c r="MU1" s="57"/>
      <c r="MV1" s="64" t="s">
        <v>1</v>
      </c>
      <c r="MW1" s="64"/>
      <c r="MX1" s="59">
        <v>45760</v>
      </c>
      <c r="MY1" s="59"/>
      <c r="NA1" s="62" t="s">
        <v>0</v>
      </c>
      <c r="NB1" s="63"/>
      <c r="NC1" s="65" t="s">
        <v>6</v>
      </c>
      <c r="ND1" s="66"/>
      <c r="NE1" s="67"/>
      <c r="NF1" s="64" t="s">
        <v>1</v>
      </c>
      <c r="NG1" s="64"/>
      <c r="NH1" s="68">
        <v>45767</v>
      </c>
      <c r="NI1" s="68"/>
      <c r="NK1" s="62" t="s">
        <v>0</v>
      </c>
      <c r="NL1" s="63"/>
      <c r="NM1" s="65" t="s">
        <v>6</v>
      </c>
      <c r="NN1" s="66"/>
      <c r="NO1" s="67"/>
      <c r="NP1" s="64" t="s">
        <v>1</v>
      </c>
      <c r="NQ1" s="64"/>
      <c r="NR1" s="68">
        <v>45774</v>
      </c>
      <c r="NS1" s="68"/>
      <c r="NU1" s="62" t="s">
        <v>0</v>
      </c>
      <c r="NV1" s="63"/>
      <c r="NW1" s="65" t="s">
        <v>3</v>
      </c>
      <c r="NX1" s="66"/>
      <c r="NY1" s="67"/>
      <c r="NZ1" s="64" t="s">
        <v>1</v>
      </c>
      <c r="OA1" s="64"/>
      <c r="OB1" s="68">
        <v>45781</v>
      </c>
      <c r="OC1" s="68"/>
      <c r="OE1" s="62" t="s">
        <v>0</v>
      </c>
      <c r="OF1" s="63"/>
      <c r="OG1" s="55" t="s">
        <v>7</v>
      </c>
      <c r="OH1" s="56"/>
      <c r="OI1" s="57"/>
      <c r="OJ1" s="64" t="s">
        <v>1</v>
      </c>
      <c r="OK1" s="64"/>
      <c r="OL1" s="59">
        <v>45788</v>
      </c>
      <c r="OM1" s="59"/>
      <c r="OO1" s="62" t="s">
        <v>0</v>
      </c>
      <c r="OP1" s="63"/>
      <c r="OQ1" s="65" t="s">
        <v>6</v>
      </c>
      <c r="OR1" s="66"/>
      <c r="OS1" s="67"/>
      <c r="OT1" s="64" t="s">
        <v>1</v>
      </c>
      <c r="OU1" s="64"/>
      <c r="OV1" s="68">
        <v>45795</v>
      </c>
      <c r="OW1" s="68"/>
      <c r="OY1" s="62" t="s">
        <v>0</v>
      </c>
      <c r="OZ1" s="63"/>
      <c r="PA1" s="65" t="s">
        <v>7</v>
      </c>
      <c r="PB1" s="66"/>
      <c r="PC1" s="67"/>
      <c r="PD1" s="64" t="s">
        <v>1</v>
      </c>
      <c r="PE1" s="64"/>
      <c r="PF1" s="68">
        <v>45802</v>
      </c>
      <c r="PG1" s="68"/>
      <c r="PI1" s="62" t="s">
        <v>0</v>
      </c>
      <c r="PJ1" s="63"/>
      <c r="PK1" s="65" t="s">
        <v>6</v>
      </c>
      <c r="PL1" s="66"/>
      <c r="PM1" s="67"/>
      <c r="PN1" s="64" t="s">
        <v>1</v>
      </c>
      <c r="PO1" s="64"/>
      <c r="PP1" s="68">
        <v>45809</v>
      </c>
      <c r="PQ1" s="68"/>
      <c r="PS1" s="62" t="s">
        <v>0</v>
      </c>
      <c r="PT1" s="63"/>
      <c r="PU1" s="55" t="s">
        <v>6</v>
      </c>
      <c r="PV1" s="56"/>
      <c r="PW1" s="57"/>
      <c r="PX1" s="64" t="s">
        <v>1</v>
      </c>
      <c r="PY1" s="64"/>
      <c r="PZ1" s="59">
        <v>45816</v>
      </c>
      <c r="QA1" s="59"/>
      <c r="QC1" s="62" t="s">
        <v>0</v>
      </c>
      <c r="QD1" s="63"/>
      <c r="QE1" s="65" t="s">
        <v>6</v>
      </c>
      <c r="QF1" s="66"/>
      <c r="QG1" s="67"/>
      <c r="QH1" s="64" t="s">
        <v>1</v>
      </c>
      <c r="QI1" s="64"/>
      <c r="QJ1" s="68">
        <v>45823</v>
      </c>
      <c r="QK1" s="68"/>
      <c r="QM1" s="62" t="s">
        <v>0</v>
      </c>
      <c r="QN1" s="63"/>
      <c r="QO1" s="65" t="s">
        <v>6</v>
      </c>
      <c r="QP1" s="66"/>
      <c r="QQ1" s="67"/>
      <c r="QR1" s="64" t="s">
        <v>1</v>
      </c>
      <c r="QS1" s="64"/>
      <c r="QT1" s="68">
        <v>45830</v>
      </c>
      <c r="QU1" s="68"/>
      <c r="QW1" s="62" t="s">
        <v>0</v>
      </c>
      <c r="QX1" s="63"/>
      <c r="QY1" s="65" t="s">
        <v>7</v>
      </c>
      <c r="QZ1" s="66"/>
      <c r="RA1" s="67"/>
      <c r="RB1" s="64" t="s">
        <v>1</v>
      </c>
      <c r="RC1" s="64"/>
      <c r="RD1" s="68">
        <v>45837</v>
      </c>
      <c r="RE1" s="68"/>
      <c r="RG1" s="62" t="s">
        <v>0</v>
      </c>
      <c r="RH1" s="63"/>
      <c r="RI1" s="65" t="s">
        <v>3</v>
      </c>
      <c r="RJ1" s="66"/>
      <c r="RK1" s="67"/>
      <c r="RL1" s="64" t="s">
        <v>1</v>
      </c>
      <c r="RM1" s="64"/>
      <c r="RN1" s="68">
        <v>45844</v>
      </c>
      <c r="RO1" s="68"/>
      <c r="RQ1" s="62" t="s">
        <v>0</v>
      </c>
      <c r="RR1" s="63"/>
      <c r="RS1" s="65" t="s">
        <v>6</v>
      </c>
      <c r="RT1" s="66"/>
      <c r="RU1" s="67"/>
      <c r="RV1" s="64" t="s">
        <v>1</v>
      </c>
      <c r="RW1" s="64"/>
      <c r="RX1" s="68">
        <v>45851</v>
      </c>
      <c r="RY1" s="68"/>
      <c r="SA1" s="62" t="s">
        <v>0</v>
      </c>
      <c r="SB1" s="63"/>
      <c r="SC1" s="55" t="s">
        <v>7</v>
      </c>
      <c r="SD1" s="56"/>
      <c r="SE1" s="57"/>
      <c r="SF1" s="64" t="s">
        <v>1</v>
      </c>
      <c r="SG1" s="64"/>
      <c r="SH1" s="59">
        <v>45858</v>
      </c>
      <c r="SI1" s="59"/>
      <c r="SK1" s="62" t="s">
        <v>0</v>
      </c>
      <c r="SL1" s="63"/>
      <c r="SM1" s="65" t="s">
        <v>6</v>
      </c>
      <c r="SN1" s="66"/>
      <c r="SO1" s="67"/>
      <c r="SP1" s="64" t="s">
        <v>1</v>
      </c>
      <c r="SQ1" s="64"/>
      <c r="SR1" s="68">
        <v>45865</v>
      </c>
      <c r="SS1" s="68"/>
      <c r="SU1" s="62" t="s">
        <v>0</v>
      </c>
      <c r="SV1" s="63"/>
      <c r="SW1" s="65" t="s">
        <v>2</v>
      </c>
      <c r="SX1" s="66"/>
      <c r="SY1" s="67"/>
      <c r="SZ1" s="64" t="s">
        <v>1</v>
      </c>
      <c r="TA1" s="64"/>
      <c r="TB1" s="68" t="s">
        <v>58</v>
      </c>
      <c r="TC1" s="68"/>
      <c r="TE1" s="62" t="s">
        <v>0</v>
      </c>
      <c r="TF1" s="63"/>
      <c r="TG1" s="65" t="s">
        <v>3</v>
      </c>
      <c r="TH1" s="66"/>
      <c r="TI1" s="67"/>
      <c r="TJ1" s="64" t="s">
        <v>1</v>
      </c>
      <c r="TK1" s="64"/>
      <c r="TL1" s="68">
        <v>45879</v>
      </c>
      <c r="TM1" s="68"/>
      <c r="TO1" s="62" t="s">
        <v>0</v>
      </c>
      <c r="TP1" s="63"/>
      <c r="TQ1" s="65" t="s">
        <v>7</v>
      </c>
      <c r="TR1" s="66"/>
      <c r="TS1" s="67"/>
      <c r="TT1" s="64" t="s">
        <v>1</v>
      </c>
      <c r="TU1" s="64"/>
      <c r="TV1" s="68">
        <v>45886</v>
      </c>
      <c r="TW1" s="68"/>
      <c r="TY1" s="62" t="s">
        <v>0</v>
      </c>
      <c r="TZ1" s="63"/>
      <c r="UA1" s="65" t="s">
        <v>7</v>
      </c>
      <c r="UB1" s="66"/>
      <c r="UC1" s="67"/>
      <c r="UD1" s="64" t="s">
        <v>1</v>
      </c>
      <c r="UE1" s="64"/>
      <c r="UF1" s="68">
        <v>45893</v>
      </c>
      <c r="UG1" s="68"/>
      <c r="UI1" s="62" t="s">
        <v>0</v>
      </c>
      <c r="UJ1" s="63"/>
      <c r="UK1" s="55" t="s">
        <v>3</v>
      </c>
      <c r="UL1" s="56"/>
      <c r="UM1" s="57"/>
      <c r="UN1" s="64" t="s">
        <v>1</v>
      </c>
      <c r="UO1" s="64"/>
      <c r="UP1" s="59">
        <v>45900</v>
      </c>
      <c r="UQ1" s="59"/>
      <c r="US1" s="62" t="s">
        <v>0</v>
      </c>
      <c r="UT1" s="63"/>
      <c r="UU1" s="65" t="s">
        <v>7</v>
      </c>
      <c r="UV1" s="66"/>
      <c r="UW1" s="67"/>
      <c r="UX1" s="64" t="s">
        <v>1</v>
      </c>
      <c r="UY1" s="64"/>
      <c r="UZ1" s="68">
        <v>45907</v>
      </c>
      <c r="VA1" s="68"/>
      <c r="VC1" s="62" t="s">
        <v>0</v>
      </c>
      <c r="VD1" s="63"/>
      <c r="VE1" s="55" t="s">
        <v>7</v>
      </c>
      <c r="VF1" s="56"/>
      <c r="VG1" s="57"/>
      <c r="VH1" s="64" t="s">
        <v>1</v>
      </c>
      <c r="VI1" s="64"/>
      <c r="VJ1" s="59">
        <v>45914</v>
      </c>
      <c r="VK1" s="59"/>
      <c r="VM1" s="62" t="s">
        <v>0</v>
      </c>
      <c r="VN1" s="63"/>
      <c r="VO1" s="65" t="s">
        <v>7</v>
      </c>
      <c r="VP1" s="66"/>
      <c r="VQ1" s="67"/>
      <c r="VR1" s="64" t="s">
        <v>1</v>
      </c>
      <c r="VS1" s="64"/>
      <c r="VT1" s="68">
        <v>45921</v>
      </c>
      <c r="VU1" s="68"/>
      <c r="VW1" s="62" t="s">
        <v>0</v>
      </c>
      <c r="VX1" s="63"/>
      <c r="VY1" s="55" t="s">
        <v>59</v>
      </c>
      <c r="VZ1" s="56"/>
      <c r="WA1" s="57"/>
      <c r="WB1" s="64" t="s">
        <v>1</v>
      </c>
      <c r="WC1" s="64"/>
      <c r="WD1" s="59">
        <v>45928</v>
      </c>
      <c r="WE1" s="59"/>
      <c r="WG1" s="62" t="s">
        <v>0</v>
      </c>
      <c r="WH1" s="63"/>
      <c r="WI1" s="55" t="s">
        <v>60</v>
      </c>
      <c r="WJ1" s="56"/>
      <c r="WK1" s="57"/>
      <c r="WL1" s="64" t="s">
        <v>1</v>
      </c>
      <c r="WM1" s="64"/>
      <c r="WN1" s="59">
        <v>45935</v>
      </c>
      <c r="WO1" s="59"/>
      <c r="WQ1" s="62" t="s">
        <v>0</v>
      </c>
      <c r="WR1" s="63"/>
      <c r="WS1" s="55" t="s">
        <v>2</v>
      </c>
      <c r="WT1" s="56"/>
      <c r="WU1" s="57"/>
      <c r="WV1" s="64" t="s">
        <v>1</v>
      </c>
      <c r="WW1" s="64"/>
      <c r="WX1" s="59">
        <v>45947</v>
      </c>
      <c r="WY1" s="59"/>
      <c r="XA1" s="62" t="s">
        <v>0</v>
      </c>
      <c r="XB1" s="63"/>
      <c r="XC1" s="65" t="s">
        <v>2</v>
      </c>
      <c r="XD1" s="66"/>
      <c r="XE1" s="67"/>
      <c r="XF1" s="64" t="s">
        <v>1</v>
      </c>
      <c r="XG1" s="64"/>
      <c r="XH1" s="68">
        <v>45949</v>
      </c>
      <c r="XI1" s="68"/>
      <c r="XK1" s="62" t="s">
        <v>0</v>
      </c>
      <c r="XL1" s="63"/>
      <c r="XM1" s="65" t="s">
        <v>4</v>
      </c>
      <c r="XN1" s="66"/>
      <c r="XO1" s="67"/>
      <c r="XP1" s="64" t="s">
        <v>1</v>
      </c>
      <c r="XQ1" s="64"/>
      <c r="XR1" s="68">
        <v>45956</v>
      </c>
      <c r="XS1" s="68"/>
      <c r="XU1" s="62" t="s">
        <v>0</v>
      </c>
      <c r="XV1" s="63"/>
      <c r="XW1" s="65" t="s">
        <v>2</v>
      </c>
      <c r="XX1" s="66"/>
      <c r="XY1" s="67"/>
      <c r="XZ1" s="64" t="s">
        <v>1</v>
      </c>
      <c r="YA1" s="64"/>
      <c r="YB1" s="68">
        <v>45963</v>
      </c>
      <c r="YC1" s="68"/>
      <c r="YE1" s="62" t="s">
        <v>0</v>
      </c>
      <c r="YF1" s="63"/>
      <c r="YG1" s="65" t="s">
        <v>62</v>
      </c>
      <c r="YH1" s="66"/>
      <c r="YI1" s="67"/>
      <c r="YJ1" s="64" t="s">
        <v>1</v>
      </c>
      <c r="YK1" s="64"/>
      <c r="YL1" s="68">
        <v>45970</v>
      </c>
      <c r="YM1" s="68"/>
      <c r="YO1" s="62" t="s">
        <v>0</v>
      </c>
      <c r="YP1" s="63"/>
      <c r="YQ1" s="65" t="s">
        <v>62</v>
      </c>
      <c r="YR1" s="66"/>
      <c r="YS1" s="67"/>
      <c r="YT1" s="64" t="s">
        <v>1</v>
      </c>
      <c r="YU1" s="64"/>
      <c r="YV1" s="68">
        <v>45977</v>
      </c>
      <c r="YW1" s="68"/>
      <c r="YY1" s="62" t="s">
        <v>0</v>
      </c>
      <c r="YZ1" s="63"/>
      <c r="ZA1" s="65" t="s">
        <v>2</v>
      </c>
      <c r="ZB1" s="66"/>
      <c r="ZC1" s="67"/>
      <c r="ZD1" s="64" t="s">
        <v>1</v>
      </c>
      <c r="ZE1" s="64"/>
      <c r="ZF1" s="68">
        <v>45984</v>
      </c>
      <c r="ZG1" s="68"/>
      <c r="ZI1" s="62" t="s">
        <v>0</v>
      </c>
      <c r="ZJ1" s="63"/>
      <c r="ZK1" s="65" t="s">
        <v>62</v>
      </c>
      <c r="ZL1" s="66"/>
      <c r="ZM1" s="67"/>
      <c r="ZN1" s="64" t="s">
        <v>1</v>
      </c>
      <c r="ZO1" s="64"/>
      <c r="ZP1" s="68">
        <v>45991</v>
      </c>
      <c r="ZQ1" s="68"/>
      <c r="ZS1" s="62" t="s">
        <v>0</v>
      </c>
      <c r="ZT1" s="63"/>
      <c r="ZU1" s="65" t="s">
        <v>2</v>
      </c>
      <c r="ZV1" s="66"/>
      <c r="ZW1" s="67"/>
      <c r="ZX1" s="64" t="s">
        <v>1</v>
      </c>
      <c r="ZY1" s="64"/>
      <c r="ZZ1" s="68">
        <v>45998</v>
      </c>
      <c r="AAA1" s="68"/>
      <c r="AAC1" s="62" t="s">
        <v>0</v>
      </c>
      <c r="AAD1" s="63"/>
      <c r="AAE1" s="65" t="s">
        <v>2</v>
      </c>
      <c r="AAF1" s="66"/>
      <c r="AAG1" s="67"/>
      <c r="AAH1" s="64" t="s">
        <v>1</v>
      </c>
      <c r="AAI1" s="64"/>
      <c r="AAJ1" s="68">
        <v>46005</v>
      </c>
      <c r="AAK1" s="68"/>
      <c r="AAM1" s="62" t="s">
        <v>0</v>
      </c>
      <c r="AAN1" s="63"/>
      <c r="AAO1" s="55" t="s">
        <v>63</v>
      </c>
      <c r="AAP1" s="56"/>
      <c r="AAQ1" s="57"/>
      <c r="AAR1" s="64" t="s">
        <v>1</v>
      </c>
      <c r="AAS1" s="64"/>
      <c r="AAT1" s="59" t="s">
        <v>64</v>
      </c>
      <c r="AAU1" s="59"/>
      <c r="AAW1" s="62" t="s">
        <v>0</v>
      </c>
      <c r="AAX1" s="63"/>
      <c r="AAY1" s="55" t="s">
        <v>2</v>
      </c>
      <c r="AAZ1" s="56"/>
      <c r="ABA1" s="57"/>
      <c r="ABB1" s="64" t="s">
        <v>1</v>
      </c>
      <c r="ABC1" s="64"/>
      <c r="ABD1" s="59">
        <v>46019</v>
      </c>
      <c r="ABE1" s="59"/>
      <c r="ABG1" s="62" t="s">
        <v>0</v>
      </c>
      <c r="ABH1" s="63"/>
      <c r="ABI1" s="65" t="s">
        <v>2</v>
      </c>
      <c r="ABJ1" s="66"/>
      <c r="ABK1" s="67"/>
      <c r="ABL1" s="64" t="s">
        <v>1</v>
      </c>
      <c r="ABM1" s="64"/>
      <c r="ABN1" s="68">
        <v>46026</v>
      </c>
      <c r="ABO1" s="68"/>
      <c r="ABQ1" s="62" t="s">
        <v>0</v>
      </c>
      <c r="ABR1" s="63"/>
      <c r="ABS1" s="55" t="s">
        <v>2</v>
      </c>
      <c r="ABT1" s="56"/>
      <c r="ABU1" s="57"/>
      <c r="ABV1" s="64" t="s">
        <v>1</v>
      </c>
      <c r="ABW1" s="64"/>
      <c r="ABX1" s="59" t="s">
        <v>65</v>
      </c>
      <c r="ABY1" s="59"/>
      <c r="ACA1" s="62" t="s">
        <v>0</v>
      </c>
      <c r="ACB1" s="63"/>
      <c r="ACC1" s="65" t="s">
        <v>66</v>
      </c>
      <c r="ACD1" s="66"/>
      <c r="ACE1" s="67"/>
      <c r="ACF1" s="64" t="s">
        <v>1</v>
      </c>
      <c r="ACG1" s="64"/>
      <c r="ACH1" s="68" t="s">
        <v>67</v>
      </c>
      <c r="ACI1" s="68"/>
      <c r="ACK1" s="62" t="s">
        <v>0</v>
      </c>
      <c r="ACL1" s="63"/>
      <c r="ACM1" s="65" t="s">
        <v>2</v>
      </c>
      <c r="ACN1" s="66"/>
      <c r="ACO1" s="67"/>
      <c r="ACP1" s="64" t="s">
        <v>1</v>
      </c>
      <c r="ACQ1" s="64"/>
      <c r="ACR1" s="68" t="s">
        <v>68</v>
      </c>
      <c r="ACS1" s="68"/>
      <c r="ACU1" s="62" t="s">
        <v>0</v>
      </c>
      <c r="ACV1" s="63"/>
      <c r="ACW1" s="65" t="s">
        <v>2</v>
      </c>
      <c r="ACX1" s="66"/>
      <c r="ACY1" s="67"/>
      <c r="ACZ1" s="64" t="s">
        <v>1</v>
      </c>
      <c r="ADA1" s="64"/>
      <c r="ADB1" s="68" t="s">
        <v>69</v>
      </c>
      <c r="ADC1" s="68"/>
      <c r="ADE1" s="62" t="s">
        <v>0</v>
      </c>
      <c r="ADF1" s="63"/>
      <c r="ADG1" s="65" t="s">
        <v>2</v>
      </c>
      <c r="ADH1" s="66"/>
      <c r="ADI1" s="67"/>
      <c r="ADJ1" s="64" t="s">
        <v>1</v>
      </c>
      <c r="ADK1" s="64"/>
      <c r="ADL1" s="68" t="s">
        <v>70</v>
      </c>
      <c r="ADM1" s="68"/>
      <c r="ADO1" s="62" t="s">
        <v>0</v>
      </c>
      <c r="ADP1" s="63"/>
      <c r="ADQ1" s="65" t="s">
        <v>2</v>
      </c>
      <c r="ADR1" s="66"/>
      <c r="ADS1" s="67"/>
      <c r="ADT1" s="64" t="s">
        <v>1</v>
      </c>
      <c r="ADU1" s="64"/>
      <c r="ADV1" s="68" t="s">
        <v>71</v>
      </c>
      <c r="ADW1" s="68"/>
      <c r="ADY1" s="62" t="s">
        <v>0</v>
      </c>
      <c r="ADZ1" s="63"/>
      <c r="AEA1" s="65" t="s">
        <v>2</v>
      </c>
      <c r="AEB1" s="66"/>
      <c r="AEC1" s="67"/>
      <c r="AED1" s="64" t="s">
        <v>1</v>
      </c>
      <c r="AEE1" s="64"/>
      <c r="AEF1" s="68">
        <v>46075</v>
      </c>
      <c r="AEG1" s="68"/>
      <c r="AEI1" s="62" t="s">
        <v>0</v>
      </c>
      <c r="AEJ1" s="63"/>
      <c r="AEK1" s="55" t="s">
        <v>2</v>
      </c>
      <c r="AEL1" s="56"/>
      <c r="AEM1" s="57"/>
      <c r="AEN1" s="64" t="s">
        <v>1</v>
      </c>
      <c r="AEO1" s="64"/>
      <c r="AEP1" s="59">
        <v>46082</v>
      </c>
      <c r="AEQ1" s="59"/>
      <c r="AES1" s="62" t="s">
        <v>0</v>
      </c>
      <c r="AET1" s="63"/>
      <c r="AEU1" s="65" t="s">
        <v>2</v>
      </c>
      <c r="AEV1" s="66"/>
      <c r="AEW1" s="67"/>
      <c r="AEX1" s="64" t="s">
        <v>1</v>
      </c>
      <c r="AEY1" s="64"/>
      <c r="AEZ1" s="68">
        <v>46089</v>
      </c>
      <c r="AFA1" s="68"/>
      <c r="AFC1" s="62" t="s">
        <v>0</v>
      </c>
      <c r="AFD1" s="63"/>
      <c r="AFE1" s="55" t="s">
        <v>2</v>
      </c>
      <c r="AFF1" s="56"/>
      <c r="AFG1" s="57"/>
      <c r="AFH1" s="64" t="s">
        <v>1</v>
      </c>
      <c r="AFI1" s="64"/>
      <c r="AFJ1" s="59">
        <v>46096</v>
      </c>
      <c r="AFK1" s="59"/>
      <c r="AFM1" s="62" t="s">
        <v>0</v>
      </c>
      <c r="AFN1" s="63"/>
      <c r="AFO1" s="55" t="s">
        <v>2</v>
      </c>
      <c r="AFP1" s="56"/>
      <c r="AFQ1" s="57"/>
      <c r="AFR1" s="64" t="s">
        <v>1</v>
      </c>
      <c r="AFS1" s="64"/>
      <c r="AFT1" s="59" t="s">
        <v>72</v>
      </c>
      <c r="AFU1" s="59"/>
      <c r="AFW1" s="62" t="s">
        <v>0</v>
      </c>
      <c r="AFX1" s="63"/>
      <c r="AFY1" s="65" t="s">
        <v>2</v>
      </c>
      <c r="AFZ1" s="66"/>
      <c r="AGA1" s="67"/>
      <c r="AGB1" s="64" t="s">
        <v>1</v>
      </c>
      <c r="AGC1" s="64"/>
      <c r="AGD1" s="68" t="s">
        <v>73</v>
      </c>
      <c r="AGE1" s="68"/>
      <c r="AGG1" s="62" t="s">
        <v>0</v>
      </c>
      <c r="AGH1" s="63"/>
      <c r="AGI1" s="65" t="s">
        <v>2</v>
      </c>
      <c r="AGJ1" s="66"/>
      <c r="AGK1" s="67"/>
      <c r="AGL1" s="64" t="s">
        <v>1</v>
      </c>
      <c r="AGM1" s="64"/>
      <c r="AGN1" s="68" t="s">
        <v>74</v>
      </c>
      <c r="AGO1" s="68"/>
      <c r="AGQ1" s="62" t="s">
        <v>0</v>
      </c>
      <c r="AGR1" s="63"/>
      <c r="AGS1" s="65" t="s">
        <v>2</v>
      </c>
      <c r="AGT1" s="66"/>
      <c r="AGU1" s="67"/>
      <c r="AGV1" s="64" t="s">
        <v>1</v>
      </c>
      <c r="AGW1" s="64"/>
      <c r="AGX1" s="68" t="s">
        <v>75</v>
      </c>
      <c r="AGY1" s="68"/>
      <c r="AHA1" s="62" t="s">
        <v>0</v>
      </c>
      <c r="AHB1" s="63"/>
      <c r="AHC1" s="65" t="s">
        <v>2</v>
      </c>
      <c r="AHD1" s="66"/>
      <c r="AHE1" s="67"/>
      <c r="AHF1" s="64" t="s">
        <v>1</v>
      </c>
      <c r="AHG1" s="64"/>
      <c r="AHH1" s="68" t="s">
        <v>76</v>
      </c>
      <c r="AHI1" s="68"/>
      <c r="AHK1" s="62" t="s">
        <v>0</v>
      </c>
      <c r="AHL1" s="63"/>
      <c r="AHM1" s="55" t="s">
        <v>2</v>
      </c>
      <c r="AHN1" s="56"/>
      <c r="AHO1" s="57"/>
      <c r="AHP1" s="64" t="s">
        <v>1</v>
      </c>
      <c r="AHQ1" s="64"/>
      <c r="AHR1" s="59" t="s">
        <v>77</v>
      </c>
      <c r="AHS1" s="59"/>
      <c r="AHU1" s="62" t="s">
        <v>0</v>
      </c>
      <c r="AHV1" s="63"/>
      <c r="AHW1" s="55" t="s">
        <v>2</v>
      </c>
      <c r="AHX1" s="56"/>
      <c r="AHY1" s="57"/>
      <c r="AHZ1" s="64" t="s">
        <v>1</v>
      </c>
      <c r="AIA1" s="64"/>
      <c r="AIB1" s="59" t="s">
        <v>78</v>
      </c>
      <c r="AIC1" s="59"/>
      <c r="AIE1" s="62" t="s">
        <v>0</v>
      </c>
      <c r="AIF1" s="63"/>
      <c r="AIG1" s="65" t="s">
        <v>2</v>
      </c>
      <c r="AIH1" s="66"/>
      <c r="AII1" s="67"/>
      <c r="AIJ1" s="64" t="s">
        <v>1</v>
      </c>
      <c r="AIK1" s="64"/>
      <c r="AIL1" s="68" t="s">
        <v>80</v>
      </c>
      <c r="AIM1" s="68"/>
      <c r="AIO1" s="62" t="s">
        <v>0</v>
      </c>
      <c r="AIP1" s="63"/>
      <c r="AIQ1" s="65" t="s">
        <v>2</v>
      </c>
      <c r="AIR1" s="66"/>
      <c r="AIS1" s="67"/>
      <c r="AIT1" s="64" t="s">
        <v>1</v>
      </c>
      <c r="AIU1" s="64"/>
      <c r="AIV1" s="68">
        <v>46159</v>
      </c>
      <c r="AIW1" s="68"/>
      <c r="AIY1" s="62" t="s">
        <v>0</v>
      </c>
      <c r="AIZ1" s="63"/>
      <c r="AJA1" s="65" t="s">
        <v>2</v>
      </c>
      <c r="AJB1" s="66"/>
      <c r="AJC1" s="67"/>
      <c r="AJD1" s="64" t="s">
        <v>1</v>
      </c>
      <c r="AJE1" s="64"/>
      <c r="AJF1" s="68">
        <v>46166</v>
      </c>
      <c r="AJG1" s="68"/>
      <c r="AJI1" s="62" t="s">
        <v>0</v>
      </c>
      <c r="AJJ1" s="63"/>
      <c r="AJK1" s="55" t="s">
        <v>2</v>
      </c>
      <c r="AJL1" s="56"/>
      <c r="AJM1" s="57"/>
      <c r="AJN1" s="64" t="s">
        <v>1</v>
      </c>
      <c r="AJO1" s="64"/>
      <c r="AJP1" s="59" t="s">
        <v>81</v>
      </c>
      <c r="AJQ1" s="59"/>
      <c r="AJS1" s="62" t="s">
        <v>0</v>
      </c>
      <c r="AJT1" s="63"/>
      <c r="AJU1" s="65" t="s">
        <v>2</v>
      </c>
      <c r="AJV1" s="66"/>
      <c r="AJW1" s="67"/>
      <c r="AJX1" s="64" t="s">
        <v>1</v>
      </c>
      <c r="AJY1" s="64"/>
      <c r="AJZ1" s="68" t="s">
        <v>82</v>
      </c>
      <c r="AKA1" s="68"/>
      <c r="AKC1" s="62" t="s">
        <v>0</v>
      </c>
      <c r="AKD1" s="63"/>
      <c r="AKE1" s="55" t="s">
        <v>2</v>
      </c>
      <c r="AKF1" s="56"/>
      <c r="AKG1" s="57"/>
      <c r="AKH1" s="64" t="s">
        <v>1</v>
      </c>
      <c r="AKI1" s="64"/>
      <c r="AKJ1" s="59" t="s">
        <v>83</v>
      </c>
      <c r="AKK1" s="59"/>
      <c r="AKM1" s="62" t="s">
        <v>0</v>
      </c>
      <c r="AKN1" s="63"/>
      <c r="AKO1" s="65" t="s">
        <v>2</v>
      </c>
      <c r="AKP1" s="66"/>
      <c r="AKQ1" s="67"/>
      <c r="AKR1" s="64" t="s">
        <v>1</v>
      </c>
      <c r="AKS1" s="64"/>
      <c r="AKT1" s="68" t="s">
        <v>84</v>
      </c>
      <c r="AKU1" s="68"/>
      <c r="AKW1" s="62" t="s">
        <v>0</v>
      </c>
      <c r="AKX1" s="63"/>
      <c r="AKY1" s="55" t="s">
        <v>2</v>
      </c>
      <c r="AKZ1" s="56"/>
      <c r="ALA1" s="57"/>
      <c r="ALB1" s="64" t="s">
        <v>1</v>
      </c>
      <c r="ALC1" s="64"/>
      <c r="ALD1" s="59" t="s">
        <v>85</v>
      </c>
      <c r="ALE1" s="59"/>
      <c r="ALG1" s="62" t="s">
        <v>0</v>
      </c>
      <c r="ALH1" s="63"/>
      <c r="ALI1" s="55" t="s">
        <v>2</v>
      </c>
      <c r="ALJ1" s="56"/>
      <c r="ALK1" s="57"/>
      <c r="ALL1" s="64" t="s">
        <v>1</v>
      </c>
      <c r="ALM1" s="64"/>
      <c r="ALN1" s="59" t="s">
        <v>86</v>
      </c>
      <c r="ALO1" s="59"/>
      <c r="ALQ1" s="62" t="s">
        <v>0</v>
      </c>
      <c r="ALR1" s="63"/>
      <c r="ALS1" s="65" t="s">
        <v>2</v>
      </c>
      <c r="ALT1" s="66"/>
      <c r="ALU1" s="67"/>
      <c r="ALV1" s="64" t="s">
        <v>1</v>
      </c>
      <c r="ALW1" s="64"/>
      <c r="ALX1" s="68" t="s">
        <v>87</v>
      </c>
      <c r="ALY1" s="68"/>
      <c r="AMA1" s="62" t="s">
        <v>0</v>
      </c>
      <c r="AMB1" s="63"/>
      <c r="AMC1" s="65" t="s">
        <v>60</v>
      </c>
      <c r="AMD1" s="66"/>
      <c r="AME1" s="67"/>
      <c r="AMF1" s="64" t="s">
        <v>1</v>
      </c>
      <c r="AMG1" s="64"/>
      <c r="AMH1" s="68">
        <v>46222</v>
      </c>
      <c r="AMI1" s="68"/>
      <c r="AMK1" s="62" t="s">
        <v>0</v>
      </c>
      <c r="AML1" s="63"/>
      <c r="AMM1" s="65" t="s">
        <v>2</v>
      </c>
      <c r="AMN1" s="66"/>
      <c r="AMO1" s="67"/>
      <c r="AMP1" s="64" t="s">
        <v>1</v>
      </c>
      <c r="AMQ1" s="64"/>
      <c r="AMR1" s="68" t="s">
        <v>89</v>
      </c>
      <c r="AMS1" s="68"/>
      <c r="AMU1" s="62" t="s">
        <v>0</v>
      </c>
      <c r="AMV1" s="63"/>
      <c r="AMW1" s="55" t="s">
        <v>2</v>
      </c>
      <c r="AMX1" s="56"/>
      <c r="AMY1" s="57"/>
      <c r="AMZ1" s="64" t="s">
        <v>1</v>
      </c>
      <c r="ANA1" s="64"/>
      <c r="ANB1" s="59" t="s">
        <v>90</v>
      </c>
      <c r="ANC1" s="59"/>
      <c r="ANE1" s="62" t="s">
        <v>0</v>
      </c>
      <c r="ANF1" s="63"/>
      <c r="ANG1" s="55" t="s">
        <v>2</v>
      </c>
      <c r="ANH1" s="56"/>
      <c r="ANI1" s="57"/>
      <c r="ANJ1" s="64" t="s">
        <v>1</v>
      </c>
      <c r="ANK1" s="64"/>
      <c r="ANL1" s="59" t="s">
        <v>91</v>
      </c>
      <c r="ANM1" s="59"/>
      <c r="ANO1" s="62" t="s">
        <v>0</v>
      </c>
      <c r="ANP1" s="63"/>
      <c r="ANQ1" s="65" t="s">
        <v>2</v>
      </c>
      <c r="ANR1" s="66"/>
      <c r="ANS1" s="67"/>
      <c r="ANT1" s="64" t="s">
        <v>1</v>
      </c>
      <c r="ANU1" s="64"/>
      <c r="ANV1" s="68" t="s">
        <v>92</v>
      </c>
      <c r="ANW1" s="68"/>
      <c r="ANY1" s="62" t="s">
        <v>0</v>
      </c>
      <c r="ANZ1" s="63"/>
      <c r="AOA1" s="65" t="s">
        <v>2</v>
      </c>
      <c r="AOB1" s="66"/>
      <c r="AOC1" s="67"/>
      <c r="AOD1" s="64" t="s">
        <v>1</v>
      </c>
      <c r="AOE1" s="64"/>
      <c r="AOF1" s="68">
        <v>46260</v>
      </c>
      <c r="AOG1" s="68"/>
      <c r="AOI1" s="62" t="s">
        <v>0</v>
      </c>
      <c r="AOJ1" s="63"/>
      <c r="AOK1" s="65" t="s">
        <v>2</v>
      </c>
      <c r="AOL1" s="66"/>
      <c r="AOM1" s="67"/>
      <c r="AON1" s="64" t="s">
        <v>1</v>
      </c>
      <c r="AOO1" s="64"/>
      <c r="AOP1" s="68">
        <v>46264</v>
      </c>
      <c r="AOQ1" s="68"/>
      <c r="AOS1" s="53" t="s">
        <v>0</v>
      </c>
      <c r="AOT1" s="54"/>
      <c r="AOU1" s="55"/>
      <c r="AOV1" s="56"/>
      <c r="AOW1" s="57"/>
      <c r="AOX1" s="58" t="s">
        <v>1</v>
      </c>
      <c r="AOY1" s="58"/>
      <c r="AOZ1" s="59"/>
      <c r="APA1" s="59"/>
    </row>
    <row r="2" spans="1:1093" s="21" customFormat="1" ht="9" x14ac:dyDescent="0.15">
      <c r="A2" s="20" t="s">
        <v>8</v>
      </c>
      <c r="B2" s="4" t="s">
        <v>9</v>
      </c>
      <c r="C2" s="4" t="s">
        <v>10</v>
      </c>
      <c r="E2" s="39" t="s">
        <v>11</v>
      </c>
      <c r="F2" s="40"/>
      <c r="G2" s="39" t="s">
        <v>12</v>
      </c>
      <c r="H2" s="40"/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O2" s="39" t="s">
        <v>11</v>
      </c>
      <c r="P2" s="40"/>
      <c r="Q2" s="39" t="s">
        <v>12</v>
      </c>
      <c r="R2" s="40"/>
      <c r="S2" s="4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Y2" s="39" t="s">
        <v>11</v>
      </c>
      <c r="Z2" s="40"/>
      <c r="AA2" s="39" t="s">
        <v>12</v>
      </c>
      <c r="AB2" s="40"/>
      <c r="AC2" s="4" t="s">
        <v>13</v>
      </c>
      <c r="AD2" s="4" t="s">
        <v>14</v>
      </c>
      <c r="AE2" s="4" t="s">
        <v>15</v>
      </c>
      <c r="AF2" s="4" t="s">
        <v>16</v>
      </c>
      <c r="AG2" s="4" t="s">
        <v>17</v>
      </c>
      <c r="AI2" s="39" t="s">
        <v>11</v>
      </c>
      <c r="AJ2" s="40"/>
      <c r="AK2" s="39" t="s">
        <v>12</v>
      </c>
      <c r="AL2" s="40"/>
      <c r="AM2" s="4" t="s">
        <v>13</v>
      </c>
      <c r="AN2" s="4" t="s">
        <v>14</v>
      </c>
      <c r="AO2" s="4" t="s">
        <v>15</v>
      </c>
      <c r="AP2" s="4" t="s">
        <v>16</v>
      </c>
      <c r="AQ2" s="4" t="s">
        <v>17</v>
      </c>
      <c r="AS2" s="39" t="s">
        <v>11</v>
      </c>
      <c r="AT2" s="40"/>
      <c r="AU2" s="39" t="s">
        <v>12</v>
      </c>
      <c r="AV2" s="40"/>
      <c r="AW2" s="4" t="s">
        <v>13</v>
      </c>
      <c r="AX2" s="4" t="s">
        <v>14</v>
      </c>
      <c r="AY2" s="4" t="s">
        <v>15</v>
      </c>
      <c r="AZ2" s="4" t="s">
        <v>16</v>
      </c>
      <c r="BA2" s="4" t="s">
        <v>17</v>
      </c>
      <c r="BC2" s="39" t="s">
        <v>11</v>
      </c>
      <c r="BD2" s="40"/>
      <c r="BE2" s="39" t="s">
        <v>12</v>
      </c>
      <c r="BF2" s="40"/>
      <c r="BG2" s="4" t="s">
        <v>13</v>
      </c>
      <c r="BH2" s="4" t="s">
        <v>14</v>
      </c>
      <c r="BI2" s="4" t="s">
        <v>15</v>
      </c>
      <c r="BJ2" s="4" t="s">
        <v>16</v>
      </c>
      <c r="BK2" s="4" t="s">
        <v>17</v>
      </c>
      <c r="BM2" s="39" t="s">
        <v>11</v>
      </c>
      <c r="BN2" s="40"/>
      <c r="BO2" s="39" t="s">
        <v>12</v>
      </c>
      <c r="BP2" s="40"/>
      <c r="BQ2" s="4" t="s">
        <v>13</v>
      </c>
      <c r="BR2" s="4" t="s">
        <v>14</v>
      </c>
      <c r="BS2" s="4" t="s">
        <v>15</v>
      </c>
      <c r="BT2" s="4" t="s">
        <v>16</v>
      </c>
      <c r="BU2" s="4" t="s">
        <v>17</v>
      </c>
      <c r="BW2" s="39" t="s">
        <v>11</v>
      </c>
      <c r="BX2" s="40"/>
      <c r="BY2" s="39" t="s">
        <v>12</v>
      </c>
      <c r="BZ2" s="40"/>
      <c r="CA2" s="4" t="s">
        <v>13</v>
      </c>
      <c r="CB2" s="4" t="s">
        <v>14</v>
      </c>
      <c r="CC2" s="4" t="s">
        <v>15</v>
      </c>
      <c r="CD2" s="4" t="s">
        <v>16</v>
      </c>
      <c r="CE2" s="4" t="s">
        <v>17</v>
      </c>
      <c r="CG2" s="39" t="s">
        <v>11</v>
      </c>
      <c r="CH2" s="40"/>
      <c r="CI2" s="39" t="s">
        <v>12</v>
      </c>
      <c r="CJ2" s="40"/>
      <c r="CK2" s="4" t="s">
        <v>13</v>
      </c>
      <c r="CL2" s="4" t="s">
        <v>14</v>
      </c>
      <c r="CM2" s="4" t="s">
        <v>15</v>
      </c>
      <c r="CN2" s="4" t="s">
        <v>16</v>
      </c>
      <c r="CO2" s="4" t="s">
        <v>17</v>
      </c>
      <c r="CQ2" s="39" t="s">
        <v>11</v>
      </c>
      <c r="CR2" s="40"/>
      <c r="CS2" s="39" t="s">
        <v>12</v>
      </c>
      <c r="CT2" s="40"/>
      <c r="CU2" s="4" t="s">
        <v>13</v>
      </c>
      <c r="CV2" s="4" t="s">
        <v>14</v>
      </c>
      <c r="CW2" s="4" t="s">
        <v>15</v>
      </c>
      <c r="CX2" s="4" t="s">
        <v>16</v>
      </c>
      <c r="CY2" s="4" t="s">
        <v>17</v>
      </c>
      <c r="DA2" s="39" t="s">
        <v>11</v>
      </c>
      <c r="DB2" s="40"/>
      <c r="DC2" s="39" t="s">
        <v>12</v>
      </c>
      <c r="DD2" s="40"/>
      <c r="DE2" s="4" t="s">
        <v>13</v>
      </c>
      <c r="DF2" s="4" t="s">
        <v>14</v>
      </c>
      <c r="DG2" s="4" t="s">
        <v>15</v>
      </c>
      <c r="DH2" s="4" t="s">
        <v>16</v>
      </c>
      <c r="DI2" s="4" t="s">
        <v>17</v>
      </c>
      <c r="DK2" s="39" t="s">
        <v>11</v>
      </c>
      <c r="DL2" s="40"/>
      <c r="DM2" s="39" t="s">
        <v>12</v>
      </c>
      <c r="DN2" s="40"/>
      <c r="DO2" s="4" t="s">
        <v>13</v>
      </c>
      <c r="DP2" s="4" t="s">
        <v>14</v>
      </c>
      <c r="DQ2" s="4" t="s">
        <v>15</v>
      </c>
      <c r="DR2" s="4" t="s">
        <v>16</v>
      </c>
      <c r="DS2" s="4" t="s">
        <v>17</v>
      </c>
      <c r="DU2" s="39" t="s">
        <v>11</v>
      </c>
      <c r="DV2" s="40"/>
      <c r="DW2" s="39" t="s">
        <v>12</v>
      </c>
      <c r="DX2" s="40"/>
      <c r="DY2" s="4" t="s">
        <v>13</v>
      </c>
      <c r="DZ2" s="4" t="s">
        <v>14</v>
      </c>
      <c r="EA2" s="4" t="s">
        <v>15</v>
      </c>
      <c r="EB2" s="4" t="s">
        <v>16</v>
      </c>
      <c r="EC2" s="4" t="s">
        <v>17</v>
      </c>
      <c r="EE2" s="39" t="s">
        <v>11</v>
      </c>
      <c r="EF2" s="40"/>
      <c r="EG2" s="39" t="s">
        <v>12</v>
      </c>
      <c r="EH2" s="40"/>
      <c r="EI2" s="4" t="s">
        <v>13</v>
      </c>
      <c r="EJ2" s="4" t="s">
        <v>14</v>
      </c>
      <c r="EK2" s="4" t="s">
        <v>15</v>
      </c>
      <c r="EL2" s="4" t="s">
        <v>16</v>
      </c>
      <c r="EM2" s="4" t="s">
        <v>17</v>
      </c>
      <c r="EO2" s="39" t="s">
        <v>11</v>
      </c>
      <c r="EP2" s="40"/>
      <c r="EQ2" s="39" t="s">
        <v>12</v>
      </c>
      <c r="ER2" s="40"/>
      <c r="ES2" s="4" t="s">
        <v>13</v>
      </c>
      <c r="ET2" s="4" t="s">
        <v>14</v>
      </c>
      <c r="EU2" s="4" t="s">
        <v>15</v>
      </c>
      <c r="EV2" s="4" t="s">
        <v>16</v>
      </c>
      <c r="EW2" s="4" t="s">
        <v>17</v>
      </c>
      <c r="EY2" s="39" t="s">
        <v>11</v>
      </c>
      <c r="EZ2" s="40"/>
      <c r="FA2" s="39" t="s">
        <v>12</v>
      </c>
      <c r="FB2" s="40"/>
      <c r="FC2" s="4" t="s">
        <v>13</v>
      </c>
      <c r="FD2" s="4" t="s">
        <v>14</v>
      </c>
      <c r="FE2" s="4" t="s">
        <v>15</v>
      </c>
      <c r="FF2" s="4" t="s">
        <v>16</v>
      </c>
      <c r="FG2" s="4" t="s">
        <v>17</v>
      </c>
      <c r="FI2" s="39" t="s">
        <v>11</v>
      </c>
      <c r="FJ2" s="40"/>
      <c r="FK2" s="39" t="s">
        <v>12</v>
      </c>
      <c r="FL2" s="40"/>
      <c r="FM2" s="4" t="s">
        <v>13</v>
      </c>
      <c r="FN2" s="4" t="s">
        <v>14</v>
      </c>
      <c r="FO2" s="4" t="s">
        <v>15</v>
      </c>
      <c r="FP2" s="4" t="s">
        <v>16</v>
      </c>
      <c r="FQ2" s="4" t="s">
        <v>17</v>
      </c>
      <c r="FS2" s="39" t="s">
        <v>11</v>
      </c>
      <c r="FT2" s="40"/>
      <c r="FU2" s="39" t="s">
        <v>12</v>
      </c>
      <c r="FV2" s="40"/>
      <c r="FW2" s="4" t="s">
        <v>13</v>
      </c>
      <c r="FX2" s="4" t="s">
        <v>14</v>
      </c>
      <c r="FY2" s="4" t="s">
        <v>15</v>
      </c>
      <c r="FZ2" s="4" t="s">
        <v>16</v>
      </c>
      <c r="GA2" s="4" t="s">
        <v>17</v>
      </c>
      <c r="GC2" s="39" t="s">
        <v>11</v>
      </c>
      <c r="GD2" s="40"/>
      <c r="GE2" s="39" t="s">
        <v>12</v>
      </c>
      <c r="GF2" s="40"/>
      <c r="GG2" s="4" t="s">
        <v>13</v>
      </c>
      <c r="GH2" s="4" t="s">
        <v>14</v>
      </c>
      <c r="GI2" s="4" t="s">
        <v>15</v>
      </c>
      <c r="GJ2" s="4" t="s">
        <v>16</v>
      </c>
      <c r="GK2" s="4" t="s">
        <v>17</v>
      </c>
      <c r="GM2" s="39" t="s">
        <v>11</v>
      </c>
      <c r="GN2" s="40"/>
      <c r="GO2" s="39" t="s">
        <v>12</v>
      </c>
      <c r="GP2" s="40"/>
      <c r="GQ2" s="4" t="s">
        <v>13</v>
      </c>
      <c r="GR2" s="4" t="s">
        <v>14</v>
      </c>
      <c r="GS2" s="4" t="s">
        <v>15</v>
      </c>
      <c r="GT2" s="4" t="s">
        <v>16</v>
      </c>
      <c r="GU2" s="4" t="s">
        <v>17</v>
      </c>
      <c r="GW2" s="39" t="s">
        <v>11</v>
      </c>
      <c r="GX2" s="40"/>
      <c r="GY2" s="39" t="s">
        <v>12</v>
      </c>
      <c r="GZ2" s="40"/>
      <c r="HA2" s="4" t="s">
        <v>13</v>
      </c>
      <c r="HB2" s="4" t="s">
        <v>14</v>
      </c>
      <c r="HC2" s="4" t="s">
        <v>15</v>
      </c>
      <c r="HD2" s="4" t="s">
        <v>16</v>
      </c>
      <c r="HE2" s="4" t="s">
        <v>17</v>
      </c>
      <c r="HG2" s="39" t="s">
        <v>11</v>
      </c>
      <c r="HH2" s="40"/>
      <c r="HI2" s="39" t="s">
        <v>12</v>
      </c>
      <c r="HJ2" s="40"/>
      <c r="HK2" s="4" t="s">
        <v>13</v>
      </c>
      <c r="HL2" s="4" t="s">
        <v>14</v>
      </c>
      <c r="HM2" s="4" t="s">
        <v>15</v>
      </c>
      <c r="HN2" s="4" t="s">
        <v>16</v>
      </c>
      <c r="HO2" s="4" t="s">
        <v>17</v>
      </c>
      <c r="HQ2" s="39" t="s">
        <v>11</v>
      </c>
      <c r="HR2" s="40"/>
      <c r="HS2" s="39" t="s">
        <v>12</v>
      </c>
      <c r="HT2" s="40"/>
      <c r="HU2" s="4" t="s">
        <v>13</v>
      </c>
      <c r="HV2" s="4" t="s">
        <v>14</v>
      </c>
      <c r="HW2" s="4" t="s">
        <v>15</v>
      </c>
      <c r="HX2" s="4" t="s">
        <v>16</v>
      </c>
      <c r="HY2" s="4" t="s">
        <v>17</v>
      </c>
      <c r="IA2" s="39" t="s">
        <v>11</v>
      </c>
      <c r="IB2" s="40"/>
      <c r="IC2" s="39" t="s">
        <v>12</v>
      </c>
      <c r="ID2" s="40"/>
      <c r="IE2" s="4" t="s">
        <v>13</v>
      </c>
      <c r="IF2" s="4" t="s">
        <v>14</v>
      </c>
      <c r="IG2" s="4" t="s">
        <v>15</v>
      </c>
      <c r="IH2" s="4" t="s">
        <v>16</v>
      </c>
      <c r="II2" s="4" t="s">
        <v>17</v>
      </c>
      <c r="IK2" s="39" t="s">
        <v>11</v>
      </c>
      <c r="IL2" s="40"/>
      <c r="IM2" s="39" t="s">
        <v>12</v>
      </c>
      <c r="IN2" s="40"/>
      <c r="IO2" s="4" t="s">
        <v>13</v>
      </c>
      <c r="IP2" s="4" t="s">
        <v>14</v>
      </c>
      <c r="IQ2" s="4" t="s">
        <v>15</v>
      </c>
      <c r="IR2" s="4" t="s">
        <v>16</v>
      </c>
      <c r="IS2" s="4" t="s">
        <v>17</v>
      </c>
      <c r="IU2" s="39" t="s">
        <v>11</v>
      </c>
      <c r="IV2" s="40"/>
      <c r="IW2" s="39" t="s">
        <v>12</v>
      </c>
      <c r="IX2" s="40"/>
      <c r="IY2" s="4" t="s">
        <v>13</v>
      </c>
      <c r="IZ2" s="4" t="s">
        <v>14</v>
      </c>
      <c r="JA2" s="4" t="s">
        <v>15</v>
      </c>
      <c r="JB2" s="4" t="s">
        <v>16</v>
      </c>
      <c r="JC2" s="4" t="s">
        <v>17</v>
      </c>
      <c r="JE2" s="39" t="s">
        <v>11</v>
      </c>
      <c r="JF2" s="40"/>
      <c r="JG2" s="39" t="s">
        <v>12</v>
      </c>
      <c r="JH2" s="40"/>
      <c r="JI2" s="4" t="s">
        <v>13</v>
      </c>
      <c r="JJ2" s="4" t="s">
        <v>14</v>
      </c>
      <c r="JK2" s="4" t="s">
        <v>15</v>
      </c>
      <c r="JL2" s="4" t="s">
        <v>16</v>
      </c>
      <c r="JM2" s="4" t="s">
        <v>17</v>
      </c>
      <c r="JO2" s="39" t="s">
        <v>11</v>
      </c>
      <c r="JP2" s="40"/>
      <c r="JQ2" s="39" t="s">
        <v>12</v>
      </c>
      <c r="JR2" s="40"/>
      <c r="JS2" s="4" t="s">
        <v>13</v>
      </c>
      <c r="JT2" s="4" t="s">
        <v>14</v>
      </c>
      <c r="JU2" s="4" t="s">
        <v>15</v>
      </c>
      <c r="JV2" s="4" t="s">
        <v>16</v>
      </c>
      <c r="JW2" s="4" t="s">
        <v>17</v>
      </c>
      <c r="JY2" s="39" t="s">
        <v>11</v>
      </c>
      <c r="JZ2" s="40"/>
      <c r="KA2" s="39" t="s">
        <v>12</v>
      </c>
      <c r="KB2" s="40"/>
      <c r="KC2" s="4" t="s">
        <v>13</v>
      </c>
      <c r="KD2" s="4" t="s">
        <v>14</v>
      </c>
      <c r="KE2" s="4" t="s">
        <v>15</v>
      </c>
      <c r="KF2" s="4" t="s">
        <v>16</v>
      </c>
      <c r="KG2" s="4" t="s">
        <v>17</v>
      </c>
      <c r="KI2" s="39" t="s">
        <v>11</v>
      </c>
      <c r="KJ2" s="40"/>
      <c r="KK2" s="39" t="s">
        <v>12</v>
      </c>
      <c r="KL2" s="40"/>
      <c r="KM2" s="4" t="s">
        <v>13</v>
      </c>
      <c r="KN2" s="4" t="s">
        <v>14</v>
      </c>
      <c r="KO2" s="4" t="s">
        <v>15</v>
      </c>
      <c r="KP2" s="4" t="s">
        <v>16</v>
      </c>
      <c r="KQ2" s="4" t="s">
        <v>17</v>
      </c>
      <c r="KS2" s="39" t="s">
        <v>11</v>
      </c>
      <c r="KT2" s="40"/>
      <c r="KU2" s="39" t="s">
        <v>12</v>
      </c>
      <c r="KV2" s="40"/>
      <c r="KW2" s="4" t="s">
        <v>13</v>
      </c>
      <c r="KX2" s="4" t="s">
        <v>14</v>
      </c>
      <c r="KY2" s="4" t="s">
        <v>15</v>
      </c>
      <c r="KZ2" s="4" t="s">
        <v>16</v>
      </c>
      <c r="LA2" s="4" t="s">
        <v>17</v>
      </c>
      <c r="LC2" s="39" t="s">
        <v>11</v>
      </c>
      <c r="LD2" s="40"/>
      <c r="LE2" s="39" t="s">
        <v>12</v>
      </c>
      <c r="LF2" s="40"/>
      <c r="LG2" s="4" t="s">
        <v>13</v>
      </c>
      <c r="LH2" s="4" t="s">
        <v>14</v>
      </c>
      <c r="LI2" s="4" t="s">
        <v>15</v>
      </c>
      <c r="LJ2" s="4" t="s">
        <v>16</v>
      </c>
      <c r="LK2" s="4" t="s">
        <v>17</v>
      </c>
      <c r="LM2" s="39" t="s">
        <v>11</v>
      </c>
      <c r="LN2" s="40"/>
      <c r="LO2" s="39" t="s">
        <v>12</v>
      </c>
      <c r="LP2" s="40"/>
      <c r="LQ2" s="4" t="s">
        <v>13</v>
      </c>
      <c r="LR2" s="4" t="s">
        <v>14</v>
      </c>
      <c r="LS2" s="4" t="s">
        <v>15</v>
      </c>
      <c r="LT2" s="4" t="s">
        <v>16</v>
      </c>
      <c r="LU2" s="4" t="s">
        <v>17</v>
      </c>
      <c r="LW2" s="39" t="s">
        <v>11</v>
      </c>
      <c r="LX2" s="40"/>
      <c r="LY2" s="39" t="s">
        <v>12</v>
      </c>
      <c r="LZ2" s="40"/>
      <c r="MA2" s="4" t="s">
        <v>13</v>
      </c>
      <c r="MB2" s="4" t="s">
        <v>14</v>
      </c>
      <c r="MC2" s="4" t="s">
        <v>15</v>
      </c>
      <c r="MD2" s="4" t="s">
        <v>16</v>
      </c>
      <c r="ME2" s="4" t="s">
        <v>17</v>
      </c>
      <c r="MG2" s="39" t="s">
        <v>11</v>
      </c>
      <c r="MH2" s="40"/>
      <c r="MI2" s="39" t="s">
        <v>12</v>
      </c>
      <c r="MJ2" s="40"/>
      <c r="MK2" s="4" t="s">
        <v>13</v>
      </c>
      <c r="ML2" s="4" t="s">
        <v>14</v>
      </c>
      <c r="MM2" s="4" t="s">
        <v>15</v>
      </c>
      <c r="MN2" s="4" t="s">
        <v>16</v>
      </c>
      <c r="MO2" s="4" t="s">
        <v>17</v>
      </c>
      <c r="MQ2" s="39" t="s">
        <v>11</v>
      </c>
      <c r="MR2" s="40"/>
      <c r="MS2" s="39" t="s">
        <v>12</v>
      </c>
      <c r="MT2" s="40"/>
      <c r="MU2" s="4" t="s">
        <v>13</v>
      </c>
      <c r="MV2" s="4" t="s">
        <v>14</v>
      </c>
      <c r="MW2" s="4" t="s">
        <v>15</v>
      </c>
      <c r="MX2" s="4" t="s">
        <v>16</v>
      </c>
      <c r="MY2" s="4" t="s">
        <v>17</v>
      </c>
      <c r="NA2" s="39" t="s">
        <v>11</v>
      </c>
      <c r="NB2" s="40"/>
      <c r="NC2" s="39" t="s">
        <v>12</v>
      </c>
      <c r="ND2" s="40"/>
      <c r="NE2" s="4" t="s">
        <v>13</v>
      </c>
      <c r="NF2" s="4" t="s">
        <v>14</v>
      </c>
      <c r="NG2" s="4" t="s">
        <v>15</v>
      </c>
      <c r="NH2" s="4" t="s">
        <v>16</v>
      </c>
      <c r="NI2" s="4" t="s">
        <v>17</v>
      </c>
      <c r="NK2" s="39" t="s">
        <v>11</v>
      </c>
      <c r="NL2" s="40"/>
      <c r="NM2" s="39" t="s">
        <v>12</v>
      </c>
      <c r="NN2" s="40"/>
      <c r="NO2" s="4" t="s">
        <v>13</v>
      </c>
      <c r="NP2" s="4" t="s">
        <v>14</v>
      </c>
      <c r="NQ2" s="4" t="s">
        <v>15</v>
      </c>
      <c r="NR2" s="4" t="s">
        <v>16</v>
      </c>
      <c r="NS2" s="4" t="s">
        <v>17</v>
      </c>
      <c r="NU2" s="39" t="s">
        <v>11</v>
      </c>
      <c r="NV2" s="40"/>
      <c r="NW2" s="39" t="s">
        <v>12</v>
      </c>
      <c r="NX2" s="40"/>
      <c r="NY2" s="4" t="s">
        <v>13</v>
      </c>
      <c r="NZ2" s="4" t="s">
        <v>14</v>
      </c>
      <c r="OA2" s="4" t="s">
        <v>15</v>
      </c>
      <c r="OB2" s="4" t="s">
        <v>16</v>
      </c>
      <c r="OC2" s="4" t="s">
        <v>17</v>
      </c>
      <c r="OE2" s="39" t="s">
        <v>11</v>
      </c>
      <c r="OF2" s="40"/>
      <c r="OG2" s="39" t="s">
        <v>12</v>
      </c>
      <c r="OH2" s="40"/>
      <c r="OI2" s="4" t="s">
        <v>13</v>
      </c>
      <c r="OJ2" s="4" t="s">
        <v>14</v>
      </c>
      <c r="OK2" s="4" t="s">
        <v>15</v>
      </c>
      <c r="OL2" s="4" t="s">
        <v>16</v>
      </c>
      <c r="OM2" s="4" t="s">
        <v>17</v>
      </c>
      <c r="OO2" s="39" t="s">
        <v>11</v>
      </c>
      <c r="OP2" s="40"/>
      <c r="OQ2" s="39" t="s">
        <v>12</v>
      </c>
      <c r="OR2" s="40"/>
      <c r="OS2" s="4" t="s">
        <v>13</v>
      </c>
      <c r="OT2" s="4" t="s">
        <v>14</v>
      </c>
      <c r="OU2" s="4" t="s">
        <v>15</v>
      </c>
      <c r="OV2" s="4" t="s">
        <v>16</v>
      </c>
      <c r="OW2" s="4" t="s">
        <v>17</v>
      </c>
      <c r="OY2" s="39" t="s">
        <v>11</v>
      </c>
      <c r="OZ2" s="40"/>
      <c r="PA2" s="39" t="s">
        <v>12</v>
      </c>
      <c r="PB2" s="40"/>
      <c r="PC2" s="4" t="s">
        <v>13</v>
      </c>
      <c r="PD2" s="4" t="s">
        <v>14</v>
      </c>
      <c r="PE2" s="4" t="s">
        <v>15</v>
      </c>
      <c r="PF2" s="4" t="s">
        <v>16</v>
      </c>
      <c r="PG2" s="4" t="s">
        <v>17</v>
      </c>
      <c r="PI2" s="39" t="s">
        <v>11</v>
      </c>
      <c r="PJ2" s="40"/>
      <c r="PK2" s="39" t="s">
        <v>12</v>
      </c>
      <c r="PL2" s="40"/>
      <c r="PM2" s="4" t="s">
        <v>13</v>
      </c>
      <c r="PN2" s="4" t="s">
        <v>14</v>
      </c>
      <c r="PO2" s="4" t="s">
        <v>15</v>
      </c>
      <c r="PP2" s="4" t="s">
        <v>16</v>
      </c>
      <c r="PQ2" s="4" t="s">
        <v>17</v>
      </c>
      <c r="PS2" s="39" t="s">
        <v>11</v>
      </c>
      <c r="PT2" s="40"/>
      <c r="PU2" s="39" t="s">
        <v>12</v>
      </c>
      <c r="PV2" s="40"/>
      <c r="PW2" s="4" t="s">
        <v>13</v>
      </c>
      <c r="PX2" s="4" t="s">
        <v>14</v>
      </c>
      <c r="PY2" s="4" t="s">
        <v>15</v>
      </c>
      <c r="PZ2" s="4" t="s">
        <v>16</v>
      </c>
      <c r="QA2" s="4" t="s">
        <v>17</v>
      </c>
      <c r="QC2" s="39" t="s">
        <v>11</v>
      </c>
      <c r="QD2" s="40"/>
      <c r="QE2" s="39" t="s">
        <v>12</v>
      </c>
      <c r="QF2" s="40"/>
      <c r="QG2" s="4" t="s">
        <v>13</v>
      </c>
      <c r="QH2" s="4" t="s">
        <v>14</v>
      </c>
      <c r="QI2" s="4" t="s">
        <v>15</v>
      </c>
      <c r="QJ2" s="4" t="s">
        <v>16</v>
      </c>
      <c r="QK2" s="4" t="s">
        <v>17</v>
      </c>
      <c r="QM2" s="39" t="s">
        <v>11</v>
      </c>
      <c r="QN2" s="40"/>
      <c r="QO2" s="39" t="s">
        <v>12</v>
      </c>
      <c r="QP2" s="40"/>
      <c r="QQ2" s="4" t="s">
        <v>13</v>
      </c>
      <c r="QR2" s="4" t="s">
        <v>14</v>
      </c>
      <c r="QS2" s="4" t="s">
        <v>15</v>
      </c>
      <c r="QT2" s="4" t="s">
        <v>16</v>
      </c>
      <c r="QU2" s="4" t="s">
        <v>17</v>
      </c>
      <c r="QW2" s="39" t="s">
        <v>11</v>
      </c>
      <c r="QX2" s="40"/>
      <c r="QY2" s="39" t="s">
        <v>12</v>
      </c>
      <c r="QZ2" s="40"/>
      <c r="RA2" s="4" t="s">
        <v>13</v>
      </c>
      <c r="RB2" s="4" t="s">
        <v>14</v>
      </c>
      <c r="RC2" s="4" t="s">
        <v>15</v>
      </c>
      <c r="RD2" s="4" t="s">
        <v>16</v>
      </c>
      <c r="RE2" s="4" t="s">
        <v>17</v>
      </c>
      <c r="RG2" s="39" t="s">
        <v>11</v>
      </c>
      <c r="RH2" s="40"/>
      <c r="RI2" s="39" t="s">
        <v>12</v>
      </c>
      <c r="RJ2" s="40"/>
      <c r="RK2" s="4" t="s">
        <v>13</v>
      </c>
      <c r="RL2" s="4" t="s">
        <v>14</v>
      </c>
      <c r="RM2" s="4" t="s">
        <v>15</v>
      </c>
      <c r="RN2" s="4" t="s">
        <v>16</v>
      </c>
      <c r="RO2" s="4" t="s">
        <v>17</v>
      </c>
      <c r="RQ2" s="39" t="s">
        <v>11</v>
      </c>
      <c r="RR2" s="40"/>
      <c r="RS2" s="39" t="s">
        <v>12</v>
      </c>
      <c r="RT2" s="40"/>
      <c r="RU2" s="4" t="s">
        <v>13</v>
      </c>
      <c r="RV2" s="4" t="s">
        <v>14</v>
      </c>
      <c r="RW2" s="4" t="s">
        <v>15</v>
      </c>
      <c r="RX2" s="4" t="s">
        <v>16</v>
      </c>
      <c r="RY2" s="4" t="s">
        <v>17</v>
      </c>
      <c r="SA2" s="39" t="s">
        <v>11</v>
      </c>
      <c r="SB2" s="40"/>
      <c r="SC2" s="39" t="s">
        <v>12</v>
      </c>
      <c r="SD2" s="40"/>
      <c r="SE2" s="4" t="s">
        <v>13</v>
      </c>
      <c r="SF2" s="4" t="s">
        <v>14</v>
      </c>
      <c r="SG2" s="4" t="s">
        <v>15</v>
      </c>
      <c r="SH2" s="4" t="s">
        <v>16</v>
      </c>
      <c r="SI2" s="4" t="s">
        <v>17</v>
      </c>
      <c r="SK2" s="39" t="s">
        <v>11</v>
      </c>
      <c r="SL2" s="40"/>
      <c r="SM2" s="39" t="s">
        <v>12</v>
      </c>
      <c r="SN2" s="40"/>
      <c r="SO2" s="4" t="s">
        <v>13</v>
      </c>
      <c r="SP2" s="4" t="s">
        <v>14</v>
      </c>
      <c r="SQ2" s="4" t="s">
        <v>15</v>
      </c>
      <c r="SR2" s="4" t="s">
        <v>16</v>
      </c>
      <c r="SS2" s="4" t="s">
        <v>17</v>
      </c>
      <c r="SU2" s="39" t="s">
        <v>11</v>
      </c>
      <c r="SV2" s="40"/>
      <c r="SW2" s="39" t="s">
        <v>12</v>
      </c>
      <c r="SX2" s="40"/>
      <c r="SY2" s="4" t="s">
        <v>13</v>
      </c>
      <c r="SZ2" s="4" t="s">
        <v>14</v>
      </c>
      <c r="TA2" s="4" t="s">
        <v>15</v>
      </c>
      <c r="TB2" s="4" t="s">
        <v>16</v>
      </c>
      <c r="TC2" s="4" t="s">
        <v>17</v>
      </c>
      <c r="TE2" s="39" t="s">
        <v>11</v>
      </c>
      <c r="TF2" s="40"/>
      <c r="TG2" s="39" t="s">
        <v>12</v>
      </c>
      <c r="TH2" s="40"/>
      <c r="TI2" s="4" t="s">
        <v>13</v>
      </c>
      <c r="TJ2" s="4" t="s">
        <v>14</v>
      </c>
      <c r="TK2" s="4" t="s">
        <v>15</v>
      </c>
      <c r="TL2" s="4" t="s">
        <v>16</v>
      </c>
      <c r="TM2" s="4" t="s">
        <v>17</v>
      </c>
      <c r="TO2" s="39" t="s">
        <v>11</v>
      </c>
      <c r="TP2" s="40"/>
      <c r="TQ2" s="39" t="s">
        <v>12</v>
      </c>
      <c r="TR2" s="40"/>
      <c r="TS2" s="4" t="s">
        <v>13</v>
      </c>
      <c r="TT2" s="4" t="s">
        <v>14</v>
      </c>
      <c r="TU2" s="4" t="s">
        <v>15</v>
      </c>
      <c r="TV2" s="4" t="s">
        <v>16</v>
      </c>
      <c r="TW2" s="4" t="s">
        <v>17</v>
      </c>
      <c r="TY2" s="39" t="s">
        <v>11</v>
      </c>
      <c r="TZ2" s="40"/>
      <c r="UA2" s="39" t="s">
        <v>12</v>
      </c>
      <c r="UB2" s="40"/>
      <c r="UC2" s="4" t="s">
        <v>13</v>
      </c>
      <c r="UD2" s="4" t="s">
        <v>14</v>
      </c>
      <c r="UE2" s="4" t="s">
        <v>15</v>
      </c>
      <c r="UF2" s="4" t="s">
        <v>16</v>
      </c>
      <c r="UG2" s="4" t="s">
        <v>17</v>
      </c>
      <c r="UI2" s="39" t="s">
        <v>11</v>
      </c>
      <c r="UJ2" s="40"/>
      <c r="UK2" s="39" t="s">
        <v>12</v>
      </c>
      <c r="UL2" s="40"/>
      <c r="UM2" s="4" t="s">
        <v>13</v>
      </c>
      <c r="UN2" s="4" t="s">
        <v>14</v>
      </c>
      <c r="UO2" s="4" t="s">
        <v>15</v>
      </c>
      <c r="UP2" s="4" t="s">
        <v>16</v>
      </c>
      <c r="UQ2" s="4" t="s">
        <v>17</v>
      </c>
      <c r="US2" s="39" t="s">
        <v>11</v>
      </c>
      <c r="UT2" s="40"/>
      <c r="UU2" s="39" t="s">
        <v>12</v>
      </c>
      <c r="UV2" s="40"/>
      <c r="UW2" s="4" t="s">
        <v>13</v>
      </c>
      <c r="UX2" s="4" t="s">
        <v>14</v>
      </c>
      <c r="UY2" s="4" t="s">
        <v>15</v>
      </c>
      <c r="UZ2" s="4" t="s">
        <v>16</v>
      </c>
      <c r="VA2" s="4" t="s">
        <v>17</v>
      </c>
      <c r="VC2" s="39" t="s">
        <v>11</v>
      </c>
      <c r="VD2" s="40"/>
      <c r="VE2" s="39" t="s">
        <v>12</v>
      </c>
      <c r="VF2" s="40"/>
      <c r="VG2" s="4" t="s">
        <v>13</v>
      </c>
      <c r="VH2" s="4" t="s">
        <v>14</v>
      </c>
      <c r="VI2" s="4" t="s">
        <v>15</v>
      </c>
      <c r="VJ2" s="4" t="s">
        <v>16</v>
      </c>
      <c r="VK2" s="4" t="s">
        <v>17</v>
      </c>
      <c r="VM2" s="39" t="s">
        <v>11</v>
      </c>
      <c r="VN2" s="40"/>
      <c r="VO2" s="39" t="s">
        <v>12</v>
      </c>
      <c r="VP2" s="40"/>
      <c r="VQ2" s="4" t="s">
        <v>13</v>
      </c>
      <c r="VR2" s="4" t="s">
        <v>14</v>
      </c>
      <c r="VS2" s="4" t="s">
        <v>15</v>
      </c>
      <c r="VT2" s="4" t="s">
        <v>16</v>
      </c>
      <c r="VU2" s="4" t="s">
        <v>17</v>
      </c>
      <c r="VW2" s="39" t="s">
        <v>11</v>
      </c>
      <c r="VX2" s="40"/>
      <c r="VY2" s="39" t="s">
        <v>12</v>
      </c>
      <c r="VZ2" s="40"/>
      <c r="WA2" s="4" t="s">
        <v>13</v>
      </c>
      <c r="WB2" s="4" t="s">
        <v>14</v>
      </c>
      <c r="WC2" s="4" t="s">
        <v>15</v>
      </c>
      <c r="WD2" s="4" t="s">
        <v>16</v>
      </c>
      <c r="WE2" s="4" t="s">
        <v>17</v>
      </c>
      <c r="WG2" s="39" t="s">
        <v>11</v>
      </c>
      <c r="WH2" s="40"/>
      <c r="WI2" s="39" t="s">
        <v>12</v>
      </c>
      <c r="WJ2" s="40"/>
      <c r="WK2" s="4" t="s">
        <v>13</v>
      </c>
      <c r="WL2" s="4" t="s">
        <v>14</v>
      </c>
      <c r="WM2" s="4" t="s">
        <v>15</v>
      </c>
      <c r="WN2" s="4" t="s">
        <v>16</v>
      </c>
      <c r="WO2" s="4" t="s">
        <v>17</v>
      </c>
      <c r="WQ2" s="39" t="s">
        <v>11</v>
      </c>
      <c r="WR2" s="40"/>
      <c r="WS2" s="39" t="s">
        <v>12</v>
      </c>
      <c r="WT2" s="40"/>
      <c r="WU2" s="4" t="s">
        <v>13</v>
      </c>
      <c r="WV2" s="4" t="s">
        <v>14</v>
      </c>
      <c r="WW2" s="4" t="s">
        <v>15</v>
      </c>
      <c r="WX2" s="4" t="s">
        <v>16</v>
      </c>
      <c r="WY2" s="4" t="s">
        <v>17</v>
      </c>
      <c r="XA2" s="39" t="s">
        <v>11</v>
      </c>
      <c r="XB2" s="40"/>
      <c r="XC2" s="39" t="s">
        <v>12</v>
      </c>
      <c r="XD2" s="40"/>
      <c r="XE2" s="4" t="s">
        <v>13</v>
      </c>
      <c r="XF2" s="4" t="s">
        <v>14</v>
      </c>
      <c r="XG2" s="4" t="s">
        <v>15</v>
      </c>
      <c r="XH2" s="4" t="s">
        <v>16</v>
      </c>
      <c r="XI2" s="4" t="s">
        <v>17</v>
      </c>
      <c r="XK2" s="39" t="s">
        <v>11</v>
      </c>
      <c r="XL2" s="40"/>
      <c r="XM2" s="39" t="s">
        <v>12</v>
      </c>
      <c r="XN2" s="40"/>
      <c r="XO2" s="4" t="s">
        <v>13</v>
      </c>
      <c r="XP2" s="4" t="s">
        <v>14</v>
      </c>
      <c r="XQ2" s="4" t="s">
        <v>15</v>
      </c>
      <c r="XR2" s="4" t="s">
        <v>16</v>
      </c>
      <c r="XS2" s="4" t="s">
        <v>17</v>
      </c>
      <c r="XU2" s="39" t="s">
        <v>11</v>
      </c>
      <c r="XV2" s="40"/>
      <c r="XW2" s="39" t="s">
        <v>12</v>
      </c>
      <c r="XX2" s="40"/>
      <c r="XY2" s="4" t="s">
        <v>13</v>
      </c>
      <c r="XZ2" s="4" t="s">
        <v>14</v>
      </c>
      <c r="YA2" s="4" t="s">
        <v>15</v>
      </c>
      <c r="YB2" s="4" t="s">
        <v>16</v>
      </c>
      <c r="YC2" s="4" t="s">
        <v>17</v>
      </c>
      <c r="YE2" s="39" t="s">
        <v>11</v>
      </c>
      <c r="YF2" s="40"/>
      <c r="YG2" s="39" t="s">
        <v>12</v>
      </c>
      <c r="YH2" s="40"/>
      <c r="YI2" s="4" t="s">
        <v>13</v>
      </c>
      <c r="YJ2" s="4" t="s">
        <v>14</v>
      </c>
      <c r="YK2" s="4" t="s">
        <v>15</v>
      </c>
      <c r="YL2" s="4" t="s">
        <v>16</v>
      </c>
      <c r="YM2" s="4" t="s">
        <v>17</v>
      </c>
      <c r="YO2" s="39" t="s">
        <v>11</v>
      </c>
      <c r="YP2" s="40"/>
      <c r="YQ2" s="39" t="s">
        <v>12</v>
      </c>
      <c r="YR2" s="40"/>
      <c r="YS2" s="4" t="s">
        <v>13</v>
      </c>
      <c r="YT2" s="4" t="s">
        <v>14</v>
      </c>
      <c r="YU2" s="4" t="s">
        <v>15</v>
      </c>
      <c r="YV2" s="4" t="s">
        <v>16</v>
      </c>
      <c r="YW2" s="4" t="s">
        <v>17</v>
      </c>
      <c r="YY2" s="39" t="s">
        <v>11</v>
      </c>
      <c r="YZ2" s="40"/>
      <c r="ZA2" s="39" t="s">
        <v>12</v>
      </c>
      <c r="ZB2" s="40"/>
      <c r="ZC2" s="4" t="s">
        <v>13</v>
      </c>
      <c r="ZD2" s="4" t="s">
        <v>14</v>
      </c>
      <c r="ZE2" s="4" t="s">
        <v>15</v>
      </c>
      <c r="ZF2" s="4" t="s">
        <v>16</v>
      </c>
      <c r="ZG2" s="4" t="s">
        <v>17</v>
      </c>
      <c r="ZI2" s="39" t="s">
        <v>11</v>
      </c>
      <c r="ZJ2" s="40"/>
      <c r="ZK2" s="39" t="s">
        <v>12</v>
      </c>
      <c r="ZL2" s="40"/>
      <c r="ZM2" s="4" t="s">
        <v>13</v>
      </c>
      <c r="ZN2" s="4" t="s">
        <v>14</v>
      </c>
      <c r="ZO2" s="4" t="s">
        <v>15</v>
      </c>
      <c r="ZP2" s="4" t="s">
        <v>16</v>
      </c>
      <c r="ZQ2" s="4" t="s">
        <v>17</v>
      </c>
      <c r="ZS2" s="39" t="s">
        <v>11</v>
      </c>
      <c r="ZT2" s="40"/>
      <c r="ZU2" s="39" t="s">
        <v>12</v>
      </c>
      <c r="ZV2" s="40"/>
      <c r="ZW2" s="4" t="s">
        <v>13</v>
      </c>
      <c r="ZX2" s="4" t="s">
        <v>14</v>
      </c>
      <c r="ZY2" s="4" t="s">
        <v>15</v>
      </c>
      <c r="ZZ2" s="4" t="s">
        <v>16</v>
      </c>
      <c r="AAA2" s="4" t="s">
        <v>17</v>
      </c>
      <c r="AAC2" s="39" t="s">
        <v>11</v>
      </c>
      <c r="AAD2" s="40"/>
      <c r="AAE2" s="39" t="s">
        <v>12</v>
      </c>
      <c r="AAF2" s="40"/>
      <c r="AAG2" s="4" t="s">
        <v>13</v>
      </c>
      <c r="AAH2" s="4" t="s">
        <v>14</v>
      </c>
      <c r="AAI2" s="4" t="s">
        <v>15</v>
      </c>
      <c r="AAJ2" s="4" t="s">
        <v>16</v>
      </c>
      <c r="AAK2" s="4" t="s">
        <v>17</v>
      </c>
      <c r="AAM2" s="39" t="s">
        <v>11</v>
      </c>
      <c r="AAN2" s="40"/>
      <c r="AAO2" s="39" t="s">
        <v>12</v>
      </c>
      <c r="AAP2" s="40"/>
      <c r="AAQ2" s="4" t="s">
        <v>13</v>
      </c>
      <c r="AAR2" s="4" t="s">
        <v>14</v>
      </c>
      <c r="AAS2" s="4" t="s">
        <v>15</v>
      </c>
      <c r="AAT2" s="4" t="s">
        <v>16</v>
      </c>
      <c r="AAU2" s="4" t="s">
        <v>17</v>
      </c>
      <c r="AAW2" s="39" t="s">
        <v>11</v>
      </c>
      <c r="AAX2" s="40"/>
      <c r="AAY2" s="39" t="s">
        <v>12</v>
      </c>
      <c r="AAZ2" s="40"/>
      <c r="ABA2" s="4" t="s">
        <v>13</v>
      </c>
      <c r="ABB2" s="4" t="s">
        <v>14</v>
      </c>
      <c r="ABC2" s="4" t="s">
        <v>15</v>
      </c>
      <c r="ABD2" s="4" t="s">
        <v>16</v>
      </c>
      <c r="ABE2" s="4" t="s">
        <v>17</v>
      </c>
      <c r="ABG2" s="39" t="s">
        <v>11</v>
      </c>
      <c r="ABH2" s="40"/>
      <c r="ABI2" s="39" t="s">
        <v>12</v>
      </c>
      <c r="ABJ2" s="40"/>
      <c r="ABK2" s="4" t="s">
        <v>13</v>
      </c>
      <c r="ABL2" s="4" t="s">
        <v>14</v>
      </c>
      <c r="ABM2" s="4" t="s">
        <v>15</v>
      </c>
      <c r="ABN2" s="4" t="s">
        <v>16</v>
      </c>
      <c r="ABO2" s="4" t="s">
        <v>17</v>
      </c>
      <c r="ABQ2" s="39" t="s">
        <v>11</v>
      </c>
      <c r="ABR2" s="40"/>
      <c r="ABS2" s="39" t="s">
        <v>12</v>
      </c>
      <c r="ABT2" s="40"/>
      <c r="ABU2" s="4" t="s">
        <v>13</v>
      </c>
      <c r="ABV2" s="4" t="s">
        <v>14</v>
      </c>
      <c r="ABW2" s="4" t="s">
        <v>15</v>
      </c>
      <c r="ABX2" s="4" t="s">
        <v>16</v>
      </c>
      <c r="ABY2" s="4" t="s">
        <v>17</v>
      </c>
      <c r="ACA2" s="39" t="s">
        <v>11</v>
      </c>
      <c r="ACB2" s="40"/>
      <c r="ACC2" s="39" t="s">
        <v>12</v>
      </c>
      <c r="ACD2" s="40"/>
      <c r="ACE2" s="4" t="s">
        <v>13</v>
      </c>
      <c r="ACF2" s="4" t="s">
        <v>14</v>
      </c>
      <c r="ACG2" s="4" t="s">
        <v>15</v>
      </c>
      <c r="ACH2" s="4" t="s">
        <v>16</v>
      </c>
      <c r="ACI2" s="4" t="s">
        <v>17</v>
      </c>
      <c r="ACK2" s="39" t="s">
        <v>11</v>
      </c>
      <c r="ACL2" s="40"/>
      <c r="ACM2" s="39" t="s">
        <v>12</v>
      </c>
      <c r="ACN2" s="40"/>
      <c r="ACO2" s="4" t="s">
        <v>13</v>
      </c>
      <c r="ACP2" s="4" t="s">
        <v>14</v>
      </c>
      <c r="ACQ2" s="4" t="s">
        <v>15</v>
      </c>
      <c r="ACR2" s="4" t="s">
        <v>16</v>
      </c>
      <c r="ACS2" s="4" t="s">
        <v>17</v>
      </c>
      <c r="ACU2" s="39" t="s">
        <v>11</v>
      </c>
      <c r="ACV2" s="40"/>
      <c r="ACW2" s="39" t="s">
        <v>12</v>
      </c>
      <c r="ACX2" s="40"/>
      <c r="ACY2" s="4" t="s">
        <v>13</v>
      </c>
      <c r="ACZ2" s="4" t="s">
        <v>14</v>
      </c>
      <c r="ADA2" s="4" t="s">
        <v>15</v>
      </c>
      <c r="ADB2" s="4" t="s">
        <v>16</v>
      </c>
      <c r="ADC2" s="4" t="s">
        <v>17</v>
      </c>
      <c r="ADE2" s="39" t="s">
        <v>11</v>
      </c>
      <c r="ADF2" s="40"/>
      <c r="ADG2" s="39" t="s">
        <v>12</v>
      </c>
      <c r="ADH2" s="40"/>
      <c r="ADI2" s="4" t="s">
        <v>13</v>
      </c>
      <c r="ADJ2" s="4" t="s">
        <v>14</v>
      </c>
      <c r="ADK2" s="4" t="s">
        <v>15</v>
      </c>
      <c r="ADL2" s="4" t="s">
        <v>16</v>
      </c>
      <c r="ADM2" s="4" t="s">
        <v>17</v>
      </c>
      <c r="ADO2" s="39" t="s">
        <v>11</v>
      </c>
      <c r="ADP2" s="40"/>
      <c r="ADQ2" s="39" t="s">
        <v>12</v>
      </c>
      <c r="ADR2" s="40"/>
      <c r="ADS2" s="4" t="s">
        <v>13</v>
      </c>
      <c r="ADT2" s="4" t="s">
        <v>14</v>
      </c>
      <c r="ADU2" s="4" t="s">
        <v>15</v>
      </c>
      <c r="ADV2" s="4" t="s">
        <v>16</v>
      </c>
      <c r="ADW2" s="4" t="s">
        <v>17</v>
      </c>
      <c r="ADY2" s="39" t="s">
        <v>11</v>
      </c>
      <c r="ADZ2" s="40"/>
      <c r="AEA2" s="39" t="s">
        <v>12</v>
      </c>
      <c r="AEB2" s="40"/>
      <c r="AEC2" s="4" t="s">
        <v>13</v>
      </c>
      <c r="AED2" s="4" t="s">
        <v>14</v>
      </c>
      <c r="AEE2" s="4" t="s">
        <v>15</v>
      </c>
      <c r="AEF2" s="4" t="s">
        <v>16</v>
      </c>
      <c r="AEG2" s="4" t="s">
        <v>17</v>
      </c>
      <c r="AEI2" s="39" t="s">
        <v>11</v>
      </c>
      <c r="AEJ2" s="40"/>
      <c r="AEK2" s="39" t="s">
        <v>12</v>
      </c>
      <c r="AEL2" s="40"/>
      <c r="AEM2" s="4" t="s">
        <v>13</v>
      </c>
      <c r="AEN2" s="4" t="s">
        <v>14</v>
      </c>
      <c r="AEO2" s="4" t="s">
        <v>15</v>
      </c>
      <c r="AEP2" s="4" t="s">
        <v>16</v>
      </c>
      <c r="AEQ2" s="4" t="s">
        <v>17</v>
      </c>
      <c r="AES2" s="39" t="s">
        <v>11</v>
      </c>
      <c r="AET2" s="40"/>
      <c r="AEU2" s="39" t="s">
        <v>12</v>
      </c>
      <c r="AEV2" s="40"/>
      <c r="AEW2" s="4" t="s">
        <v>13</v>
      </c>
      <c r="AEX2" s="4" t="s">
        <v>14</v>
      </c>
      <c r="AEY2" s="4" t="s">
        <v>15</v>
      </c>
      <c r="AEZ2" s="4" t="s">
        <v>16</v>
      </c>
      <c r="AFA2" s="4" t="s">
        <v>17</v>
      </c>
      <c r="AFC2" s="39" t="s">
        <v>11</v>
      </c>
      <c r="AFD2" s="40"/>
      <c r="AFE2" s="39" t="s">
        <v>12</v>
      </c>
      <c r="AFF2" s="40"/>
      <c r="AFG2" s="4" t="s">
        <v>13</v>
      </c>
      <c r="AFH2" s="4" t="s">
        <v>14</v>
      </c>
      <c r="AFI2" s="4" t="s">
        <v>15</v>
      </c>
      <c r="AFJ2" s="4" t="s">
        <v>16</v>
      </c>
      <c r="AFK2" s="4" t="s">
        <v>17</v>
      </c>
      <c r="AFM2" s="39" t="s">
        <v>11</v>
      </c>
      <c r="AFN2" s="40"/>
      <c r="AFO2" s="39" t="s">
        <v>12</v>
      </c>
      <c r="AFP2" s="40"/>
      <c r="AFQ2" s="4" t="s">
        <v>13</v>
      </c>
      <c r="AFR2" s="4" t="s">
        <v>14</v>
      </c>
      <c r="AFS2" s="4" t="s">
        <v>15</v>
      </c>
      <c r="AFT2" s="4" t="s">
        <v>16</v>
      </c>
      <c r="AFU2" s="4" t="s">
        <v>17</v>
      </c>
      <c r="AFW2" s="39" t="s">
        <v>11</v>
      </c>
      <c r="AFX2" s="40"/>
      <c r="AFY2" s="39" t="s">
        <v>12</v>
      </c>
      <c r="AFZ2" s="40"/>
      <c r="AGA2" s="4" t="s">
        <v>13</v>
      </c>
      <c r="AGB2" s="4" t="s">
        <v>14</v>
      </c>
      <c r="AGC2" s="4" t="s">
        <v>15</v>
      </c>
      <c r="AGD2" s="4" t="s">
        <v>16</v>
      </c>
      <c r="AGE2" s="4" t="s">
        <v>17</v>
      </c>
      <c r="AGG2" s="39" t="s">
        <v>11</v>
      </c>
      <c r="AGH2" s="40"/>
      <c r="AGI2" s="39" t="s">
        <v>12</v>
      </c>
      <c r="AGJ2" s="40"/>
      <c r="AGK2" s="4" t="s">
        <v>13</v>
      </c>
      <c r="AGL2" s="4" t="s">
        <v>14</v>
      </c>
      <c r="AGM2" s="4" t="s">
        <v>15</v>
      </c>
      <c r="AGN2" s="4" t="s">
        <v>16</v>
      </c>
      <c r="AGO2" s="4" t="s">
        <v>17</v>
      </c>
      <c r="AGQ2" s="39" t="s">
        <v>11</v>
      </c>
      <c r="AGR2" s="40"/>
      <c r="AGS2" s="39" t="s">
        <v>12</v>
      </c>
      <c r="AGT2" s="40"/>
      <c r="AGU2" s="4" t="s">
        <v>13</v>
      </c>
      <c r="AGV2" s="4" t="s">
        <v>14</v>
      </c>
      <c r="AGW2" s="4" t="s">
        <v>15</v>
      </c>
      <c r="AGX2" s="4" t="s">
        <v>16</v>
      </c>
      <c r="AGY2" s="4" t="s">
        <v>17</v>
      </c>
      <c r="AHA2" s="39" t="s">
        <v>11</v>
      </c>
      <c r="AHB2" s="40"/>
      <c r="AHC2" s="39" t="s">
        <v>12</v>
      </c>
      <c r="AHD2" s="40"/>
      <c r="AHE2" s="4" t="s">
        <v>13</v>
      </c>
      <c r="AHF2" s="4" t="s">
        <v>14</v>
      </c>
      <c r="AHG2" s="4" t="s">
        <v>15</v>
      </c>
      <c r="AHH2" s="4" t="s">
        <v>16</v>
      </c>
      <c r="AHI2" s="4" t="s">
        <v>17</v>
      </c>
      <c r="AHK2" s="39" t="s">
        <v>11</v>
      </c>
      <c r="AHL2" s="40"/>
      <c r="AHM2" s="39" t="s">
        <v>12</v>
      </c>
      <c r="AHN2" s="40"/>
      <c r="AHO2" s="4" t="s">
        <v>13</v>
      </c>
      <c r="AHP2" s="4" t="s">
        <v>14</v>
      </c>
      <c r="AHQ2" s="4" t="s">
        <v>15</v>
      </c>
      <c r="AHR2" s="4" t="s">
        <v>16</v>
      </c>
      <c r="AHS2" s="4" t="s">
        <v>17</v>
      </c>
      <c r="AHU2" s="39" t="s">
        <v>11</v>
      </c>
      <c r="AHV2" s="40"/>
      <c r="AHW2" s="39" t="s">
        <v>12</v>
      </c>
      <c r="AHX2" s="40"/>
      <c r="AHY2" s="4" t="s">
        <v>13</v>
      </c>
      <c r="AHZ2" s="4" t="s">
        <v>14</v>
      </c>
      <c r="AIA2" s="4" t="s">
        <v>15</v>
      </c>
      <c r="AIB2" s="4" t="s">
        <v>16</v>
      </c>
      <c r="AIC2" s="4" t="s">
        <v>17</v>
      </c>
      <c r="AIE2" s="39" t="s">
        <v>11</v>
      </c>
      <c r="AIF2" s="40"/>
      <c r="AIG2" s="39" t="s">
        <v>12</v>
      </c>
      <c r="AIH2" s="40"/>
      <c r="AII2" s="4" t="s">
        <v>13</v>
      </c>
      <c r="AIJ2" s="4" t="s">
        <v>14</v>
      </c>
      <c r="AIK2" s="4" t="s">
        <v>15</v>
      </c>
      <c r="AIL2" s="4" t="s">
        <v>16</v>
      </c>
      <c r="AIM2" s="4" t="s">
        <v>17</v>
      </c>
      <c r="AIO2" s="39" t="s">
        <v>11</v>
      </c>
      <c r="AIP2" s="40"/>
      <c r="AIQ2" s="39" t="s">
        <v>12</v>
      </c>
      <c r="AIR2" s="40"/>
      <c r="AIS2" s="4" t="s">
        <v>13</v>
      </c>
      <c r="AIT2" s="4" t="s">
        <v>14</v>
      </c>
      <c r="AIU2" s="4" t="s">
        <v>15</v>
      </c>
      <c r="AIV2" s="4" t="s">
        <v>16</v>
      </c>
      <c r="AIW2" s="4" t="s">
        <v>17</v>
      </c>
      <c r="AIY2" s="39" t="s">
        <v>11</v>
      </c>
      <c r="AIZ2" s="40"/>
      <c r="AJA2" s="39" t="s">
        <v>12</v>
      </c>
      <c r="AJB2" s="40"/>
      <c r="AJC2" s="4" t="s">
        <v>13</v>
      </c>
      <c r="AJD2" s="4" t="s">
        <v>14</v>
      </c>
      <c r="AJE2" s="4" t="s">
        <v>15</v>
      </c>
      <c r="AJF2" s="4" t="s">
        <v>16</v>
      </c>
      <c r="AJG2" s="4" t="s">
        <v>17</v>
      </c>
      <c r="AJI2" s="39" t="s">
        <v>11</v>
      </c>
      <c r="AJJ2" s="40"/>
      <c r="AJK2" s="39" t="s">
        <v>12</v>
      </c>
      <c r="AJL2" s="40"/>
      <c r="AJM2" s="4" t="s">
        <v>13</v>
      </c>
      <c r="AJN2" s="4" t="s">
        <v>14</v>
      </c>
      <c r="AJO2" s="4" t="s">
        <v>15</v>
      </c>
      <c r="AJP2" s="4" t="s">
        <v>16</v>
      </c>
      <c r="AJQ2" s="4" t="s">
        <v>17</v>
      </c>
      <c r="AJS2" s="39" t="s">
        <v>11</v>
      </c>
      <c r="AJT2" s="40"/>
      <c r="AJU2" s="39" t="s">
        <v>12</v>
      </c>
      <c r="AJV2" s="40"/>
      <c r="AJW2" s="4" t="s">
        <v>13</v>
      </c>
      <c r="AJX2" s="4" t="s">
        <v>14</v>
      </c>
      <c r="AJY2" s="4" t="s">
        <v>15</v>
      </c>
      <c r="AJZ2" s="4" t="s">
        <v>16</v>
      </c>
      <c r="AKA2" s="4" t="s">
        <v>17</v>
      </c>
      <c r="AKC2" s="39" t="s">
        <v>11</v>
      </c>
      <c r="AKD2" s="40"/>
      <c r="AKE2" s="39" t="s">
        <v>12</v>
      </c>
      <c r="AKF2" s="40"/>
      <c r="AKG2" s="4" t="s">
        <v>13</v>
      </c>
      <c r="AKH2" s="4" t="s">
        <v>14</v>
      </c>
      <c r="AKI2" s="4" t="s">
        <v>15</v>
      </c>
      <c r="AKJ2" s="4" t="s">
        <v>16</v>
      </c>
      <c r="AKK2" s="4" t="s">
        <v>17</v>
      </c>
      <c r="AKM2" s="39" t="s">
        <v>11</v>
      </c>
      <c r="AKN2" s="40"/>
      <c r="AKO2" s="39" t="s">
        <v>12</v>
      </c>
      <c r="AKP2" s="40"/>
      <c r="AKQ2" s="4" t="s">
        <v>13</v>
      </c>
      <c r="AKR2" s="4" t="s">
        <v>14</v>
      </c>
      <c r="AKS2" s="4" t="s">
        <v>15</v>
      </c>
      <c r="AKT2" s="4" t="s">
        <v>16</v>
      </c>
      <c r="AKU2" s="4" t="s">
        <v>17</v>
      </c>
      <c r="AKW2" s="39" t="s">
        <v>11</v>
      </c>
      <c r="AKX2" s="40"/>
      <c r="AKY2" s="39" t="s">
        <v>12</v>
      </c>
      <c r="AKZ2" s="40"/>
      <c r="ALA2" s="4" t="s">
        <v>13</v>
      </c>
      <c r="ALB2" s="4" t="s">
        <v>14</v>
      </c>
      <c r="ALC2" s="4" t="s">
        <v>15</v>
      </c>
      <c r="ALD2" s="4" t="s">
        <v>16</v>
      </c>
      <c r="ALE2" s="4" t="s">
        <v>17</v>
      </c>
      <c r="ALG2" s="39" t="s">
        <v>11</v>
      </c>
      <c r="ALH2" s="40"/>
      <c r="ALI2" s="39" t="s">
        <v>12</v>
      </c>
      <c r="ALJ2" s="40"/>
      <c r="ALK2" s="4" t="s">
        <v>13</v>
      </c>
      <c r="ALL2" s="4" t="s">
        <v>14</v>
      </c>
      <c r="ALM2" s="4" t="s">
        <v>15</v>
      </c>
      <c r="ALN2" s="4" t="s">
        <v>16</v>
      </c>
      <c r="ALO2" s="4" t="s">
        <v>17</v>
      </c>
      <c r="ALQ2" s="39" t="s">
        <v>11</v>
      </c>
      <c r="ALR2" s="40"/>
      <c r="ALS2" s="39" t="s">
        <v>12</v>
      </c>
      <c r="ALT2" s="40"/>
      <c r="ALU2" s="4" t="s">
        <v>13</v>
      </c>
      <c r="ALV2" s="4" t="s">
        <v>14</v>
      </c>
      <c r="ALW2" s="4" t="s">
        <v>15</v>
      </c>
      <c r="ALX2" s="4" t="s">
        <v>16</v>
      </c>
      <c r="ALY2" s="4" t="s">
        <v>17</v>
      </c>
      <c r="AMA2" s="39" t="s">
        <v>11</v>
      </c>
      <c r="AMB2" s="40"/>
      <c r="AMC2" s="39" t="s">
        <v>12</v>
      </c>
      <c r="AMD2" s="40"/>
      <c r="AME2" s="4" t="s">
        <v>13</v>
      </c>
      <c r="AMF2" s="4" t="s">
        <v>14</v>
      </c>
      <c r="AMG2" s="4" t="s">
        <v>15</v>
      </c>
      <c r="AMH2" s="4" t="s">
        <v>16</v>
      </c>
      <c r="AMI2" s="4" t="s">
        <v>17</v>
      </c>
      <c r="AMK2" s="39" t="s">
        <v>11</v>
      </c>
      <c r="AML2" s="40"/>
      <c r="AMM2" s="39" t="s">
        <v>12</v>
      </c>
      <c r="AMN2" s="40"/>
      <c r="AMO2" s="4" t="s">
        <v>13</v>
      </c>
      <c r="AMP2" s="4" t="s">
        <v>14</v>
      </c>
      <c r="AMQ2" s="4" t="s">
        <v>15</v>
      </c>
      <c r="AMR2" s="4" t="s">
        <v>16</v>
      </c>
      <c r="AMS2" s="4" t="s">
        <v>17</v>
      </c>
      <c r="AMU2" s="39" t="s">
        <v>11</v>
      </c>
      <c r="AMV2" s="40"/>
      <c r="AMW2" s="39" t="s">
        <v>12</v>
      </c>
      <c r="AMX2" s="40"/>
      <c r="AMY2" s="4" t="s">
        <v>13</v>
      </c>
      <c r="AMZ2" s="4" t="s">
        <v>14</v>
      </c>
      <c r="ANA2" s="4" t="s">
        <v>15</v>
      </c>
      <c r="ANB2" s="4" t="s">
        <v>16</v>
      </c>
      <c r="ANC2" s="4" t="s">
        <v>17</v>
      </c>
      <c r="ANE2" s="39" t="s">
        <v>11</v>
      </c>
      <c r="ANF2" s="40"/>
      <c r="ANG2" s="39" t="s">
        <v>12</v>
      </c>
      <c r="ANH2" s="40"/>
      <c r="ANI2" s="4" t="s">
        <v>13</v>
      </c>
      <c r="ANJ2" s="4" t="s">
        <v>14</v>
      </c>
      <c r="ANK2" s="4" t="s">
        <v>15</v>
      </c>
      <c r="ANL2" s="4" t="s">
        <v>16</v>
      </c>
      <c r="ANM2" s="4" t="s">
        <v>17</v>
      </c>
      <c r="ANO2" s="39" t="s">
        <v>11</v>
      </c>
      <c r="ANP2" s="40"/>
      <c r="ANQ2" s="39" t="s">
        <v>12</v>
      </c>
      <c r="ANR2" s="40"/>
      <c r="ANS2" s="4" t="s">
        <v>13</v>
      </c>
      <c r="ANT2" s="4" t="s">
        <v>14</v>
      </c>
      <c r="ANU2" s="4" t="s">
        <v>15</v>
      </c>
      <c r="ANV2" s="4" t="s">
        <v>16</v>
      </c>
      <c r="ANW2" s="4" t="s">
        <v>17</v>
      </c>
      <c r="ANY2" s="39" t="s">
        <v>11</v>
      </c>
      <c r="ANZ2" s="40"/>
      <c r="AOA2" s="39" t="s">
        <v>12</v>
      </c>
      <c r="AOB2" s="40"/>
      <c r="AOC2" s="4" t="s">
        <v>13</v>
      </c>
      <c r="AOD2" s="4" t="s">
        <v>14</v>
      </c>
      <c r="AOE2" s="4" t="s">
        <v>15</v>
      </c>
      <c r="AOF2" s="4" t="s">
        <v>16</v>
      </c>
      <c r="AOG2" s="4" t="s">
        <v>17</v>
      </c>
      <c r="AOI2" s="39" t="s">
        <v>11</v>
      </c>
      <c r="AOJ2" s="40"/>
      <c r="AOK2" s="39" t="s">
        <v>12</v>
      </c>
      <c r="AOL2" s="40"/>
      <c r="AOM2" s="4" t="s">
        <v>13</v>
      </c>
      <c r="AON2" s="4" t="s">
        <v>14</v>
      </c>
      <c r="AOO2" s="4" t="s">
        <v>15</v>
      </c>
      <c r="AOP2" s="4" t="s">
        <v>16</v>
      </c>
      <c r="AOQ2" s="4" t="s">
        <v>17</v>
      </c>
      <c r="AOS2" s="60" t="s">
        <v>11</v>
      </c>
      <c r="AOT2" s="61"/>
      <c r="AOU2" s="60" t="s">
        <v>12</v>
      </c>
      <c r="AOV2" s="61"/>
      <c r="AOW2" s="4" t="s">
        <v>13</v>
      </c>
      <c r="AOX2" s="4" t="s">
        <v>14</v>
      </c>
      <c r="AOY2" s="4" t="s">
        <v>15</v>
      </c>
      <c r="AOZ2" s="4" t="s">
        <v>16</v>
      </c>
      <c r="APA2" s="4" t="s">
        <v>17</v>
      </c>
    </row>
    <row r="3" spans="1:1093" ht="12.75" customHeight="1" x14ac:dyDescent="0.2">
      <c r="A3" s="22" t="s">
        <v>18</v>
      </c>
      <c r="B3" s="13" t="s">
        <v>19</v>
      </c>
      <c r="C3" s="13">
        <v>18</v>
      </c>
      <c r="E3" s="24"/>
      <c r="F3" s="6" t="s">
        <v>20</v>
      </c>
      <c r="G3" s="24">
        <v>17</v>
      </c>
      <c r="H3" s="6" t="s">
        <v>20</v>
      </c>
      <c r="I3" s="5">
        <f>IF(OR(ISNUMBER(E3), ISNUMBER(G3)), IF(ISNUMBER(E3), E3, 0) + IF(ISNUMBER(G3), G3, 0), "")</f>
        <v>17</v>
      </c>
      <c r="J3" s="3"/>
      <c r="K3" s="7"/>
      <c r="L3" s="5"/>
      <c r="M3" s="7" t="str">
        <f>IF(ISNUMBER(L3), L3-K3, "")</f>
        <v/>
      </c>
      <c r="O3" s="24"/>
      <c r="P3" s="6" t="s">
        <v>20</v>
      </c>
      <c r="Q3" s="24">
        <v>27</v>
      </c>
      <c r="R3" s="6" t="s">
        <v>20</v>
      </c>
      <c r="S3" s="5">
        <f>IF(OR(ISNUMBER(O3), ISNUMBER(Q3)), IF(ISNUMBER(O3), O3, 0) + IF(ISNUMBER(Q3), Q3, 0), "")</f>
        <v>27</v>
      </c>
      <c r="T3" s="3"/>
      <c r="U3" s="7">
        <f t="shared" ref="U3:U7" si="0">IF(ISNUMBER(S3), (I3 + (J3 * 24)) - S3, "")</f>
        <v>-10</v>
      </c>
      <c r="V3" s="5">
        <v>2</v>
      </c>
      <c r="W3" s="7">
        <f>IF(ISNUMBER(V3), V3-U3, "")</f>
        <v>12</v>
      </c>
      <c r="Y3" s="24">
        <v>24</v>
      </c>
      <c r="Z3" s="6" t="s">
        <v>20</v>
      </c>
      <c r="AA3" s="24"/>
      <c r="AB3" s="6" t="s">
        <v>20</v>
      </c>
      <c r="AC3" s="5">
        <f>IF(OR(ISNUMBER(Y3), ISNUMBER(AA3)), IF(ISNUMBER(Y3), Y3, 0) + IF(ISNUMBER(AA3), AA3, 0), "")</f>
        <v>24</v>
      </c>
      <c r="AD3" s="3"/>
      <c r="AE3" s="7">
        <f t="shared" ref="AE3:AE7" si="1">IF(ISNUMBER(AC3), (S3 + (T3 * 24)) - AC3, "")</f>
        <v>3</v>
      </c>
      <c r="AF3" s="5">
        <v>4</v>
      </c>
      <c r="AG3" s="7">
        <f>IF(ISNUMBER(AF3), AF3-AE3, "")</f>
        <v>1</v>
      </c>
      <c r="AI3" s="24">
        <v>0</v>
      </c>
      <c r="AJ3" s="6" t="s">
        <v>20</v>
      </c>
      <c r="AK3" s="24">
        <v>15</v>
      </c>
      <c r="AL3" s="6" t="s">
        <v>20</v>
      </c>
      <c r="AM3" s="5">
        <f>IF(OR(ISNUMBER(AI3), ISNUMBER(AK3)), IF(ISNUMBER(AI3), AI3, 0) + IF(ISNUMBER(AK3), AK3, 0), "")</f>
        <v>15</v>
      </c>
      <c r="AN3" s="3">
        <v>1</v>
      </c>
      <c r="AO3" s="7">
        <f t="shared" ref="AO3:AO7" si="2">IF(ISNUMBER(AM3), (AC3 + (AD3 * 24)) - AM3, "")</f>
        <v>9</v>
      </c>
      <c r="AP3" s="5">
        <v>8</v>
      </c>
      <c r="AQ3" s="7">
        <f>IF(ISNUMBER(AP3), AP3-AO3, "")</f>
        <v>-1</v>
      </c>
      <c r="AS3" s="24">
        <v>24</v>
      </c>
      <c r="AT3" s="6" t="s">
        <v>20</v>
      </c>
      <c r="AU3" s="24">
        <v>13</v>
      </c>
      <c r="AV3" s="6" t="s">
        <v>20</v>
      </c>
      <c r="AW3" s="5">
        <f>IF(OR(ISNUMBER(AS3), ISNUMBER(AU3)), IF(ISNUMBER(AS3), AS3, 0) + IF(ISNUMBER(AU3), AU3, 0), "")</f>
        <v>37</v>
      </c>
      <c r="AX3" s="3"/>
      <c r="AY3" s="7">
        <f t="shared" ref="AY3:AY7" si="3">IF(ISNUMBER(AW3), (AM3 + (AN3 * 24)) - AW3, "")</f>
        <v>2</v>
      </c>
      <c r="AZ3" s="5">
        <v>2</v>
      </c>
      <c r="BA3" s="7">
        <f>IF(ISNUMBER(AZ3), AZ3-AY3, "")</f>
        <v>0</v>
      </c>
      <c r="BC3" s="2">
        <v>24</v>
      </c>
      <c r="BD3" s="6" t="s">
        <v>20</v>
      </c>
      <c r="BE3" s="2">
        <v>5</v>
      </c>
      <c r="BF3" s="6" t="s">
        <v>20</v>
      </c>
      <c r="BG3" s="5">
        <f>IF(OR(ISNUMBER(BC3), ISNUMBER(BE3)), IF(ISNUMBER(BC3), BC3, 0) + IF(ISNUMBER(BE3), BE3, 0), "")</f>
        <v>29</v>
      </c>
      <c r="BH3" s="3"/>
      <c r="BI3" s="7">
        <f t="shared" ref="BI3:BI7" si="4">IF(ISNUMBER(BG3), (AW3 + (AX3 * 24)) - BG3, "")</f>
        <v>8</v>
      </c>
      <c r="BJ3" s="5">
        <v>9</v>
      </c>
      <c r="BK3" s="7">
        <f>IF(ISNUMBER(BJ3), BJ3-BI3, "")</f>
        <v>1</v>
      </c>
      <c r="BM3" s="2">
        <v>14</v>
      </c>
      <c r="BN3" s="6" t="s">
        <v>20</v>
      </c>
      <c r="BO3" s="2">
        <v>14</v>
      </c>
      <c r="BP3" s="6" t="s">
        <v>20</v>
      </c>
      <c r="BQ3" s="5">
        <f>IF(OR(ISNUMBER(BM3), ISNUMBER(BO3)), IF(ISNUMBER(BM3), BM3, 0) + IF(ISNUMBER(BO3), BO3, 0), "")</f>
        <v>28</v>
      </c>
      <c r="BR3" s="3">
        <v>1</v>
      </c>
      <c r="BS3" s="7">
        <f t="shared" ref="BS3:BS5" si="5">IF(ISNUMBER(BQ3), (BG3 + (BH3 * 24)) - BQ3, "")</f>
        <v>1</v>
      </c>
      <c r="BT3" s="5">
        <v>2</v>
      </c>
      <c r="BU3" s="7">
        <f>IF(ISNUMBER(BT3), BT3-BS3, "")</f>
        <v>1</v>
      </c>
      <c r="BW3" s="24">
        <v>24</v>
      </c>
      <c r="BX3" s="6" t="s">
        <v>20</v>
      </c>
      <c r="BY3" s="24">
        <v>25</v>
      </c>
      <c r="BZ3" s="6" t="s">
        <v>20</v>
      </c>
      <c r="CA3" s="5">
        <f>IF(OR(ISNUMBER(BW3), ISNUMBER(BY3)), IF(ISNUMBER(BW3), BW3, 0) + IF(ISNUMBER(BY3), BY3, 0), "")</f>
        <v>49</v>
      </c>
      <c r="CB3" s="3"/>
      <c r="CC3" s="7">
        <f t="shared" ref="CC3:CC7" si="6">IF(ISNUMBER(CA3), (BQ3 + (BR3 * 24)) - CA3, "")</f>
        <v>3</v>
      </c>
      <c r="CD3" s="5">
        <v>3</v>
      </c>
      <c r="CE3" s="7">
        <f>IF(ISNUMBER(CD3), CD3-CC3, "")</f>
        <v>0</v>
      </c>
      <c r="CG3" s="24">
        <v>32</v>
      </c>
      <c r="CH3" s="6" t="s">
        <v>20</v>
      </c>
      <c r="CI3" s="24">
        <v>15</v>
      </c>
      <c r="CJ3" s="6" t="s">
        <v>20</v>
      </c>
      <c r="CK3" s="5">
        <f>IF(OR(ISNUMBER(CG3), ISNUMBER(CI3)), IF(ISNUMBER(CG3), CG3, 0) + IF(ISNUMBER(CI3), CI3, 0), "")</f>
        <v>47</v>
      </c>
      <c r="CL3" s="3"/>
      <c r="CM3" s="7">
        <f t="shared" ref="CM3:CM7" si="7">IF(ISNUMBER(CK3), (CA3 + (CB3 * 24)) - CK3, "")</f>
        <v>2</v>
      </c>
      <c r="CN3" s="5">
        <v>2</v>
      </c>
      <c r="CO3" s="7">
        <f>IF(ISNUMBER(CN3), CN3-CM3, "")</f>
        <v>0</v>
      </c>
      <c r="CQ3" s="24">
        <v>32</v>
      </c>
      <c r="CR3" s="6" t="s">
        <v>20</v>
      </c>
      <c r="CS3" s="24">
        <v>10</v>
      </c>
      <c r="CT3" s="6" t="s">
        <v>20</v>
      </c>
      <c r="CU3" s="5">
        <f>IF(OR(ISNUMBER(CQ3), ISNUMBER(CS3)), IF(ISNUMBER(CQ3), CQ3, 0) + IF(ISNUMBER(CS3), CS3, 0), "")</f>
        <v>42</v>
      </c>
      <c r="CV3" s="3"/>
      <c r="CW3" s="7">
        <f t="shared" ref="CW3:CW7" si="8">IF(ISNUMBER(CU3), (CK3 + (CL3 * 24)) - CU3, "")</f>
        <v>5</v>
      </c>
      <c r="CX3" s="5">
        <v>5</v>
      </c>
      <c r="CY3" s="7">
        <f>IF(ISNUMBER(CX3), CX3-CW3, "")</f>
        <v>0</v>
      </c>
      <c r="DA3" s="24">
        <v>32</v>
      </c>
      <c r="DB3" s="6" t="s">
        <v>20</v>
      </c>
      <c r="DC3" s="24">
        <v>6</v>
      </c>
      <c r="DD3" s="6" t="s">
        <v>20</v>
      </c>
      <c r="DE3" s="5">
        <f>IF(OR(ISNUMBER(DA3), ISNUMBER(DC3)), IF(ISNUMBER(DA3), DA3, 0) + IF(ISNUMBER(DC3), DC3, 0), "")</f>
        <v>38</v>
      </c>
      <c r="DF3" s="3"/>
      <c r="DG3" s="7">
        <f t="shared" ref="DG3:DG7" si="9">IF(ISNUMBER(DE3), (CU3 + (CV3 * 24)) - DE3, "")</f>
        <v>4</v>
      </c>
      <c r="DH3" s="5">
        <v>3</v>
      </c>
      <c r="DI3" s="7">
        <f>IF(ISNUMBER(DH3), DH3-DG3, "")</f>
        <v>-1</v>
      </c>
      <c r="DK3" s="24">
        <v>24</v>
      </c>
      <c r="DL3" s="6" t="s">
        <v>20</v>
      </c>
      <c r="DM3" s="24">
        <v>14</v>
      </c>
      <c r="DN3" s="6" t="s">
        <v>20</v>
      </c>
      <c r="DO3" s="5">
        <f>IF(OR(ISNUMBER(DK3), ISNUMBER(DM3)), IF(ISNUMBER(DK3), DK3, 0) + IF(ISNUMBER(DM3), DM3, 0), "")</f>
        <v>38</v>
      </c>
      <c r="DP3" s="3"/>
      <c r="DQ3" s="7">
        <f t="shared" ref="DQ3:DQ7" si="10">IF(ISNUMBER(DO3), (DE3 + (DF3 * 24)) - DO3, "")</f>
        <v>0</v>
      </c>
      <c r="DR3" s="5">
        <v>1</v>
      </c>
      <c r="DS3" s="7">
        <f>IF(ISNUMBER(DR3), DR3-DQ3, "")</f>
        <v>1</v>
      </c>
      <c r="DU3" s="24">
        <v>24</v>
      </c>
      <c r="DV3" s="6" t="s">
        <v>20</v>
      </c>
      <c r="DW3" s="24">
        <v>12</v>
      </c>
      <c r="DX3" s="6" t="s">
        <v>20</v>
      </c>
      <c r="DY3" s="5">
        <f>IF(OR(ISNUMBER(DU3), ISNUMBER(DW3)), IF(ISNUMBER(DU3), DU3, 0) + IF(ISNUMBER(DW3), DW3, 0), "")</f>
        <v>36</v>
      </c>
      <c r="DZ3" s="3"/>
      <c r="EA3" s="7">
        <f t="shared" ref="EA3:EA7" si="11">IF(ISNUMBER(DY3), (DO3 + (DP3 * 24)) - DY3, "")</f>
        <v>2</v>
      </c>
      <c r="EB3" s="5">
        <v>2</v>
      </c>
      <c r="EC3" s="7">
        <f>IF(ISNUMBER(EB3), EB3-EA3, "")</f>
        <v>0</v>
      </c>
      <c r="EE3" s="24">
        <v>24</v>
      </c>
      <c r="EF3" s="6" t="s">
        <v>20</v>
      </c>
      <c r="EG3" s="24">
        <v>5</v>
      </c>
      <c r="EH3" s="6" t="s">
        <v>20</v>
      </c>
      <c r="EI3" s="5">
        <f>IF(OR(ISNUMBER(EE3), ISNUMBER(EG3)), IF(ISNUMBER(EE3), EE3, 0) + IF(ISNUMBER(EG3), EG3, 0), "")</f>
        <v>29</v>
      </c>
      <c r="EJ3" s="3"/>
      <c r="EK3" s="7">
        <f t="shared" ref="EK3:EK7" si="12">IF(ISNUMBER(EI3), (DY3 + (DZ3 * 24)) - EI3, "")</f>
        <v>7</v>
      </c>
      <c r="EL3" s="5">
        <v>6</v>
      </c>
      <c r="EM3" s="7">
        <f>IF(ISNUMBER(EL3), EL3-EK3, "")</f>
        <v>-1</v>
      </c>
      <c r="EO3" s="24">
        <v>24</v>
      </c>
      <c r="EP3" s="6" t="s">
        <v>20</v>
      </c>
      <c r="EQ3" s="24">
        <v>6</v>
      </c>
      <c r="ER3" s="6" t="s">
        <v>20</v>
      </c>
      <c r="ES3" s="5">
        <f>IF(OR(ISNUMBER(EO3), ISNUMBER(EQ3)), IF(ISNUMBER(EO3), EO3, 0) + IF(ISNUMBER(EQ3), EQ3, 0), "")</f>
        <v>30</v>
      </c>
      <c r="ET3" s="3"/>
      <c r="EU3" s="7">
        <f t="shared" ref="EU3:EU7" si="13">IF(ISNUMBER(ES3), (EI3 + (EJ3 * 24)) - ES3, "")</f>
        <v>-1</v>
      </c>
      <c r="EV3" s="5"/>
      <c r="EW3" s="7" t="str">
        <f>IF(ISNUMBER(EV3), EV3-EU3, "")</f>
        <v/>
      </c>
      <c r="EY3" s="24">
        <v>12</v>
      </c>
      <c r="EZ3" s="6" t="s">
        <v>20</v>
      </c>
      <c r="FA3" s="24">
        <v>13</v>
      </c>
      <c r="FB3" s="6" t="s">
        <v>20</v>
      </c>
      <c r="FC3" s="5">
        <f>IF(OR(ISNUMBER(EY3), ISNUMBER(FA3)), IF(ISNUMBER(EY3), EY3, 0) + IF(ISNUMBER(FA3), FA3, 0), "")</f>
        <v>25</v>
      </c>
      <c r="FD3" s="3"/>
      <c r="FE3" s="7">
        <f t="shared" ref="FE3:FE7" si="14">IF(ISNUMBER(FC3), (ES3 + (ET3 * 24)) - FC3, "")</f>
        <v>5</v>
      </c>
      <c r="FF3" s="5">
        <v>5</v>
      </c>
      <c r="FG3" s="7">
        <f>IF(ISNUMBER(FF3), FF3-FE3, "")</f>
        <v>0</v>
      </c>
      <c r="FI3" s="24">
        <v>9</v>
      </c>
      <c r="FJ3" s="6" t="s">
        <v>20</v>
      </c>
      <c r="FK3" s="24">
        <v>9</v>
      </c>
      <c r="FL3" s="6" t="s">
        <v>20</v>
      </c>
      <c r="FM3" s="5">
        <f>IF(OR(ISNUMBER(FI3), ISNUMBER(FK3)), IF(ISNUMBER(FI3), FI3, 0) + IF(ISNUMBER(FK3), FK3, 0), "")</f>
        <v>18</v>
      </c>
      <c r="FN3" s="3"/>
      <c r="FO3" s="7">
        <f t="shared" ref="FO3:FO7" si="15">IF(ISNUMBER(FM3), (FC3 + (FD3 * 24)) - FM3, "")</f>
        <v>7</v>
      </c>
      <c r="FP3" s="5">
        <v>2</v>
      </c>
      <c r="FQ3" s="7">
        <f>IF(ISNUMBER(FP3), FP3-FO3, "")</f>
        <v>-5</v>
      </c>
      <c r="FS3" s="24">
        <v>12</v>
      </c>
      <c r="FT3" s="6" t="s">
        <v>20</v>
      </c>
      <c r="FU3" s="24">
        <v>8</v>
      </c>
      <c r="FV3" s="6" t="s">
        <v>20</v>
      </c>
      <c r="FW3" s="5">
        <f>IF(OR(ISNUMBER(FS3), ISNUMBER(FU3)), IF(ISNUMBER(FS3), FS3, 0) + IF(ISNUMBER(FU3), FU3, 0), "")</f>
        <v>20</v>
      </c>
      <c r="FX3" s="3">
        <v>1</v>
      </c>
      <c r="FY3" s="7">
        <f t="shared" ref="FY3:FY7" si="16">IF(ISNUMBER(FW3), (FM3 + (FN3 * 24)) - FW3, "")</f>
        <v>-2</v>
      </c>
      <c r="FZ3" s="5">
        <v>1</v>
      </c>
      <c r="GA3" s="7">
        <f>IF(ISNUMBER(FZ3), FZ3-FY3, "")</f>
        <v>3</v>
      </c>
      <c r="GC3" s="24">
        <v>24</v>
      </c>
      <c r="GD3" s="6" t="s">
        <v>20</v>
      </c>
      <c r="GE3" s="24">
        <v>15</v>
      </c>
      <c r="GF3" s="6" t="s">
        <v>20</v>
      </c>
      <c r="GG3" s="5">
        <f>IF(OR(ISNUMBER(GC3), ISNUMBER(GE3)), IF(ISNUMBER(GC3), GC3, 0) + IF(ISNUMBER(GE3), GE3, 0), "")</f>
        <v>39</v>
      </c>
      <c r="GH3" s="3"/>
      <c r="GI3" s="7">
        <f t="shared" ref="GI3:GI7" si="17">IF(ISNUMBER(GG3), (FW3 + (FX3 * 24)) - GG3, "")</f>
        <v>5</v>
      </c>
      <c r="GJ3" s="5">
        <v>4</v>
      </c>
      <c r="GK3" s="7">
        <f>IF(ISNUMBER(GJ3), GJ3-GI3, "")</f>
        <v>-1</v>
      </c>
      <c r="GM3" s="24">
        <v>24</v>
      </c>
      <c r="GN3" s="6" t="s">
        <v>20</v>
      </c>
      <c r="GO3" s="24">
        <v>17</v>
      </c>
      <c r="GP3" s="6" t="s">
        <v>20</v>
      </c>
      <c r="GQ3" s="5">
        <f>IF(OR(ISNUMBER(GM3), ISNUMBER(GO3)), IF(ISNUMBER(GM3), GM3, 0) + IF(ISNUMBER(GO3), GO3, 0), "")</f>
        <v>41</v>
      </c>
      <c r="GR3" s="3"/>
      <c r="GS3" s="7">
        <f t="shared" ref="GS3:GS7" si="18">IF(ISNUMBER(GQ3), (GG3 + (GH3 * 24)) - GQ3, "")</f>
        <v>-2</v>
      </c>
      <c r="GT3" s="5"/>
      <c r="GU3" s="7" t="str">
        <f>IF(ISNUMBER(GT3), GT3-GS3, "")</f>
        <v/>
      </c>
      <c r="GW3" s="24">
        <v>24</v>
      </c>
      <c r="GX3" s="6" t="s">
        <v>20</v>
      </c>
      <c r="GY3" s="24">
        <v>9</v>
      </c>
      <c r="GZ3" s="6" t="s">
        <v>20</v>
      </c>
      <c r="HA3" s="5">
        <f>IF(OR(ISNUMBER(GW3), ISNUMBER(GY3)), IF(ISNUMBER(GW3), GW3, 0) + IF(ISNUMBER(GY3), GY3, 0), "")</f>
        <v>33</v>
      </c>
      <c r="HB3" s="3"/>
      <c r="HC3" s="7">
        <f t="shared" ref="HC3:HC7" si="19">IF(ISNUMBER(HA3), (GQ3 + (GR3 * 24)) - HA3, "")</f>
        <v>8</v>
      </c>
      <c r="HD3" s="5">
        <v>8</v>
      </c>
      <c r="HE3" s="7">
        <f>IF(ISNUMBER(HD3), HD3-HC3, "")</f>
        <v>0</v>
      </c>
      <c r="HG3" s="24">
        <v>20</v>
      </c>
      <c r="HH3" s="6" t="s">
        <v>20</v>
      </c>
      <c r="HI3" s="24">
        <v>11</v>
      </c>
      <c r="HJ3" s="6" t="s">
        <v>20</v>
      </c>
      <c r="HK3" s="5">
        <f>IF(OR(ISNUMBER(HG3), ISNUMBER(HI3)), IF(ISNUMBER(HG3), HG3, 0) + IF(ISNUMBER(HI3), HI3, 0), "")</f>
        <v>31</v>
      </c>
      <c r="HL3" s="3">
        <v>1</v>
      </c>
      <c r="HM3" s="7">
        <f t="shared" ref="HM3:HM7" si="20">IF(ISNUMBER(HK3), (HA3 + (HB3 * 24)) - HK3, "")</f>
        <v>2</v>
      </c>
      <c r="HN3" s="5">
        <v>2</v>
      </c>
      <c r="HO3" s="7">
        <f>IF(ISNUMBER(HN3), HN3-HM3, "")</f>
        <v>0</v>
      </c>
      <c r="HQ3" s="24">
        <v>20</v>
      </c>
      <c r="HR3" s="6" t="s">
        <v>20</v>
      </c>
      <c r="HS3" s="24">
        <v>11</v>
      </c>
      <c r="HT3" s="6" t="s">
        <v>20</v>
      </c>
      <c r="HU3" s="5">
        <f>IF(OR(ISNUMBER(HQ3), ISNUMBER(HS3)), IF(ISNUMBER(HQ3), HQ3, 0) + IF(ISNUMBER(HS3), HS3, 0), "")</f>
        <v>31</v>
      </c>
      <c r="HV3" s="3"/>
      <c r="HW3" s="7">
        <f t="shared" ref="HW3:HW7" si="21">IF(ISNUMBER(HU3), (HK3 + (HL3 * 24)) - HU3, "")</f>
        <v>24</v>
      </c>
      <c r="HX3" s="5">
        <v>3</v>
      </c>
      <c r="HY3" s="7">
        <f>IF(ISNUMBER(HX3), HX3-HW3, "")</f>
        <v>-21</v>
      </c>
      <c r="IA3" s="24">
        <v>20</v>
      </c>
      <c r="IB3" s="6" t="s">
        <v>20</v>
      </c>
      <c r="IC3" s="24">
        <v>10</v>
      </c>
      <c r="ID3" s="6" t="s">
        <v>20</v>
      </c>
      <c r="IE3" s="5">
        <f>IF(OR(ISNUMBER(IA3), ISNUMBER(IC3)), IF(ISNUMBER(IA3), IA3, 0) + IF(ISNUMBER(IC3), IC3, 0), "")</f>
        <v>30</v>
      </c>
      <c r="IF3" s="3"/>
      <c r="IG3" s="7">
        <f t="shared" ref="IG3:IG7" si="22">IF(ISNUMBER(IE3), (HU3 + (HV3 * 24)) - IE3, "")</f>
        <v>1</v>
      </c>
      <c r="IH3" s="5">
        <v>1</v>
      </c>
      <c r="II3" s="7">
        <f>IF(ISNUMBER(IH3), IH3-IG3, "")</f>
        <v>0</v>
      </c>
      <c r="IK3" s="24">
        <v>20</v>
      </c>
      <c r="IL3" s="6" t="s">
        <v>20</v>
      </c>
      <c r="IM3" s="24">
        <v>8</v>
      </c>
      <c r="IN3" s="6" t="s">
        <v>20</v>
      </c>
      <c r="IO3" s="5">
        <f>IF(OR(ISNUMBER(IK3), ISNUMBER(IM3)), IF(ISNUMBER(IK3), IK3, 0) + IF(ISNUMBER(IM3), IM3, 0), "")</f>
        <v>28</v>
      </c>
      <c r="IP3" s="3"/>
      <c r="IQ3" s="7">
        <f t="shared" ref="IQ3:IQ7" si="23">IF(ISNUMBER(IO3), (IE3 + (IF3 * 24)) - IO3, "")</f>
        <v>2</v>
      </c>
      <c r="IR3" s="5">
        <v>1</v>
      </c>
      <c r="IS3" s="7">
        <f>IF(ISNUMBER(IR3), IR3-IQ3, "")</f>
        <v>-1</v>
      </c>
      <c r="IU3" s="24">
        <v>10</v>
      </c>
      <c r="IV3" s="6" t="s">
        <v>20</v>
      </c>
      <c r="IW3" s="24">
        <v>10</v>
      </c>
      <c r="IX3" s="6" t="s">
        <v>20</v>
      </c>
      <c r="IY3" s="5">
        <f>IF(OR(ISNUMBER(IU3), ISNUMBER(IW3)), IF(ISNUMBER(IU3), IU3, 0) + IF(ISNUMBER(IW3), IW3, 0), "")</f>
        <v>20</v>
      </c>
      <c r="IZ3" s="3"/>
      <c r="JA3" s="7">
        <f t="shared" ref="JA3:JA7" si="24">IF(ISNUMBER(IY3), (IO3 + (IP3 * 24)) - IY3, "")</f>
        <v>8</v>
      </c>
      <c r="JB3" s="5">
        <v>8</v>
      </c>
      <c r="JC3" s="7">
        <f>IF(ISNUMBER(JB3), JB3-JA3, "")</f>
        <v>0</v>
      </c>
      <c r="JE3" s="24">
        <v>0</v>
      </c>
      <c r="JF3" s="6" t="s">
        <v>20</v>
      </c>
      <c r="JG3" s="24">
        <v>17</v>
      </c>
      <c r="JH3" s="6" t="s">
        <v>20</v>
      </c>
      <c r="JI3" s="5">
        <f>IF(OR(ISNUMBER(JE3), ISNUMBER(JG3)), IF(ISNUMBER(JE3), JE3, 0) + IF(ISNUMBER(JG3), JG3, 0), "")</f>
        <v>17</v>
      </c>
      <c r="JJ3" s="3">
        <v>1</v>
      </c>
      <c r="JK3" s="7">
        <f t="shared" ref="JK3:JK7" si="25">IF(ISNUMBER(JI3), (IY3 + (IZ3 * 24)) - JI3, "")</f>
        <v>3</v>
      </c>
      <c r="JL3" s="5">
        <v>3</v>
      </c>
      <c r="JM3" s="7">
        <f>IF(ISNUMBER(JL3), JL3-JK3, "")</f>
        <v>0</v>
      </c>
      <c r="JO3" s="24">
        <v>24</v>
      </c>
      <c r="JP3" s="6" t="s">
        <v>20</v>
      </c>
      <c r="JQ3" s="24">
        <v>15</v>
      </c>
      <c r="JR3" s="6" t="s">
        <v>20</v>
      </c>
      <c r="JS3" s="5">
        <f>IF(OR(ISNUMBER(JO3), ISNUMBER(JQ3)), IF(ISNUMBER(JO3), JO3, 0) + IF(ISNUMBER(JQ3), JQ3, 0), "")</f>
        <v>39</v>
      </c>
      <c r="JT3" s="3"/>
      <c r="JU3" s="7">
        <f t="shared" ref="JU3:JU7" si="26">IF(ISNUMBER(JS3), (JI3 + (JJ3 * 24)) - JS3, "")</f>
        <v>2</v>
      </c>
      <c r="JV3" s="5">
        <v>2</v>
      </c>
      <c r="JW3" s="7">
        <f>IF(ISNUMBER(JV3), JV3-JU3, "")</f>
        <v>0</v>
      </c>
      <c r="JY3" s="24">
        <v>24</v>
      </c>
      <c r="JZ3" s="6" t="s">
        <v>20</v>
      </c>
      <c r="KA3" s="24">
        <v>13</v>
      </c>
      <c r="KB3" s="6" t="s">
        <v>20</v>
      </c>
      <c r="KC3" s="5">
        <f>IF(OR(ISNUMBER(JY3), ISNUMBER(KA3)), IF(ISNUMBER(JY3), JY3, 0) + IF(ISNUMBER(KA3), KA3, 0), "")</f>
        <v>37</v>
      </c>
      <c r="KD3" s="3"/>
      <c r="KE3" s="7">
        <f t="shared" ref="KE3:KE7" si="27">IF(ISNUMBER(KC3), (JS3 + (JT3 * 24)) - KC3, "")</f>
        <v>2</v>
      </c>
      <c r="KF3" s="5">
        <v>2</v>
      </c>
      <c r="KG3" s="7">
        <f>IF(ISNUMBER(KF3), KF3-KE3, "")</f>
        <v>0</v>
      </c>
      <c r="KI3" s="24">
        <v>18</v>
      </c>
      <c r="KJ3" s="6" t="s">
        <v>20</v>
      </c>
      <c r="KK3" s="24">
        <v>15</v>
      </c>
      <c r="KL3" s="6" t="s">
        <v>20</v>
      </c>
      <c r="KM3" s="5">
        <f>IF(OR(ISNUMBER(KI3), ISNUMBER(KK3)), IF(ISNUMBER(KI3), KI3, 0) + IF(ISNUMBER(KK3), KK3, 0), "")</f>
        <v>33</v>
      </c>
      <c r="KN3" s="3"/>
      <c r="KO3" s="7">
        <f t="shared" ref="KO3:KO7" si="28">IF(ISNUMBER(KM3), (KC3 + (KD3 * 24)) - KM3, "")</f>
        <v>4</v>
      </c>
      <c r="KP3" s="5">
        <v>4</v>
      </c>
      <c r="KQ3" s="7">
        <f>IF(ISNUMBER(KP3), KP3-KO3, "")</f>
        <v>0</v>
      </c>
      <c r="KS3" s="24">
        <v>18</v>
      </c>
      <c r="KT3" s="6" t="s">
        <v>20</v>
      </c>
      <c r="KU3" s="24">
        <v>9</v>
      </c>
      <c r="KV3" s="6" t="s">
        <v>20</v>
      </c>
      <c r="KW3" s="5">
        <f>IF(OR(ISNUMBER(KS3), ISNUMBER(KU3)), IF(ISNUMBER(KS3), KS3, 0) + IF(ISNUMBER(KU3), KU3, 0), "")</f>
        <v>27</v>
      </c>
      <c r="KX3" s="3"/>
      <c r="KY3" s="7">
        <f t="shared" ref="KY3:KY7" si="29">IF(ISNUMBER(KW3), (KM3 + (KN3 * 24)) - KW3, "")</f>
        <v>6</v>
      </c>
      <c r="KZ3" s="5">
        <v>6</v>
      </c>
      <c r="LA3" s="7">
        <f>IF(ISNUMBER(KZ3), KZ3-KY3, "")</f>
        <v>0</v>
      </c>
      <c r="LC3" s="24">
        <v>0</v>
      </c>
      <c r="LD3" s="6" t="s">
        <v>20</v>
      </c>
      <c r="LE3" s="24">
        <v>24</v>
      </c>
      <c r="LF3" s="6" t="s">
        <v>20</v>
      </c>
      <c r="LG3" s="5">
        <f>IF(OR(ISNUMBER(LC3), ISNUMBER(LE3)), IF(ISNUMBER(LC3), LC3, 0) + IF(ISNUMBER(LE3), LE3, 0), "")</f>
        <v>24</v>
      </c>
      <c r="LH3" s="3"/>
      <c r="LI3" s="7">
        <f t="shared" ref="LI3:LI7" si="30">IF(ISNUMBER(LG3), (KW3 + (KX3 * 24)) - LG3, "")</f>
        <v>3</v>
      </c>
      <c r="LJ3" s="5">
        <v>1</v>
      </c>
      <c r="LK3" s="7">
        <f>IF(ISNUMBER(LJ3), LJ3-LI3, "")</f>
        <v>-2</v>
      </c>
      <c r="LM3" s="24">
        <v>0</v>
      </c>
      <c r="LN3" s="6" t="s">
        <v>20</v>
      </c>
      <c r="LO3" s="24">
        <v>22</v>
      </c>
      <c r="LP3" s="6" t="s">
        <v>20</v>
      </c>
      <c r="LQ3" s="5">
        <f>IF(OR(ISNUMBER(LM3), ISNUMBER(LO3)), IF(ISNUMBER(LM3), LM3, 0) + IF(ISNUMBER(LO3), LO3, 0), "")</f>
        <v>22</v>
      </c>
      <c r="LR3" s="3"/>
      <c r="LS3" s="7">
        <f t="shared" ref="LS3:LS7" si="31">IF(ISNUMBER(LQ3), (LG3 + (LH3 * 24)) - LQ3, "")</f>
        <v>2</v>
      </c>
      <c r="LT3" s="5">
        <v>4</v>
      </c>
      <c r="LU3" s="7">
        <f>IF(ISNUMBER(LT3), LT3-LS3, "")</f>
        <v>2</v>
      </c>
      <c r="LW3" s="24">
        <v>0</v>
      </c>
      <c r="LX3" s="6" t="s">
        <v>20</v>
      </c>
      <c r="LY3" s="24">
        <v>21</v>
      </c>
      <c r="LZ3" s="6" t="s">
        <v>20</v>
      </c>
      <c r="MA3" s="5">
        <f>IF(OR(ISNUMBER(LW3), ISNUMBER(LY3)), IF(ISNUMBER(LW3), LW3, 0) + IF(ISNUMBER(LY3), LY3, 0), "")</f>
        <v>21</v>
      </c>
      <c r="MB3" s="3"/>
      <c r="MC3" s="7">
        <f t="shared" ref="MC3:MC7" si="32">IF(ISNUMBER(MA3), (LQ3 + (LR3 * 24)) - MA3, "")</f>
        <v>1</v>
      </c>
      <c r="MD3" s="5">
        <v>1</v>
      </c>
      <c r="ME3" s="7">
        <f>IF(ISNUMBER(MD3), MD3-MC3, "")</f>
        <v>0</v>
      </c>
      <c r="MG3" s="24">
        <v>0</v>
      </c>
      <c r="MH3" s="6" t="s">
        <v>20</v>
      </c>
      <c r="MI3" s="24">
        <v>17</v>
      </c>
      <c r="MJ3" s="6" t="s">
        <v>20</v>
      </c>
      <c r="MK3" s="5">
        <f>IF(OR(ISNUMBER(MG3), ISNUMBER(MI3)), IF(ISNUMBER(MG3), MG3, 0) + IF(ISNUMBER(MI3), MI3, 0), "")</f>
        <v>17</v>
      </c>
      <c r="ML3" s="3">
        <v>1</v>
      </c>
      <c r="MM3" s="7">
        <f t="shared" ref="MM3:MM7" si="33">IF(ISNUMBER(MK3), (MA3 + (MB3 * 24)) - MK3, "")</f>
        <v>4</v>
      </c>
      <c r="MN3" s="5">
        <v>4</v>
      </c>
      <c r="MO3" s="7">
        <f>IF(ISNUMBER(MN3), MN3-MM3, "")</f>
        <v>0</v>
      </c>
      <c r="MQ3" s="2">
        <v>24</v>
      </c>
      <c r="MR3" s="6" t="s">
        <v>20</v>
      </c>
      <c r="MS3" s="2">
        <v>11</v>
      </c>
      <c r="MT3" s="6" t="s">
        <v>20</v>
      </c>
      <c r="MU3" s="5">
        <f>IF(OR(ISNUMBER(MQ3), ISNUMBER(MS3)), IF(ISNUMBER(MQ3), MQ3, 0) + IF(ISNUMBER(MS3), MS3, 0), "")</f>
        <v>35</v>
      </c>
      <c r="MV3" s="3"/>
      <c r="MW3" s="7">
        <f t="shared" ref="MW3:MW7" si="34">IF(ISNUMBER(MU3), (MK3 + (ML3 * 24)) - MU3, "")</f>
        <v>6</v>
      </c>
      <c r="MX3" s="5">
        <v>6</v>
      </c>
      <c r="MY3" s="7">
        <f>IF(ISNUMBER(MX3), MX3-MW3, "")</f>
        <v>0</v>
      </c>
      <c r="NA3" s="24">
        <v>24</v>
      </c>
      <c r="NB3" s="6" t="s">
        <v>20</v>
      </c>
      <c r="NC3" s="24">
        <v>10</v>
      </c>
      <c r="ND3" s="6" t="s">
        <v>20</v>
      </c>
      <c r="NE3" s="5">
        <f>IF(OR(ISNUMBER(NA3), ISNUMBER(NC3)), IF(ISNUMBER(NA3), NA3, 0) + IF(ISNUMBER(NC3), NC3, 0), "")</f>
        <v>34</v>
      </c>
      <c r="NF3" s="3">
        <v>1</v>
      </c>
      <c r="NG3" s="7">
        <f t="shared" ref="NG3:NG7" si="35">IF(ISNUMBER(NE3), (MU3 + (MV3 * 24)) - NE3, "")</f>
        <v>1</v>
      </c>
      <c r="NH3" s="5">
        <v>3</v>
      </c>
      <c r="NI3" s="7">
        <f>IF(ISNUMBER(NH3), NH3-NG3, "")</f>
        <v>2</v>
      </c>
      <c r="NK3" s="24">
        <v>48</v>
      </c>
      <c r="NL3" s="6" t="s">
        <v>20</v>
      </c>
      <c r="NM3" s="24">
        <v>7</v>
      </c>
      <c r="NN3" s="6" t="s">
        <v>20</v>
      </c>
      <c r="NO3" s="5">
        <f>IF(OR(ISNUMBER(NK3), ISNUMBER(NM3)), IF(ISNUMBER(NK3), NK3, 0) + IF(ISNUMBER(NM3), NM3, 0), "")</f>
        <v>55</v>
      </c>
      <c r="NP3" s="3"/>
      <c r="NQ3" s="7">
        <f t="shared" ref="NQ3:NQ7" si="36">IF(ISNUMBER(NO3), (NE3 + (NF3 * 24)) - NO3, "")</f>
        <v>3</v>
      </c>
      <c r="NR3" s="5">
        <v>3</v>
      </c>
      <c r="NS3" s="7">
        <f>IF(ISNUMBER(NR3), NR3-NQ3, "")</f>
        <v>0</v>
      </c>
      <c r="NU3" s="24">
        <v>24</v>
      </c>
      <c r="NV3" s="6" t="s">
        <v>20</v>
      </c>
      <c r="NW3" s="24">
        <v>17</v>
      </c>
      <c r="NX3" s="6" t="s">
        <v>20</v>
      </c>
      <c r="NY3" s="5">
        <f>IF(OR(ISNUMBER(NU3), ISNUMBER(NW3)), IF(ISNUMBER(NU3), NU3, 0) + IF(ISNUMBER(NW3), NW3, 0), "")</f>
        <v>41</v>
      </c>
      <c r="NZ3" s="3"/>
      <c r="OA3" s="7">
        <f t="shared" ref="OA3:OA7" si="37">IF(ISNUMBER(NY3), (NO3 + (NP3 * 24)) - NY3, "")</f>
        <v>14</v>
      </c>
      <c r="OB3" s="5">
        <v>6</v>
      </c>
      <c r="OC3" s="7">
        <f>IF(ISNUMBER(OB3), OB3-OA3, "")</f>
        <v>-8</v>
      </c>
      <c r="OE3" s="2">
        <v>32</v>
      </c>
      <c r="OF3" s="6" t="s">
        <v>20</v>
      </c>
      <c r="OG3" s="2">
        <v>11</v>
      </c>
      <c r="OH3" s="6" t="s">
        <v>20</v>
      </c>
      <c r="OI3" s="5">
        <f>IF(OR(ISNUMBER(OE3), ISNUMBER(OG3)), IF(ISNUMBER(OE3), OE3, 0) + IF(ISNUMBER(OG3), OG3, 0), "")</f>
        <v>43</v>
      </c>
      <c r="OJ3" s="3"/>
      <c r="OK3" s="7">
        <f t="shared" ref="OK3:OK7" si="38">IF(ISNUMBER(OI3), (NY3 + (NZ3 * 24)) - OI3, "")</f>
        <v>-2</v>
      </c>
      <c r="OL3" s="5">
        <v>6</v>
      </c>
      <c r="OM3" s="7">
        <f>IF(ISNUMBER(OL3), OL3-OK3, "")</f>
        <v>8</v>
      </c>
      <c r="OO3" s="24">
        <v>24</v>
      </c>
      <c r="OP3" s="6" t="s">
        <v>20</v>
      </c>
      <c r="OQ3" s="24">
        <v>15</v>
      </c>
      <c r="OR3" s="6" t="s">
        <v>20</v>
      </c>
      <c r="OS3" s="5">
        <f>IF(OR(ISNUMBER(OO3), ISNUMBER(OQ3)), IF(ISNUMBER(OO3), OO3, 0) + IF(ISNUMBER(OQ3), OQ3, 0), "")</f>
        <v>39</v>
      </c>
      <c r="OT3" s="3">
        <v>-0.5</v>
      </c>
      <c r="OU3" s="7">
        <f t="shared" ref="OU3:OU7" si="39">IF(ISNUMBER(OS3), (OI3 + (OJ3 * 24)) - OS3, "")</f>
        <v>4</v>
      </c>
      <c r="OV3" s="5">
        <v>4</v>
      </c>
      <c r="OW3" s="7">
        <f>IF(ISNUMBER(OV3), OV3-OU3, "")</f>
        <v>0</v>
      </c>
      <c r="OY3" s="24">
        <v>12</v>
      </c>
      <c r="OZ3" s="6" t="s">
        <v>20</v>
      </c>
      <c r="PA3" s="24">
        <v>13</v>
      </c>
      <c r="PB3" s="6" t="s">
        <v>20</v>
      </c>
      <c r="PC3" s="5">
        <f>IF(OR(ISNUMBER(OY3), ISNUMBER(PA3)), IF(ISNUMBER(OY3), OY3, 0) + IF(ISNUMBER(PA3), PA3, 0), "")</f>
        <v>25</v>
      </c>
      <c r="PD3" s="3"/>
      <c r="PE3" s="7">
        <f t="shared" ref="PE3:PE7" si="40">IF(ISNUMBER(PC3), (OS3 + (OT3 * 24)) - PC3, "")</f>
        <v>2</v>
      </c>
      <c r="PF3" s="5">
        <v>2</v>
      </c>
      <c r="PG3" s="7">
        <f>IF(ISNUMBER(PF3), PF3-PE3, "")</f>
        <v>0</v>
      </c>
      <c r="PI3" s="24">
        <v>12</v>
      </c>
      <c r="PJ3" s="6" t="s">
        <v>20</v>
      </c>
      <c r="PK3" s="24">
        <v>10</v>
      </c>
      <c r="PL3" s="6" t="s">
        <v>20</v>
      </c>
      <c r="PM3" s="5">
        <f>IF(OR(ISNUMBER(PI3), ISNUMBER(PK3)), IF(ISNUMBER(PI3), PI3, 0) + IF(ISNUMBER(PK3), PK3, 0), "")</f>
        <v>22</v>
      </c>
      <c r="PN3" s="3"/>
      <c r="PO3" s="7">
        <f t="shared" ref="PO3:PO7" si="41">IF(ISNUMBER(PM3), (PC3 + (PD3 * 24)) - PM3, "")</f>
        <v>3</v>
      </c>
      <c r="PP3" s="5">
        <v>3</v>
      </c>
      <c r="PQ3" s="7">
        <f>IF(ISNUMBER(PP3), PP3-PO3, "")</f>
        <v>0</v>
      </c>
      <c r="PS3" s="2">
        <v>0</v>
      </c>
      <c r="PT3" s="6" t="s">
        <v>20</v>
      </c>
      <c r="PU3" s="2">
        <v>20</v>
      </c>
      <c r="PV3" s="6" t="s">
        <v>20</v>
      </c>
      <c r="PW3" s="5">
        <f>IF(OR(ISNUMBER(PS3), ISNUMBER(PU3)), IF(ISNUMBER(PS3), PS3, 0) + IF(ISNUMBER(PU3), PU3, 0), "")</f>
        <v>20</v>
      </c>
      <c r="PX3" s="3"/>
      <c r="PY3" s="7">
        <f t="shared" ref="PY3:PY7" si="42">IF(ISNUMBER(PW3), (PM3 + (PN3 * 24)) - PW3, "")</f>
        <v>2</v>
      </c>
      <c r="PZ3" s="5">
        <v>2</v>
      </c>
      <c r="QA3" s="7">
        <f>IF(ISNUMBER(PZ3), PZ3-PY3, "")</f>
        <v>0</v>
      </c>
      <c r="QC3" s="24">
        <v>0</v>
      </c>
      <c r="QD3" s="6" t="s">
        <v>20</v>
      </c>
      <c r="QE3" s="24">
        <v>18</v>
      </c>
      <c r="QF3" s="6" t="s">
        <v>20</v>
      </c>
      <c r="QG3" s="5">
        <f>IF(OR(ISNUMBER(QC3), ISNUMBER(QE3)), IF(ISNUMBER(QC3), QC3, 0) + IF(ISNUMBER(QE3), QE3, 0), "")</f>
        <v>18</v>
      </c>
      <c r="QH3" s="3">
        <v>1</v>
      </c>
      <c r="QI3" s="7">
        <f t="shared" ref="QI3:QI7" si="43">IF(ISNUMBER(QG3), (PW3 + (PX3 * 24)) - QG3, "")</f>
        <v>2</v>
      </c>
      <c r="QJ3" s="5">
        <v>2</v>
      </c>
      <c r="QK3" s="7">
        <f>IF(ISNUMBER(QJ3), QJ3-QI3, "")</f>
        <v>0</v>
      </c>
      <c r="QM3" s="24">
        <v>24</v>
      </c>
      <c r="QN3" s="6" t="s">
        <v>20</v>
      </c>
      <c r="QO3" s="24">
        <v>9</v>
      </c>
      <c r="QP3" s="6" t="s">
        <v>20</v>
      </c>
      <c r="QQ3" s="5">
        <f>IF(OR(ISNUMBER(QM3), ISNUMBER(QO3)), IF(ISNUMBER(QM3), QM3, 0) + IF(ISNUMBER(QO3), QO3, 0), "")</f>
        <v>33</v>
      </c>
      <c r="QR3" s="3"/>
      <c r="QS3" s="7">
        <f t="shared" ref="QS3:QS7" si="44">IF(ISNUMBER(QQ3), (QG3 + (QH3 * 24)) - QQ3, "")</f>
        <v>9</v>
      </c>
      <c r="QT3" s="5">
        <v>9</v>
      </c>
      <c r="QU3" s="7">
        <f>IF(ISNUMBER(QT3), QT3-QS3, "")</f>
        <v>0</v>
      </c>
      <c r="QW3" s="24">
        <v>24</v>
      </c>
      <c r="QX3" s="6" t="s">
        <v>20</v>
      </c>
      <c r="QY3" s="24">
        <v>6</v>
      </c>
      <c r="QZ3" s="6" t="s">
        <v>20</v>
      </c>
      <c r="RA3" s="5">
        <f>IF(OR(ISNUMBER(QW3), ISNUMBER(QY3)), IF(ISNUMBER(QW3), QW3, 0) + IF(ISNUMBER(QY3), QY3, 0), "")</f>
        <v>30</v>
      </c>
      <c r="RB3" s="3"/>
      <c r="RC3" s="7">
        <f t="shared" ref="RC3:RC7" si="45">IF(ISNUMBER(RA3), (QQ3 + (QR3 * 24)) - RA3, "")</f>
        <v>3</v>
      </c>
      <c r="RD3" s="5">
        <v>3</v>
      </c>
      <c r="RE3" s="7">
        <f>IF(ISNUMBER(RD3), RD3-RC3, "")</f>
        <v>0</v>
      </c>
      <c r="RG3" s="24">
        <v>24</v>
      </c>
      <c r="RH3" s="6" t="s">
        <v>20</v>
      </c>
      <c r="RI3" s="24">
        <v>2</v>
      </c>
      <c r="RJ3" s="6" t="s">
        <v>20</v>
      </c>
      <c r="RK3" s="5">
        <f>IF(OR(ISNUMBER(RG3), ISNUMBER(RI3)), IF(ISNUMBER(RG3), RG3, 0) + IF(ISNUMBER(RI3), RI3, 0), "")</f>
        <v>26</v>
      </c>
      <c r="RL3" s="3"/>
      <c r="RM3" s="7">
        <f t="shared" ref="RM3:RM7" si="46">IF(ISNUMBER(RK3), (RA3 + (RB3 * 24)) - RK3, "")</f>
        <v>4</v>
      </c>
      <c r="RN3" s="5">
        <v>4</v>
      </c>
      <c r="RO3" s="7">
        <f>IF(ISNUMBER(RN3), RN3-RM3, "")</f>
        <v>0</v>
      </c>
      <c r="RQ3" s="24">
        <v>0</v>
      </c>
      <c r="RR3" s="6" t="s">
        <v>20</v>
      </c>
      <c r="RS3" s="24">
        <v>22</v>
      </c>
      <c r="RT3" s="6" t="s">
        <v>20</v>
      </c>
      <c r="RU3" s="5">
        <f>IF(OR(ISNUMBER(RQ3), ISNUMBER(RS3)), IF(ISNUMBER(RQ3), RQ3, 0) + IF(ISNUMBER(RS3), RS3, 0), "")</f>
        <v>22</v>
      </c>
      <c r="RV3" s="3"/>
      <c r="RW3" s="7">
        <f t="shared" ref="RW3:RW7" si="47">IF(ISNUMBER(RU3), (RK3 + (RL3 * 24)) - RU3, "")</f>
        <v>4</v>
      </c>
      <c r="RX3" s="5">
        <v>4</v>
      </c>
      <c r="RY3" s="7">
        <f>IF(ISNUMBER(RX3), RX3-RW3, "")</f>
        <v>0</v>
      </c>
      <c r="SA3" s="2">
        <v>0</v>
      </c>
      <c r="SB3" s="6" t="s">
        <v>20</v>
      </c>
      <c r="SC3" s="2">
        <v>21</v>
      </c>
      <c r="SD3" s="6" t="s">
        <v>20</v>
      </c>
      <c r="SE3" s="5">
        <f>IF(OR(ISNUMBER(SA3), ISNUMBER(SC3)), IF(ISNUMBER(SA3), SA3, 0) + IF(ISNUMBER(SC3), SC3, 0), "")</f>
        <v>21</v>
      </c>
      <c r="SF3" s="3"/>
      <c r="SG3" s="7">
        <f t="shared" ref="SG3:SG7" si="48">IF(ISNUMBER(SE3), (RU3 + (RV3 * 24)) - SE3, "")</f>
        <v>1</v>
      </c>
      <c r="SH3" s="5">
        <v>3</v>
      </c>
      <c r="SI3" s="7">
        <f>IF(ISNUMBER(SH3), SH3-SG3, "")</f>
        <v>2</v>
      </c>
      <c r="SK3" s="24">
        <v>0</v>
      </c>
      <c r="SL3" s="6" t="s">
        <v>20</v>
      </c>
      <c r="SM3" s="24">
        <v>15</v>
      </c>
      <c r="SN3" s="6" t="s">
        <v>20</v>
      </c>
      <c r="SO3" s="5">
        <f>IF(OR(ISNUMBER(SK3), ISNUMBER(SM3)), IF(ISNUMBER(SK3), SK3, 0) + IF(ISNUMBER(SM3), SM3, 0), "")</f>
        <v>15</v>
      </c>
      <c r="SP3" s="3">
        <v>1</v>
      </c>
      <c r="SQ3" s="7">
        <f t="shared" ref="SQ3:SQ7" si="49">IF(ISNUMBER(SO3), (SE3 + (SF3 * 24)) - SO3, "")</f>
        <v>6</v>
      </c>
      <c r="SR3" s="5">
        <v>4</v>
      </c>
      <c r="SS3" s="7">
        <f>IF(ISNUMBER(SR3), SR3-SQ3, "")</f>
        <v>-2</v>
      </c>
      <c r="SU3" s="24">
        <v>10</v>
      </c>
      <c r="SV3" s="6" t="s">
        <v>20</v>
      </c>
      <c r="SW3" s="24">
        <v>19</v>
      </c>
      <c r="SX3" s="6" t="s">
        <v>20</v>
      </c>
      <c r="SY3" s="36">
        <f>IF(OR(ISNUMBER(SU3), ISNUMBER(SW3)), IF(ISNUMBER(SU3), SU3, 0) + IF(ISNUMBER(SW3), SW3, 0), "")</f>
        <v>29</v>
      </c>
      <c r="SZ3" s="3"/>
      <c r="TA3" s="7">
        <f t="shared" ref="TA3:TA7" si="50">IF(ISNUMBER(SY3), (SO3 + (SP3 * 24)) - SY3, "")</f>
        <v>10</v>
      </c>
      <c r="TB3" s="5">
        <v>9</v>
      </c>
      <c r="TC3" s="7">
        <f>IF(ISNUMBER(TB3), TB3-TA3, "")</f>
        <v>-1</v>
      </c>
      <c r="TE3" s="24">
        <v>9</v>
      </c>
      <c r="TF3" s="6" t="s">
        <v>20</v>
      </c>
      <c r="TG3" s="24">
        <v>17</v>
      </c>
      <c r="TH3" s="6" t="s">
        <v>20</v>
      </c>
      <c r="TI3" s="5">
        <f>IF(OR(ISNUMBER(TE3), ISNUMBER(TG3)), IF(ISNUMBER(TE3), TE3, 0) + IF(ISNUMBER(TG3), TG3, 0), "")</f>
        <v>26</v>
      </c>
      <c r="TJ3" s="3"/>
      <c r="TK3" s="7">
        <f t="shared" ref="TK3:TK7" si="51">IF(ISNUMBER(TI3), (SY3 + (SZ3 * 24)) - TI3, "")</f>
        <v>3</v>
      </c>
      <c r="TL3" s="5">
        <v>2</v>
      </c>
      <c r="TM3" s="7">
        <f>IF(ISNUMBER(TL3), TL3-TK3, "")</f>
        <v>-1</v>
      </c>
      <c r="TO3" s="24">
        <v>9</v>
      </c>
      <c r="TP3" s="6" t="s">
        <v>20</v>
      </c>
      <c r="TQ3" s="24">
        <v>12</v>
      </c>
      <c r="TR3" s="6" t="s">
        <v>20</v>
      </c>
      <c r="TS3" s="5">
        <f>IF(OR(ISNUMBER(TO3), ISNUMBER(TQ3)), IF(ISNUMBER(TO3), TO3, 0) + IF(ISNUMBER(TQ3), TQ3, 0), "")</f>
        <v>21</v>
      </c>
      <c r="TT3" s="3"/>
      <c r="TU3" s="7">
        <f t="shared" ref="TU3:TU7" si="52">IF(ISNUMBER(TS3), (TI3 + (TJ3 * 24)) - TS3, "")</f>
        <v>5</v>
      </c>
      <c r="TV3" s="5">
        <v>5</v>
      </c>
      <c r="TW3" s="7">
        <f>IF(ISNUMBER(TV3), TV3-TU3, "")</f>
        <v>0</v>
      </c>
      <c r="TY3" s="24">
        <v>9</v>
      </c>
      <c r="TZ3" s="6" t="s">
        <v>20</v>
      </c>
      <c r="UA3" s="24">
        <v>10</v>
      </c>
      <c r="UB3" s="6" t="s">
        <v>20</v>
      </c>
      <c r="UC3" s="5">
        <f>IF(OR(ISNUMBER(TY3), ISNUMBER(UA3)), IF(ISNUMBER(TY3), TY3, 0) + IF(ISNUMBER(UA3), UA3, 0), "")</f>
        <v>19</v>
      </c>
      <c r="UD3" s="3">
        <v>1</v>
      </c>
      <c r="UE3" s="7">
        <f t="shared" ref="UE3:UE7" si="53">IF(ISNUMBER(UC3), (TS3 + (TT3 * 24)) - UC3, "")</f>
        <v>2</v>
      </c>
      <c r="UF3" s="5">
        <v>1</v>
      </c>
      <c r="UG3" s="7">
        <f>IF(ISNUMBER(UF3), UF3-UE3, "")</f>
        <v>-1</v>
      </c>
      <c r="UI3" s="2">
        <v>24</v>
      </c>
      <c r="UJ3" s="6" t="s">
        <v>20</v>
      </c>
      <c r="UK3" s="2">
        <v>14</v>
      </c>
      <c r="UL3" s="6" t="s">
        <v>20</v>
      </c>
      <c r="UM3" s="5">
        <f>IF(OR(ISNUMBER(UI3), ISNUMBER(UK3)), IF(ISNUMBER(UI3), UI3, 0) + IF(ISNUMBER(UK3), UK3, 0), "")</f>
        <v>38</v>
      </c>
      <c r="UN3" s="3"/>
      <c r="UO3" s="7">
        <f t="shared" ref="UO3:UO7" si="54">IF(ISNUMBER(UM3), (UC3 + (UD3 * 24)) - UM3, "")</f>
        <v>5</v>
      </c>
      <c r="UP3" s="5">
        <v>6</v>
      </c>
      <c r="UQ3" s="7">
        <f>IF(ISNUMBER(UP3), UP3-UO3, "")</f>
        <v>1</v>
      </c>
      <c r="US3" s="24">
        <v>24</v>
      </c>
      <c r="UT3" s="6" t="s">
        <v>20</v>
      </c>
      <c r="UU3" s="24">
        <v>14</v>
      </c>
      <c r="UV3" s="6" t="s">
        <v>20</v>
      </c>
      <c r="UW3" s="5">
        <f>IF(OR(ISNUMBER(US3), ISNUMBER(UU3)), IF(ISNUMBER(US3), US3, 0) + IF(ISNUMBER(UU3), UU3, 0), "")</f>
        <v>38</v>
      </c>
      <c r="UX3" s="3">
        <v>2</v>
      </c>
      <c r="UY3" s="7">
        <f t="shared" ref="UY3:UY7" si="55">IF(ISNUMBER(UW3), (UM3 + (UN3 * 24)) - UW3, "")</f>
        <v>0</v>
      </c>
      <c r="UZ3" s="5"/>
      <c r="VA3" s="7" t="str">
        <f>IF(ISNUMBER(UZ3), UZ3-UY3, "")</f>
        <v/>
      </c>
      <c r="VC3" s="2">
        <v>72</v>
      </c>
      <c r="VD3" s="6" t="s">
        <v>20</v>
      </c>
      <c r="VE3" s="2">
        <v>10</v>
      </c>
      <c r="VF3" s="6" t="s">
        <v>20</v>
      </c>
      <c r="VG3" s="5">
        <f>IF(OR(ISNUMBER(VC3), ISNUMBER(VE3)), IF(ISNUMBER(VC3), VC3, 0) + IF(ISNUMBER(VE3), VE3, 0), "")</f>
        <v>82</v>
      </c>
      <c r="VH3" s="3"/>
      <c r="VI3" s="7">
        <f t="shared" ref="VI3:VI7" si="56">IF(ISNUMBER(VG3), (UW3 + (UX3 * 24)) - VG3, "")</f>
        <v>4</v>
      </c>
      <c r="VJ3" s="5">
        <v>4</v>
      </c>
      <c r="VK3" s="7">
        <f>IF(ISNUMBER(VJ3), VJ3-VI3, "")</f>
        <v>0</v>
      </c>
      <c r="VM3" s="24">
        <v>72</v>
      </c>
      <c r="VN3" s="6" t="s">
        <v>20</v>
      </c>
      <c r="VO3" s="24">
        <v>6</v>
      </c>
      <c r="VP3" s="6" t="s">
        <v>20</v>
      </c>
      <c r="VQ3" s="5">
        <f>IF(OR(ISNUMBER(VM3), ISNUMBER(VO3)), IF(ISNUMBER(VM3), VM3, 0) + IF(ISNUMBER(VO3), VO3, 0), "")</f>
        <v>78</v>
      </c>
      <c r="VR3" s="3"/>
      <c r="VS3" s="7">
        <f t="shared" ref="VS3:VS7" si="57">IF(ISNUMBER(VQ3), (VG3 + (VH3 * 24)) - VQ3, "")</f>
        <v>4</v>
      </c>
      <c r="VT3" s="5">
        <v>3</v>
      </c>
      <c r="VU3" s="7">
        <f>IF(ISNUMBER(VT3), VT3-VS3, "")</f>
        <v>-1</v>
      </c>
      <c r="VW3" s="2">
        <v>48</v>
      </c>
      <c r="VX3" s="6" t="s">
        <v>20</v>
      </c>
      <c r="VY3" s="2">
        <v>23</v>
      </c>
      <c r="VZ3" s="6" t="s">
        <v>20</v>
      </c>
      <c r="WA3" s="5">
        <f>IF(OR(ISNUMBER(VW3), ISNUMBER(VY3)), IF(ISNUMBER(VW3), VW3, 0) + IF(ISNUMBER(VY3), VY3, 0), "")</f>
        <v>71</v>
      </c>
      <c r="WB3" s="3"/>
      <c r="WC3" s="7">
        <f t="shared" ref="WC3:WC7" si="58">IF(ISNUMBER(WA3), (VQ3 + (VR3 * 24)) - WA3, "")</f>
        <v>7</v>
      </c>
      <c r="WD3" s="5">
        <v>6</v>
      </c>
      <c r="WE3" s="7">
        <f>IF(ISNUMBER(WD3), WD3-WC3, "")</f>
        <v>-1</v>
      </c>
      <c r="WG3" s="2">
        <v>50</v>
      </c>
      <c r="WH3" s="6" t="s">
        <v>20</v>
      </c>
      <c r="WI3" s="2">
        <v>22</v>
      </c>
      <c r="WJ3" s="6" t="s">
        <v>20</v>
      </c>
      <c r="WK3" s="5">
        <f>IF(OR(ISNUMBER(WG3), ISNUMBER(WI3)), IF(ISNUMBER(WG3), WG3, 0) + IF(ISNUMBER(WI3), WI3, 0), "")</f>
        <v>72</v>
      </c>
      <c r="WL3" s="3">
        <v>-2</v>
      </c>
      <c r="WM3" s="7">
        <f t="shared" ref="WM3:WM7" si="59">IF(ISNUMBER(WK3), (WA3 + (WB3 * 24)) - WK3, "")</f>
        <v>-1</v>
      </c>
      <c r="WN3" s="5">
        <v>3</v>
      </c>
      <c r="WO3" s="7">
        <f>IF(ISNUMBER(WN3), WN3-WM3, "")</f>
        <v>4</v>
      </c>
      <c r="WQ3" s="2">
        <v>0</v>
      </c>
      <c r="WR3" s="6" t="s">
        <v>20</v>
      </c>
      <c r="WS3" s="2">
        <v>19</v>
      </c>
      <c r="WT3" s="6" t="s">
        <v>20</v>
      </c>
      <c r="WU3" s="5">
        <f>IF(OR(ISNUMBER(WQ3), ISNUMBER(WS3)), IF(ISNUMBER(WQ3), WQ3, 0) + IF(ISNUMBER(WS3), WS3, 0), "")</f>
        <v>19</v>
      </c>
      <c r="WV3" s="3"/>
      <c r="WW3" s="7">
        <f t="shared" ref="WW3:WW7" si="60">IF(ISNUMBER(WU3), (WK3 + (WL3 * 24)) - WU3, "")</f>
        <v>5</v>
      </c>
      <c r="WX3" s="5">
        <v>1</v>
      </c>
      <c r="WY3" s="7">
        <f>IF(ISNUMBER(WX3), WX3-WW3, "")</f>
        <v>-4</v>
      </c>
      <c r="XA3" s="24">
        <v>0</v>
      </c>
      <c r="XB3" s="6" t="s">
        <v>20</v>
      </c>
      <c r="XC3" s="24">
        <v>17</v>
      </c>
      <c r="XD3" s="6" t="s">
        <v>20</v>
      </c>
      <c r="XE3" s="5">
        <f>IF(OR(ISNUMBER(XA3), ISNUMBER(XC3)), IF(ISNUMBER(XA3), XA3, 0) + IF(ISNUMBER(XC3), XC3, 0), "")</f>
        <v>17</v>
      </c>
      <c r="XF3" s="3"/>
      <c r="XG3" s="7">
        <f t="shared" ref="XG3:XG7" si="61">IF(ISNUMBER(XE3), (WU3 + (WV3 * 24)) - XE3, "")</f>
        <v>2</v>
      </c>
      <c r="XH3" s="5">
        <v>2</v>
      </c>
      <c r="XI3" s="7">
        <f>IF(ISNUMBER(XH3), XH3-XG3, "")</f>
        <v>0</v>
      </c>
      <c r="XK3" s="24"/>
      <c r="XL3" s="6" t="s">
        <v>20</v>
      </c>
      <c r="XM3" s="24">
        <v>12</v>
      </c>
      <c r="XN3" s="6" t="s">
        <v>20</v>
      </c>
      <c r="XO3" s="5">
        <f>IF(OR(ISNUMBER(XK3), ISNUMBER(XM3)), IF(ISNUMBER(XK3), XK3, 0) + IF(ISNUMBER(XM3), XM3, 0), "")</f>
        <v>12</v>
      </c>
      <c r="XP3" s="3"/>
      <c r="XQ3" s="7">
        <f t="shared" ref="XQ3:XQ7" si="62">IF(ISNUMBER(XO3), (XE3 + (XF3 * 24)) - XO3, "")</f>
        <v>5</v>
      </c>
      <c r="XR3" s="5">
        <v>5</v>
      </c>
      <c r="XS3" s="7">
        <f>IF(ISNUMBER(XR3), XR3-XQ3, "")</f>
        <v>0</v>
      </c>
      <c r="XU3" s="24"/>
      <c r="XV3" s="6" t="s">
        <v>20</v>
      </c>
      <c r="XW3" s="24">
        <v>7</v>
      </c>
      <c r="XX3" s="6" t="s">
        <v>20</v>
      </c>
      <c r="XY3" s="5">
        <f>IF(OR(ISNUMBER(XU3), ISNUMBER(XW3)), IF(ISNUMBER(XU3), XU3, 0) + IF(ISNUMBER(XW3), XW3, 0), "")</f>
        <v>7</v>
      </c>
      <c r="XZ3" s="3">
        <v>1</v>
      </c>
      <c r="YA3" s="7">
        <f t="shared" ref="YA3:YA7" si="63">IF(ISNUMBER(XY3), (XO3 + (XP3 * 24)) - XY3, "")</f>
        <v>5</v>
      </c>
      <c r="YB3" s="5">
        <v>3</v>
      </c>
      <c r="YC3" s="7">
        <f>IF(ISNUMBER(YB3), YB3-YA3, "")</f>
        <v>-2</v>
      </c>
      <c r="YE3" s="24">
        <v>24</v>
      </c>
      <c r="YF3" s="6" t="s">
        <v>20</v>
      </c>
      <c r="YG3" s="24">
        <v>7</v>
      </c>
      <c r="YH3" s="6" t="s">
        <v>20</v>
      </c>
      <c r="YI3" s="5">
        <f>IF(OR(ISNUMBER(YE3), ISNUMBER(YG3)), IF(ISNUMBER(YE3), YE3, 0) + IF(ISNUMBER(YG3), YG3, 0), "")</f>
        <v>31</v>
      </c>
      <c r="YJ3" s="3"/>
      <c r="YK3" s="7">
        <f t="shared" ref="YK3:YK7" si="64">IF(ISNUMBER(YI3), (XY3 + (XZ3 * 24)) - YI3, "")</f>
        <v>0</v>
      </c>
      <c r="YL3" s="5"/>
      <c r="YM3" s="7" t="str">
        <f>IF(ISNUMBER(YL3), YL3-YK3, "")</f>
        <v/>
      </c>
      <c r="YO3" s="24"/>
      <c r="YP3" s="6" t="s">
        <v>20</v>
      </c>
      <c r="YQ3" s="24">
        <v>4</v>
      </c>
      <c r="YR3" s="6" t="s">
        <v>20</v>
      </c>
      <c r="YS3" s="5">
        <f>IF(OR(ISNUMBER(YO3), ISNUMBER(YQ3)), IF(ISNUMBER(YO3), YO3, 0) + IF(ISNUMBER(YQ3), YQ3, 0), "")</f>
        <v>4</v>
      </c>
      <c r="YT3" s="3">
        <v>2</v>
      </c>
      <c r="YU3" s="7">
        <f t="shared" ref="YU3:YU7" si="65">IF(ISNUMBER(YS3), (YI3 + (YJ3 * 24)) - YS3, "")</f>
        <v>27</v>
      </c>
      <c r="YV3" s="5">
        <v>27</v>
      </c>
      <c r="YW3" s="7">
        <f>IF(ISNUMBER(YV3), YV3-YU3, "")</f>
        <v>0</v>
      </c>
      <c r="YY3" s="24">
        <v>42</v>
      </c>
      <c r="YZ3" s="6" t="s">
        <v>20</v>
      </c>
      <c r="ZA3" s="24">
        <v>8</v>
      </c>
      <c r="ZB3" s="6" t="s">
        <v>20</v>
      </c>
      <c r="ZC3" s="5">
        <f>IF(OR(ISNUMBER(YY3), ISNUMBER(ZA3)), IF(ISNUMBER(YY3), YY3, 0) + IF(ISNUMBER(ZA3), ZA3, 0), "")</f>
        <v>50</v>
      </c>
      <c r="ZD3" s="3"/>
      <c r="ZE3" s="7">
        <f t="shared" ref="ZE3:ZE7" si="66">IF(ISNUMBER(ZC3), (YS3 + (YT3 * 24)) - ZC3, "")</f>
        <v>2</v>
      </c>
      <c r="ZF3" s="5">
        <v>2</v>
      </c>
      <c r="ZG3" s="7">
        <f>IF(ISNUMBER(ZF3), ZF3-ZE3, "")</f>
        <v>0</v>
      </c>
      <c r="ZI3" s="24">
        <v>41</v>
      </c>
      <c r="ZJ3" s="6" t="s">
        <v>20</v>
      </c>
      <c r="ZK3" s="24">
        <v>6</v>
      </c>
      <c r="ZL3" s="6" t="s">
        <v>20</v>
      </c>
      <c r="ZM3" s="5">
        <f>IF(OR(ISNUMBER(ZI3), ISNUMBER(ZK3)), IF(ISNUMBER(ZI3), ZI3, 0) + IF(ISNUMBER(ZK3), ZK3, 0), "")</f>
        <v>47</v>
      </c>
      <c r="ZN3" s="3"/>
      <c r="ZO3" s="7">
        <f t="shared" ref="ZO3:ZO7" si="67">IF(ISNUMBER(ZM3), (ZC3 + (ZD3 * 24)) - ZM3, "")</f>
        <v>3</v>
      </c>
      <c r="ZP3" s="5">
        <v>3</v>
      </c>
      <c r="ZQ3" s="7">
        <f>IF(ISNUMBER(ZP3), ZP3-ZO3, "")</f>
        <v>0</v>
      </c>
      <c r="ZS3" s="24">
        <v>36</v>
      </c>
      <c r="ZT3" s="6" t="s">
        <v>20</v>
      </c>
      <c r="ZU3" s="24">
        <v>9</v>
      </c>
      <c r="ZV3" s="6" t="s">
        <v>20</v>
      </c>
      <c r="ZW3" s="5">
        <f>IF(OR(ISNUMBER(ZS3), ISNUMBER(ZU3)), IF(ISNUMBER(ZS3), ZS3, 0) + IF(ISNUMBER(ZU3), ZU3, 0), "")</f>
        <v>45</v>
      </c>
      <c r="ZX3" s="3"/>
      <c r="ZY3" s="7">
        <f t="shared" ref="ZY3:ZY7" si="68">IF(ISNUMBER(ZW3), (ZM3 + (ZN3 * 24)) - ZW3, "")</f>
        <v>2</v>
      </c>
      <c r="ZZ3" s="5">
        <v>2</v>
      </c>
      <c r="AAA3" s="7">
        <f>IF(ISNUMBER(ZZ3), ZZ3-ZY3, "")</f>
        <v>0</v>
      </c>
      <c r="AAC3" s="24">
        <v>32</v>
      </c>
      <c r="AAD3" s="6" t="s">
        <v>20</v>
      </c>
      <c r="AAE3" s="24">
        <v>8</v>
      </c>
      <c r="AAF3" s="6" t="s">
        <v>20</v>
      </c>
      <c r="AAG3" s="5">
        <f>IF(OR(ISNUMBER(AAC3), ISNUMBER(AAE3)), IF(ISNUMBER(AAC3), AAC3, 0) + IF(ISNUMBER(AAE3), AAE3, 0), "")</f>
        <v>40</v>
      </c>
      <c r="AAH3" s="3"/>
      <c r="AAI3" s="7">
        <f t="shared" ref="AAI3:AAI7" si="69">IF(ISNUMBER(AAG3), (ZW3 + (ZX3 * 24)) - AAG3, "")</f>
        <v>5</v>
      </c>
      <c r="AAJ3" s="5">
        <v>5</v>
      </c>
      <c r="AAK3" s="7">
        <f>IF(ISNUMBER(AAJ3), AAJ3-AAI3, "")</f>
        <v>0</v>
      </c>
      <c r="AAM3" s="2">
        <v>32</v>
      </c>
      <c r="AAN3" s="6" t="s">
        <v>20</v>
      </c>
      <c r="AAO3" s="2">
        <v>8</v>
      </c>
      <c r="AAP3" s="6" t="s">
        <v>20</v>
      </c>
      <c r="AAQ3" s="5">
        <f>IF(OR(ISNUMBER(AAM3), ISNUMBER(AAO3)), IF(ISNUMBER(AAM3), AAM3, 0) + IF(ISNUMBER(AAO3), AAO3, 0), "")</f>
        <v>40</v>
      </c>
      <c r="AAR3" s="3"/>
      <c r="AAS3" s="7">
        <f t="shared" ref="AAS3:AAS7" si="70">IF(ISNUMBER(AAQ3), (AAG3 + (AAH3 * 24)) - AAQ3, "")</f>
        <v>0</v>
      </c>
      <c r="AAT3" s="5"/>
      <c r="AAU3" s="7" t="str">
        <f>IF(ISNUMBER(AAT3), AAT3-AAS3, "")</f>
        <v/>
      </c>
      <c r="AAW3" s="2">
        <v>24</v>
      </c>
      <c r="AAX3" s="6" t="s">
        <v>20</v>
      </c>
      <c r="AAY3" s="2">
        <v>8</v>
      </c>
      <c r="AAZ3" s="6" t="s">
        <v>20</v>
      </c>
      <c r="ABA3" s="5">
        <f>IF(OR(ISNUMBER(AAW3), ISNUMBER(AAY3)), IF(ISNUMBER(AAW3), AAW3, 0) + IF(ISNUMBER(AAY3), AAY3, 0), "")</f>
        <v>32</v>
      </c>
      <c r="ABB3" s="3"/>
      <c r="ABC3" s="7">
        <f t="shared" ref="ABC3:ABC7" si="71">IF(ISNUMBER(ABA3), (AAQ3 + (AAR3 * 24)) - ABA3, "")</f>
        <v>8</v>
      </c>
      <c r="ABD3" s="5">
        <v>8</v>
      </c>
      <c r="ABE3" s="7">
        <f>IF(ISNUMBER(ABD3), ABD3-ABC3, "")</f>
        <v>0</v>
      </c>
      <c r="ABG3" s="24">
        <v>24</v>
      </c>
      <c r="ABH3" s="6" t="s">
        <v>20</v>
      </c>
      <c r="ABI3" s="24">
        <v>7</v>
      </c>
      <c r="ABJ3" s="6" t="s">
        <v>20</v>
      </c>
      <c r="ABK3" s="5">
        <f>IF(OR(ISNUMBER(ABG3), ISNUMBER(ABI3)), IF(ISNUMBER(ABG3), ABG3, 0) + IF(ISNUMBER(ABI3), ABI3, 0), "")</f>
        <v>31</v>
      </c>
      <c r="ABL3" s="3"/>
      <c r="ABM3" s="7">
        <f t="shared" ref="ABM3:ABM7" si="72">IF(ISNUMBER(ABK3), (ABA3 + (ABB3 * 24)) - ABK3, "")</f>
        <v>1</v>
      </c>
      <c r="ABN3" s="5">
        <v>1</v>
      </c>
      <c r="ABO3" s="7">
        <f>IF(ISNUMBER(ABN3), ABN3-ABM3, "")</f>
        <v>0</v>
      </c>
      <c r="ABQ3" s="2"/>
      <c r="ABR3" s="6" t="s">
        <v>20</v>
      </c>
      <c r="ABS3" s="2">
        <v>23</v>
      </c>
      <c r="ABT3" s="6" t="s">
        <v>20</v>
      </c>
      <c r="ABU3" s="5">
        <f>IF(OR(ISNUMBER(ABQ3), ISNUMBER(ABS3)), IF(ISNUMBER(ABQ3), ABQ3, 0) + IF(ISNUMBER(ABS3), ABS3, 0), "")</f>
        <v>23</v>
      </c>
      <c r="ABV3" s="3"/>
      <c r="ABW3" s="7">
        <f t="shared" ref="ABW3:ABW7" si="73">IF(ISNUMBER(ABU3), (ABK3 + (ABL3 * 24)) - ABU3, "")</f>
        <v>8</v>
      </c>
      <c r="ABX3" s="5">
        <v>8</v>
      </c>
      <c r="ABY3" s="7">
        <f>IF(ISNUMBER(ABX3), ABX3-ABW3, "")</f>
        <v>0</v>
      </c>
      <c r="ACA3" s="24">
        <v>0</v>
      </c>
      <c r="ACB3" s="6" t="s">
        <v>20</v>
      </c>
      <c r="ACC3" s="24">
        <v>22</v>
      </c>
      <c r="ACD3" s="6" t="s">
        <v>20</v>
      </c>
      <c r="ACE3" s="5">
        <f t="shared" ref="ACE3:ACE7" si="74">IF(OR(ISNUMBER(ACA3), ISNUMBER(ACC3)), IF(ISNUMBER(ACA3), ACA3, 0) + IF(ISNUMBER(ACC3), ACC3, 0), "")</f>
        <v>22</v>
      </c>
      <c r="ACF3" s="3"/>
      <c r="ACG3" s="7">
        <f t="shared" ref="ACG3:ACG7" si="75">IF(ISNUMBER(ACE3), (ABU3 + (ABV3 * 24)) - ACE3, "")</f>
        <v>1</v>
      </c>
      <c r="ACH3" s="5">
        <v>1</v>
      </c>
      <c r="ACI3" s="7">
        <f t="shared" ref="ACI3:ACI7" si="76">IF(ISNUMBER(ACH3), ACH3-ACG3, "")</f>
        <v>0</v>
      </c>
      <c r="ACK3" s="24"/>
      <c r="ACL3" s="6" t="s">
        <v>20</v>
      </c>
      <c r="ACM3" s="24">
        <v>19</v>
      </c>
      <c r="ACN3" s="6" t="s">
        <v>20</v>
      </c>
      <c r="ACO3" s="5">
        <f>IF(OR(ISNUMBER(ACK3), ISNUMBER(ACM3)), IF(ISNUMBER(ACK3), ACK3, 0) + IF(ISNUMBER(ACM3), ACM3, 0), "")</f>
        <v>19</v>
      </c>
      <c r="ACP3" s="3"/>
      <c r="ACQ3" s="7">
        <f t="shared" ref="ACQ3:ACQ7" si="77">IF(ISNUMBER(ACO3), (ACE3 + (ACF3 * 24)) - ACO3, "")</f>
        <v>3</v>
      </c>
      <c r="ACR3" s="5">
        <v>3</v>
      </c>
      <c r="ACS3" s="7">
        <f>IF(ISNUMBER(ACR3), ACR3-ACQ3, "")</f>
        <v>0</v>
      </c>
      <c r="ACU3" s="24">
        <v>0</v>
      </c>
      <c r="ACV3" s="6" t="s">
        <v>20</v>
      </c>
      <c r="ACW3" s="24">
        <v>16</v>
      </c>
      <c r="ACX3" s="6" t="s">
        <v>20</v>
      </c>
      <c r="ACY3" s="5">
        <f>IF(OR(ISNUMBER(ACU3), ISNUMBER(ACW3)), IF(ISNUMBER(ACU3), ACU3, 0) + IF(ISNUMBER(ACW3), ACW3, 0), "")</f>
        <v>16</v>
      </c>
      <c r="ACZ3" s="3"/>
      <c r="ADA3" s="7">
        <f t="shared" ref="ADA3:ADA7" si="78">IF(ISNUMBER(ACY3), (ACO3 + (ACP3 * 24)) - ACY3, "")</f>
        <v>3</v>
      </c>
      <c r="ADB3" s="5">
        <v>2</v>
      </c>
      <c r="ADC3" s="7">
        <f>IF(ISNUMBER(ADB3), ADB3-ADA3, "")</f>
        <v>-1</v>
      </c>
      <c r="ADE3" s="24">
        <v>0</v>
      </c>
      <c r="ADF3" s="6" t="s">
        <v>20</v>
      </c>
      <c r="ADG3" s="24">
        <v>13</v>
      </c>
      <c r="ADH3" s="6" t="s">
        <v>20</v>
      </c>
      <c r="ADI3" s="5">
        <f>IF(OR(ISNUMBER(ADE3), ISNUMBER(ADG3)), IF(ISNUMBER(ADE3), ADE3, 0) + IF(ISNUMBER(ADG3), ADG3, 0), "")</f>
        <v>13</v>
      </c>
      <c r="ADJ3" s="3"/>
      <c r="ADK3" s="7">
        <f t="shared" ref="ADK3:ADK7" si="79">IF(ISNUMBER(ADI3), (ACY3 + (ACZ3 * 24)) - ADI3, "")</f>
        <v>3</v>
      </c>
      <c r="ADL3" s="5">
        <v>3</v>
      </c>
      <c r="ADM3" s="7">
        <f>IF(ISNUMBER(ADL3), ADL3-ADK3, "")</f>
        <v>0</v>
      </c>
      <c r="ADO3" s="24">
        <v>0</v>
      </c>
      <c r="ADP3" s="6" t="s">
        <v>20</v>
      </c>
      <c r="ADQ3" s="24">
        <v>6</v>
      </c>
      <c r="ADR3" s="6" t="s">
        <v>20</v>
      </c>
      <c r="ADS3" s="5">
        <f>IF(OR(ISNUMBER(ADO3), ISNUMBER(ADQ3)), IF(ISNUMBER(ADO3), ADO3, 0) + IF(ISNUMBER(ADQ3), ADQ3, 0), "")</f>
        <v>6</v>
      </c>
      <c r="ADT3" s="3"/>
      <c r="ADU3" s="7">
        <f t="shared" ref="ADU3:ADU7" si="80">IF(ISNUMBER(ADS3), (ADI3 + (ADJ3 * 24)) - ADS3, "")</f>
        <v>7</v>
      </c>
      <c r="ADV3" s="5">
        <v>7</v>
      </c>
      <c r="ADW3" s="7">
        <f>IF(ISNUMBER(ADV3), ADV3-ADU3, "")</f>
        <v>0</v>
      </c>
      <c r="ADY3" s="24">
        <v>0</v>
      </c>
      <c r="ADZ3" s="6" t="s">
        <v>20</v>
      </c>
      <c r="AEA3" s="24">
        <v>6</v>
      </c>
      <c r="AEB3" s="6" t="s">
        <v>20</v>
      </c>
      <c r="AEC3" s="5">
        <f>IF(OR(ISNUMBER(ADY3), ISNUMBER(AEA3)), IF(ISNUMBER(ADY3), ADY3, 0) + IF(ISNUMBER(AEA3), AEA3, 0), "")</f>
        <v>6</v>
      </c>
      <c r="AED3" s="3">
        <v>1</v>
      </c>
      <c r="AEE3" s="7">
        <f t="shared" ref="AEE3:AEE7" si="81">IF(ISNUMBER(AEC3), (ADS3 + (ADT3 * 24)) - AEC3, "")</f>
        <v>0</v>
      </c>
      <c r="AEF3" s="5"/>
      <c r="AEG3" s="7" t="str">
        <f>IF(ISNUMBER(AEF3), AEF3-AEE3, "")</f>
        <v/>
      </c>
      <c r="AEI3" s="2">
        <v>24</v>
      </c>
      <c r="AEJ3" s="6" t="s">
        <v>20</v>
      </c>
      <c r="AEK3" s="2">
        <v>2</v>
      </c>
      <c r="AEL3" s="6" t="s">
        <v>20</v>
      </c>
      <c r="AEM3" s="5">
        <f>IF(OR(ISNUMBER(AEI3), ISNUMBER(AEK3)), IF(ISNUMBER(AEI3), AEI3, 0) + IF(ISNUMBER(AEK3), AEK3, 0), "")</f>
        <v>26</v>
      </c>
      <c r="AEN3" s="3"/>
      <c r="AEO3" s="7">
        <f t="shared" ref="AEO3:AEO7" si="82">IF(ISNUMBER(AEM3), (AEC3 + (AED3 * 24)) - AEM3, "")</f>
        <v>4</v>
      </c>
      <c r="AEP3" s="5">
        <v>4</v>
      </c>
      <c r="AEQ3" s="7">
        <f>IF(ISNUMBER(AEP3), AEP3-AEO3, "")</f>
        <v>0</v>
      </c>
      <c r="AES3" s="24">
        <v>16</v>
      </c>
      <c r="AET3" s="6" t="s">
        <v>20</v>
      </c>
      <c r="AEU3" s="24">
        <v>9</v>
      </c>
      <c r="AEV3" s="6" t="s">
        <v>20</v>
      </c>
      <c r="AEW3" s="5">
        <f>IF(OR(ISNUMBER(AES3), ISNUMBER(AEU3)), IF(ISNUMBER(AES3), AES3, 0) + IF(ISNUMBER(AEU3), AEU3, 0), "")</f>
        <v>25</v>
      </c>
      <c r="AEX3" s="3"/>
      <c r="AEY3" s="7">
        <f t="shared" ref="AEY3:AEY7" si="83">IF(ISNUMBER(AEW3), (AEM3 + (AEN3 * 24)) - AEW3, "")</f>
        <v>1</v>
      </c>
      <c r="AEZ3" s="5">
        <v>1</v>
      </c>
      <c r="AFA3" s="7">
        <f>IF(ISNUMBER(AEZ3), AEZ3-AEY3, "")</f>
        <v>0</v>
      </c>
      <c r="AFC3" s="2">
        <v>16</v>
      </c>
      <c r="AFD3" s="6" t="s">
        <v>20</v>
      </c>
      <c r="AFE3" s="2">
        <v>6</v>
      </c>
      <c r="AFF3" s="6" t="s">
        <v>20</v>
      </c>
      <c r="AFG3" s="5">
        <f>IF(OR(ISNUMBER(AFC3), ISNUMBER(AFE3)), IF(ISNUMBER(AFC3), AFC3, 0) + IF(ISNUMBER(AFE3), AFE3, 0), "")</f>
        <v>22</v>
      </c>
      <c r="AFH3" s="3"/>
      <c r="AFI3" s="7">
        <f t="shared" ref="AFI3:AFI7" si="84">IF(ISNUMBER(AFG3), (AEW3 + (AEX3 * 24)) - AFG3, "")</f>
        <v>3</v>
      </c>
      <c r="AFJ3" s="5">
        <v>3</v>
      </c>
      <c r="AFK3" s="7">
        <f>IF(ISNUMBER(AFJ3), AFJ3-AFI3, "")</f>
        <v>0</v>
      </c>
      <c r="AFM3" s="2">
        <v>0</v>
      </c>
      <c r="AFN3" s="6" t="s">
        <v>20</v>
      </c>
      <c r="AFO3" s="2">
        <v>19</v>
      </c>
      <c r="AFP3" s="6" t="s">
        <v>20</v>
      </c>
      <c r="AFQ3" s="5">
        <f>IF(OR(ISNUMBER(AFM3), ISNUMBER(AFO3)), IF(ISNUMBER(AFM3), AFM3, 0) + IF(ISNUMBER(AFO3), AFO3, 0), "")</f>
        <v>19</v>
      </c>
      <c r="AFR3" s="3">
        <v>1</v>
      </c>
      <c r="AFS3" s="7">
        <f t="shared" ref="AFS3:AFS7" si="85">IF(ISNUMBER(AFQ3), (AFG3 + (AFH3 * 24)) - AFQ3, "")</f>
        <v>3</v>
      </c>
      <c r="AFT3" s="5">
        <v>3</v>
      </c>
      <c r="AFU3" s="7">
        <f>IF(ISNUMBER(AFT3), AFT3-AFS3, "")</f>
        <v>0</v>
      </c>
      <c r="AFW3" s="24">
        <v>24</v>
      </c>
      <c r="AFX3" s="6" t="s">
        <v>20</v>
      </c>
      <c r="AFY3" s="24">
        <v>18</v>
      </c>
      <c r="AFZ3" s="6" t="s">
        <v>20</v>
      </c>
      <c r="AGA3" s="5">
        <f>IF(OR(ISNUMBER(AFW3), ISNUMBER(AFY3)), IF(ISNUMBER(AFW3), AFW3, 0) + IF(ISNUMBER(AFY3), AFY3, 0), "")</f>
        <v>42</v>
      </c>
      <c r="AGB3" s="3"/>
      <c r="AGC3" s="7">
        <f t="shared" ref="AGC3:AGC7" si="86">IF(ISNUMBER(AGA3), (AFQ3 + (AFR3 * 24)) - AGA3, "")</f>
        <v>1</v>
      </c>
      <c r="AGD3" s="5">
        <v>1</v>
      </c>
      <c r="AGE3" s="7">
        <f>IF(ISNUMBER(AGD3), AGD3-AGC3, "")</f>
        <v>0</v>
      </c>
      <c r="AGG3" s="24">
        <v>24</v>
      </c>
      <c r="AGH3" s="6" t="s">
        <v>20</v>
      </c>
      <c r="AGI3" s="24">
        <v>14</v>
      </c>
      <c r="AGJ3" s="6" t="s">
        <v>20</v>
      </c>
      <c r="AGK3" s="5">
        <f>IF(OR(ISNUMBER(AGG3), ISNUMBER(AGI3)), IF(ISNUMBER(AGG3), AGG3, 0) + IF(ISNUMBER(AGI3), AGI3, 0), "")</f>
        <v>38</v>
      </c>
      <c r="AGL3" s="3"/>
      <c r="AGM3" s="7">
        <f t="shared" ref="AGM3:AGM7" si="87">IF(ISNUMBER(AGK3), (AGA3 + (AGB3 * 24)) - AGK3, "")</f>
        <v>4</v>
      </c>
      <c r="AGN3" s="5">
        <v>4</v>
      </c>
      <c r="AGO3" s="7">
        <f>IF(ISNUMBER(AGN3), AGN3-AGM3, "")</f>
        <v>0</v>
      </c>
      <c r="AGQ3" s="24">
        <v>16</v>
      </c>
      <c r="AGR3" s="6" t="s">
        <v>20</v>
      </c>
      <c r="AGS3" s="24">
        <v>19</v>
      </c>
      <c r="AGT3" s="6" t="s">
        <v>20</v>
      </c>
      <c r="AGU3" s="5">
        <f>IF(OR(ISNUMBER(AGQ3), ISNUMBER(AGS3)), IF(ISNUMBER(AGQ3), AGQ3, 0) + IF(ISNUMBER(AGS3), AGS3, 0), "")</f>
        <v>35</v>
      </c>
      <c r="AGV3" s="3"/>
      <c r="AGW3" s="7">
        <f t="shared" ref="AGW3:AGW7" si="88">IF(ISNUMBER(AGU3), (AGK3 + (AGL3 * 24)) - AGU3, "")</f>
        <v>3</v>
      </c>
      <c r="AGX3" s="5">
        <v>3</v>
      </c>
      <c r="AGY3" s="7">
        <f>IF(ISNUMBER(AGX3), AGX3-AGW3, "")</f>
        <v>0</v>
      </c>
      <c r="AHA3" s="24">
        <v>16</v>
      </c>
      <c r="AHB3" s="6" t="s">
        <v>20</v>
      </c>
      <c r="AHC3" s="24">
        <v>15</v>
      </c>
      <c r="AHD3" s="6" t="s">
        <v>20</v>
      </c>
      <c r="AHE3" s="5">
        <f>IF(OR(ISNUMBER(AHA3), ISNUMBER(AHC3)), IF(ISNUMBER(AHA3), AHA3, 0) + IF(ISNUMBER(AHC3), AHC3, 0), "")</f>
        <v>31</v>
      </c>
      <c r="AHF3" s="3">
        <v>1</v>
      </c>
      <c r="AHG3" s="7">
        <f t="shared" ref="AHG3:AHG7" si="89">IF(ISNUMBER(AHE3), (AGU3 + (AGV3 * 24)) - AHE3, "")</f>
        <v>4</v>
      </c>
      <c r="AHH3" s="5">
        <v>4</v>
      </c>
      <c r="AHI3" s="7">
        <f>IF(ISNUMBER(AHH3), AHH3-AHG3, "")</f>
        <v>0</v>
      </c>
      <c r="AHK3" s="2">
        <v>24</v>
      </c>
      <c r="AHL3" s="6" t="s">
        <v>20</v>
      </c>
      <c r="AHM3" s="2">
        <v>28</v>
      </c>
      <c r="AHN3" s="6" t="s">
        <v>20</v>
      </c>
      <c r="AHO3" s="5">
        <f>IF(OR(ISNUMBER(AHK3), ISNUMBER(AHM3)), IF(ISNUMBER(AHK3), AHK3, 0) + IF(ISNUMBER(AHM3), AHM3, 0), "")</f>
        <v>52</v>
      </c>
      <c r="AHP3" s="3"/>
      <c r="AHQ3" s="7">
        <f t="shared" ref="AHQ3:AHQ7" si="90">IF(ISNUMBER(AHO3), (AHE3 + (AHF3 * 24)) - AHO3, "")</f>
        <v>3</v>
      </c>
      <c r="AHR3" s="5">
        <v>3</v>
      </c>
      <c r="AHS3" s="7">
        <f>IF(ISNUMBER(AHR3), AHR3-AHQ3, "")</f>
        <v>0</v>
      </c>
      <c r="AHU3" s="2">
        <v>24</v>
      </c>
      <c r="AHV3" s="6" t="s">
        <v>20</v>
      </c>
      <c r="AHW3" s="2">
        <v>17</v>
      </c>
      <c r="AHX3" s="6" t="s">
        <v>20</v>
      </c>
      <c r="AHY3" s="5">
        <f>IF(OR(ISNUMBER(AHU3), ISNUMBER(AHW3)), IF(ISNUMBER(AHU3), AHU3, 0) + IF(ISNUMBER(AHW3), AHW3, 0), "")</f>
        <v>41</v>
      </c>
      <c r="AHZ3" s="3"/>
      <c r="AIA3" s="7">
        <f t="shared" ref="AIA3:AIA7" si="91">IF(ISNUMBER(AHY3), (AHO3 + (AHP3 * 24)) - AHY3, "")</f>
        <v>11</v>
      </c>
      <c r="AIB3" s="5">
        <v>11</v>
      </c>
      <c r="AIC3" s="7">
        <f>IF(ISNUMBER(AIB3), AIB3-AIA3, "")</f>
        <v>0</v>
      </c>
      <c r="AIE3" s="24">
        <v>24</v>
      </c>
      <c r="AIF3" s="6" t="s">
        <v>20</v>
      </c>
      <c r="AIG3" s="24">
        <v>9</v>
      </c>
      <c r="AIH3" s="6" t="s">
        <v>20</v>
      </c>
      <c r="AII3" s="5">
        <f>IF(OR(ISNUMBER(AIE3), ISNUMBER(AIG3)), IF(ISNUMBER(AIE3), AIE3, 0) + IF(ISNUMBER(AIG3), AIG3, 0), "")</f>
        <v>33</v>
      </c>
      <c r="AIJ3" s="3"/>
      <c r="AIK3" s="7">
        <f t="shared" ref="AIK3:AIK7" si="92">IF(ISNUMBER(AII3), (AHY3 + (AHZ3 * 24)) - AII3, "")</f>
        <v>8</v>
      </c>
      <c r="AIL3" s="5">
        <v>8</v>
      </c>
      <c r="AIM3" s="7">
        <f>IF(ISNUMBER(AIL3), AIL3-AIK3, "")</f>
        <v>0</v>
      </c>
      <c r="AIO3" s="24">
        <v>24</v>
      </c>
      <c r="AIP3" s="6" t="s">
        <v>20</v>
      </c>
      <c r="AIQ3" s="24">
        <v>5</v>
      </c>
      <c r="AIR3" s="6" t="s">
        <v>20</v>
      </c>
      <c r="AIS3" s="5">
        <f>IF(OR(ISNUMBER(AIO3), ISNUMBER(AIQ3)), IF(ISNUMBER(AIO3), AIO3, 0) + IF(ISNUMBER(AIQ3), AIQ3, 0), "")</f>
        <v>29</v>
      </c>
      <c r="AIT3" s="3"/>
      <c r="AIU3" s="7">
        <f t="shared" ref="AIU3:AIU7" si="93">IF(ISNUMBER(AIS3), (AII3 + (AIJ3 * 24)) - AIS3, "")</f>
        <v>4</v>
      </c>
      <c r="AIV3" s="5">
        <v>4</v>
      </c>
      <c r="AIW3" s="7">
        <f>IF(ISNUMBER(AIV3), AIV3-AIU3, "")</f>
        <v>0</v>
      </c>
      <c r="AIY3" s="24"/>
      <c r="AIZ3" s="6" t="s">
        <v>20</v>
      </c>
      <c r="AJA3" s="24">
        <v>28</v>
      </c>
      <c r="AJB3" s="6" t="s">
        <v>20</v>
      </c>
      <c r="AJC3" s="5">
        <f>IF(OR(ISNUMBER(AIY3), ISNUMBER(AJA3)), IF(ISNUMBER(AIY3), AIY3, 0) + IF(ISNUMBER(AJA3), AJA3, 0), "")</f>
        <v>28</v>
      </c>
      <c r="AJD3" s="3"/>
      <c r="AJE3" s="7">
        <f t="shared" ref="AJE3:AJE7" si="94">IF(ISNUMBER(AJC3), (AIS3 + (AIT3 * 24)) - AJC3, "")</f>
        <v>1</v>
      </c>
      <c r="AJF3" s="5">
        <v>1</v>
      </c>
      <c r="AJG3" s="7">
        <f>IF(ISNUMBER(AJF3), AJF3-AJE3, "")</f>
        <v>0</v>
      </c>
      <c r="AJI3" s="2"/>
      <c r="AJJ3" s="6" t="s">
        <v>20</v>
      </c>
      <c r="AJK3" s="2">
        <v>25</v>
      </c>
      <c r="AJL3" s="6" t="s">
        <v>20</v>
      </c>
      <c r="AJM3" s="5">
        <f>IF(OR(ISNUMBER(AJI3), ISNUMBER(AJK3)), IF(ISNUMBER(AJI3), AJI3, 0) + IF(ISNUMBER(AJK3), AJK3, 0), "")</f>
        <v>25</v>
      </c>
      <c r="AJN3" s="3"/>
      <c r="AJO3" s="7">
        <f t="shared" ref="AJO3:AJO7" si="95">IF(ISNUMBER(AJM3), (AJC3 + (AJD3 * 24)) - AJM3, "")</f>
        <v>3</v>
      </c>
      <c r="AJP3" s="5">
        <v>3</v>
      </c>
      <c r="AJQ3" s="7">
        <f>IF(ISNUMBER(AJP3), AJP3-AJO3, "")</f>
        <v>0</v>
      </c>
      <c r="AJS3" s="24"/>
      <c r="AJT3" s="6" t="s">
        <v>20</v>
      </c>
      <c r="AJU3" s="24">
        <v>20</v>
      </c>
      <c r="AJV3" s="6" t="s">
        <v>20</v>
      </c>
      <c r="AJW3" s="5">
        <f>IF(OR(ISNUMBER(AJS3), ISNUMBER(AJU3)), IF(ISNUMBER(AJS3), AJS3, 0) + IF(ISNUMBER(AJU3), AJU3, 0), "")</f>
        <v>20</v>
      </c>
      <c r="AJX3" s="3"/>
      <c r="AJY3" s="7">
        <f t="shared" ref="AJY3:AJY7" si="96">IF(ISNUMBER(AJW3), (AJM3 + (AJN3 * 24)) - AJW3, "")</f>
        <v>5</v>
      </c>
      <c r="AJZ3" s="5">
        <v>5</v>
      </c>
      <c r="AKA3" s="7">
        <f>IF(ISNUMBER(AJZ3), AJZ3-AJY3, "")</f>
        <v>0</v>
      </c>
      <c r="AKC3" s="2"/>
      <c r="AKD3" s="6" t="s">
        <v>20</v>
      </c>
      <c r="AKE3" s="2">
        <v>18</v>
      </c>
      <c r="AKF3" s="6" t="s">
        <v>20</v>
      </c>
      <c r="AKG3" s="5">
        <f>IF(OR(ISNUMBER(AKC3), ISNUMBER(AKE3)), IF(ISNUMBER(AKC3), AKC3, 0) + IF(ISNUMBER(AKE3), AKE3, 0), "")</f>
        <v>18</v>
      </c>
      <c r="AKH3" s="3"/>
      <c r="AKI3" s="7">
        <f t="shared" ref="AKI3:AKI7" si="97">IF(ISNUMBER(AKG3), (AJW3 + (AJX3 * 24)) - AKG3, "")</f>
        <v>2</v>
      </c>
      <c r="AKJ3" s="5">
        <v>2</v>
      </c>
      <c r="AKK3" s="7">
        <f>IF(ISNUMBER(AKJ3), AKJ3-AKI3, "")</f>
        <v>0</v>
      </c>
      <c r="AKM3" s="24"/>
      <c r="AKN3" s="6" t="s">
        <v>20</v>
      </c>
      <c r="AKO3" s="24">
        <v>16</v>
      </c>
      <c r="AKP3" s="6" t="s">
        <v>20</v>
      </c>
      <c r="AKQ3" s="5">
        <f>IF(OR(ISNUMBER(AKM3), ISNUMBER(AKO3)), IF(ISNUMBER(AKM3), AKM3, 0) + IF(ISNUMBER(AKO3), AKO3, 0), "")</f>
        <v>16</v>
      </c>
      <c r="AKR3" s="3"/>
      <c r="AKS3" s="7">
        <f t="shared" ref="AKS3:AKS7" si="98">IF(ISNUMBER(AKQ3), (AKG3 + (AKH3 * 24)) - AKQ3, "")</f>
        <v>2</v>
      </c>
      <c r="AKT3" s="5">
        <v>2</v>
      </c>
      <c r="AKU3" s="7">
        <f>IF(ISNUMBER(AKT3), AKT3-AKS3, "")</f>
        <v>0</v>
      </c>
      <c r="AKW3" s="2"/>
      <c r="AKX3" s="6" t="s">
        <v>20</v>
      </c>
      <c r="AKY3" s="2">
        <v>15</v>
      </c>
      <c r="AKZ3" s="6" t="s">
        <v>20</v>
      </c>
      <c r="ALA3" s="5">
        <f>IF(OR(ISNUMBER(AKW3), ISNUMBER(AKY3)), IF(ISNUMBER(AKW3), AKW3, 0) + IF(ISNUMBER(AKY3), AKY3, 0), "")</f>
        <v>15</v>
      </c>
      <c r="ALB3" s="3"/>
      <c r="ALC3" s="7">
        <f t="shared" ref="ALC3:ALC7" si="99">IF(ISNUMBER(ALA3), (AKQ3 + (AKR3 * 24)) - ALA3, "")</f>
        <v>1</v>
      </c>
      <c r="ALD3" s="5">
        <v>1</v>
      </c>
      <c r="ALE3" s="7">
        <f>IF(ISNUMBER(ALD3), ALD3-ALC3, "")</f>
        <v>0</v>
      </c>
      <c r="ALG3" s="2"/>
      <c r="ALH3" s="6" t="s">
        <v>20</v>
      </c>
      <c r="ALI3" s="2">
        <v>12</v>
      </c>
      <c r="ALJ3" s="6" t="s">
        <v>20</v>
      </c>
      <c r="ALK3" s="5">
        <f>IF(OR(ISNUMBER(ALG3), ISNUMBER(ALI3)), IF(ISNUMBER(ALG3), ALG3, 0) + IF(ISNUMBER(ALI3), ALI3, 0), "")</f>
        <v>12</v>
      </c>
      <c r="ALL3" s="3"/>
      <c r="ALM3" s="7">
        <f t="shared" ref="ALM3:ALM7" si="100">IF(ISNUMBER(ALK3), (ALA3 + (ALB3 * 24)) - ALK3, "")</f>
        <v>3</v>
      </c>
      <c r="ALN3" s="5">
        <v>3</v>
      </c>
      <c r="ALO3" s="7">
        <f>IF(ISNUMBER(ALN3), ALN3-ALM3, "")</f>
        <v>0</v>
      </c>
      <c r="ALQ3" s="24"/>
      <c r="ALR3" s="6" t="s">
        <v>20</v>
      </c>
      <c r="ALS3" s="24">
        <v>9</v>
      </c>
      <c r="ALT3" s="6" t="s">
        <v>20</v>
      </c>
      <c r="ALU3" s="5">
        <f>IF(OR(ISNUMBER(ALQ3), ISNUMBER(ALS3)), IF(ISNUMBER(ALQ3), ALQ3, 0) + IF(ISNUMBER(ALS3), ALS3, 0), "")</f>
        <v>9</v>
      </c>
      <c r="ALV3" s="3"/>
      <c r="ALW3" s="7">
        <f t="shared" ref="ALW3:ALW7" si="101">IF(ISNUMBER(ALU3), (ALK3 + (ALL3 * 24)) - ALU3, "")</f>
        <v>3</v>
      </c>
      <c r="ALX3" s="5">
        <v>3</v>
      </c>
      <c r="ALY3" s="7">
        <f>IF(ISNUMBER(ALX3), ALX3-ALW3, "")</f>
        <v>0</v>
      </c>
      <c r="AMA3" s="24" t="s">
        <v>88</v>
      </c>
      <c r="AMB3" s="6" t="s">
        <v>20</v>
      </c>
      <c r="AMC3" s="24">
        <v>4</v>
      </c>
      <c r="AMD3" s="6" t="s">
        <v>20</v>
      </c>
      <c r="AME3" s="5">
        <f>IF(OR(ISNUMBER(AMA3), ISNUMBER(AMC3)), IF(ISNUMBER(AMA3), AMA3, 0) + IF(ISNUMBER(AMC3), AMC3, 0), "")</f>
        <v>4</v>
      </c>
      <c r="AMF3" s="3">
        <v>1</v>
      </c>
      <c r="AMG3" s="7">
        <f t="shared" ref="AMG3:AMG7" si="102">IF(ISNUMBER(AME3), (ALU3 + (ALV3 * 24)) - AME3, "")</f>
        <v>5</v>
      </c>
      <c r="AMH3" s="5">
        <v>5</v>
      </c>
      <c r="AMI3" s="7">
        <f>IF(ISNUMBER(AMH3), AMH3-AMG3, "")</f>
        <v>0</v>
      </c>
      <c r="AMK3" s="24"/>
      <c r="AML3" s="6" t="s">
        <v>20</v>
      </c>
      <c r="AMM3" s="24">
        <v>23</v>
      </c>
      <c r="AMN3" s="6" t="s">
        <v>20</v>
      </c>
      <c r="AMO3" s="5">
        <f>IF(OR(ISNUMBER(AMK3), ISNUMBER(AMM3)), IF(ISNUMBER(AMK3), AMK3, 0) + IF(ISNUMBER(AMM3), AMM3, 0), "")</f>
        <v>23</v>
      </c>
      <c r="AMP3" s="3"/>
      <c r="AMQ3" s="7">
        <f t="shared" ref="AMQ3:AMQ7" si="103">IF(ISNUMBER(AMO3), (AME3 + (AMF3 * 24)) - AMO3, "")</f>
        <v>5</v>
      </c>
      <c r="AMR3" s="5">
        <v>5</v>
      </c>
      <c r="AMS3" s="7">
        <f>IF(ISNUMBER(AMR3), AMR3-AMQ3, "")</f>
        <v>0</v>
      </c>
      <c r="AMU3" s="2"/>
      <c r="AMV3" s="6" t="s">
        <v>20</v>
      </c>
      <c r="AMW3" s="2">
        <v>23</v>
      </c>
      <c r="AMX3" s="6" t="s">
        <v>20</v>
      </c>
      <c r="AMY3" s="5">
        <f>IF(OR(ISNUMBER(AMU3), ISNUMBER(AMW3)), IF(ISNUMBER(AMU3), AMU3, 0) + IF(ISNUMBER(AMW3), AMW3, 0), "")</f>
        <v>23</v>
      </c>
      <c r="AMZ3" s="3"/>
      <c r="ANA3" s="7">
        <f t="shared" ref="ANA3:ANA7" si="104">IF(ISNUMBER(AMY3), (AMO3 + (AMP3 * 24)) - AMY3, "")</f>
        <v>0</v>
      </c>
      <c r="ANB3" s="5"/>
      <c r="ANC3" s="7" t="str">
        <f>IF(ISNUMBER(ANB3), ANB3-ANA3, "")</f>
        <v/>
      </c>
      <c r="ANE3" s="2"/>
      <c r="ANF3" s="6" t="s">
        <v>20</v>
      </c>
      <c r="ANG3" s="2">
        <v>23</v>
      </c>
      <c r="ANH3" s="6" t="s">
        <v>20</v>
      </c>
      <c r="ANI3" s="5">
        <f>IF(OR(ISNUMBER(ANE3), ISNUMBER(ANG3)), IF(ISNUMBER(ANE3), ANE3, 0) + IF(ISNUMBER(ANG3), ANG3, 0), "")</f>
        <v>23</v>
      </c>
      <c r="ANJ3" s="3"/>
      <c r="ANK3" s="7">
        <f t="shared" ref="ANK3:ANK7" si="105">IF(ISNUMBER(ANI3), (AMY3 + (AMZ3 * 24)) - ANI3, "")</f>
        <v>0</v>
      </c>
      <c r="ANL3" s="5"/>
      <c r="ANM3" s="7" t="str">
        <f>IF(ISNUMBER(ANL3), ANL3-ANK3, "")</f>
        <v/>
      </c>
      <c r="ANO3" s="24"/>
      <c r="ANP3" s="6" t="s">
        <v>20</v>
      </c>
      <c r="ANQ3" s="24">
        <v>19</v>
      </c>
      <c r="ANR3" s="6" t="s">
        <v>20</v>
      </c>
      <c r="ANS3" s="5">
        <f>IF(OR(ISNUMBER(ANO3), ISNUMBER(ANQ3)), IF(ISNUMBER(ANO3), ANO3, 0) + IF(ISNUMBER(ANQ3), ANQ3, 0), "")</f>
        <v>19</v>
      </c>
      <c r="ANT3" s="3"/>
      <c r="ANU3" s="7">
        <f t="shared" ref="ANU3:ANU7" si="106">IF(ISNUMBER(ANS3), (ANI3 + (ANJ3 * 24)) - ANS3, "")</f>
        <v>4</v>
      </c>
      <c r="ANV3" s="5">
        <v>4</v>
      </c>
      <c r="ANW3" s="7">
        <f>IF(ISNUMBER(ANV3), ANV3-ANU3, "")</f>
        <v>0</v>
      </c>
      <c r="ANY3" s="24"/>
      <c r="ANZ3" s="6" t="s">
        <v>20</v>
      </c>
      <c r="AOA3" s="24">
        <v>13</v>
      </c>
      <c r="AOB3" s="6" t="s">
        <v>20</v>
      </c>
      <c r="AOC3" s="5">
        <f>IF(OR(ISNUMBER(ANY3), ISNUMBER(AOA3)), IF(ISNUMBER(ANY3), ANY3, 0) + IF(ISNUMBER(AOA3), AOA3, 0), "")</f>
        <v>13</v>
      </c>
      <c r="AOD3" s="3">
        <v>1</v>
      </c>
      <c r="AOE3" s="7">
        <f t="shared" ref="AOE3:AOE7" si="107">IF(ISNUMBER(AOC3), (ANS3 + (ANT3 * 24)) - AOC3, "")</f>
        <v>6</v>
      </c>
      <c r="AOF3" s="5">
        <v>6</v>
      </c>
      <c r="AOG3" s="7">
        <f>IF(ISNUMBER(AOF3), AOF3-AOE3, "")</f>
        <v>0</v>
      </c>
      <c r="AOI3" s="24">
        <v>9</v>
      </c>
      <c r="AOJ3" s="6" t="s">
        <v>20</v>
      </c>
      <c r="AOK3" s="24">
        <v>22</v>
      </c>
      <c r="AOL3" s="6" t="s">
        <v>20</v>
      </c>
      <c r="AOM3" s="5">
        <f>IF(OR(ISNUMBER(AOI3), ISNUMBER(AOK3)), IF(ISNUMBER(AOI3), AOI3, 0) + IF(ISNUMBER(AOK3), AOK3, 0), "")</f>
        <v>31</v>
      </c>
      <c r="AON3" s="3"/>
      <c r="AOO3" s="7">
        <f t="shared" ref="AOO3:AOO7" si="108">IF(ISNUMBER(AOM3), (AOC3 + (AOD3 * 24)) - AOM3, "")</f>
        <v>6</v>
      </c>
      <c r="AOP3" s="5">
        <v>6</v>
      </c>
      <c r="AOQ3" s="7">
        <f>IF(ISNUMBER(AOP3), AOP3-AOO3, "")</f>
        <v>0</v>
      </c>
      <c r="AOS3" s="2"/>
      <c r="AOT3" s="6" t="s">
        <v>20</v>
      </c>
      <c r="AOU3" s="2">
        <v>31</v>
      </c>
      <c r="AOV3" s="6" t="s">
        <v>20</v>
      </c>
      <c r="AOW3" s="5">
        <f>IF(OR(ISNUMBER(AOS3), ISNUMBER(AOU3)), IF(ISNUMBER(AOS3), AOS3, 0) + IF(ISNUMBER(AOU3), AOU3, 0), "")</f>
        <v>31</v>
      </c>
      <c r="AOX3" s="3"/>
      <c r="AOY3" s="7">
        <f t="shared" ref="AOY3:AOY7" si="109">IF(ISNUMBER(AOW3), (AOM3 + (AON3 * 24)) - AOW3, "")</f>
        <v>0</v>
      </c>
      <c r="AOZ3" s="5"/>
      <c r="APA3" s="7" t="str">
        <f>IF(ISNUMBER(AOZ3), AOZ3-AOY3, "")</f>
        <v/>
      </c>
    </row>
    <row r="4" spans="1:1093" ht="12.75" customHeight="1" x14ac:dyDescent="0.2">
      <c r="A4" s="22" t="s">
        <v>21</v>
      </c>
      <c r="B4" s="13" t="s">
        <v>19</v>
      </c>
      <c r="C4" s="13">
        <v>12</v>
      </c>
      <c r="E4" s="24"/>
      <c r="F4" s="6" t="s">
        <v>20</v>
      </c>
      <c r="G4" s="24">
        <v>33</v>
      </c>
      <c r="H4" s="6" t="s">
        <v>20</v>
      </c>
      <c r="I4" s="5">
        <f t="shared" ref="I4:I7" si="110">IF(OR(ISNUMBER(E4), ISNUMBER(G4)), IF(ISNUMBER(E4), E4, 0) + IF(ISNUMBER(G4), G4, 0), "")</f>
        <v>33</v>
      </c>
      <c r="J4" s="3"/>
      <c r="K4" s="7"/>
      <c r="L4" s="5"/>
      <c r="M4" s="7" t="str">
        <f t="shared" ref="M4:M7" si="111">IF(ISNUMBER(L4), L4-K4, "")</f>
        <v/>
      </c>
      <c r="O4" s="24"/>
      <c r="P4" s="6" t="s">
        <v>20</v>
      </c>
      <c r="Q4" s="24">
        <v>22</v>
      </c>
      <c r="R4" s="6" t="s">
        <v>20</v>
      </c>
      <c r="S4" s="5">
        <f t="shared" ref="S4:S7" si="112">IF(OR(ISNUMBER(O4), ISNUMBER(Q4)), IF(ISNUMBER(O4), O4, 0) + IF(ISNUMBER(Q4), Q4, 0), "")</f>
        <v>22</v>
      </c>
      <c r="T4" s="3"/>
      <c r="U4" s="7">
        <f t="shared" si="0"/>
        <v>11</v>
      </c>
      <c r="V4" s="5">
        <v>0</v>
      </c>
      <c r="W4" s="7">
        <f t="shared" ref="W4:W7" si="113">IF(ISNUMBER(V4), V4-U4, "")</f>
        <v>-11</v>
      </c>
      <c r="Y4" s="24">
        <v>0</v>
      </c>
      <c r="Z4" s="6" t="s">
        <v>20</v>
      </c>
      <c r="AA4" s="24">
        <v>24</v>
      </c>
      <c r="AB4" s="6" t="s">
        <v>20</v>
      </c>
      <c r="AC4" s="5">
        <f t="shared" ref="AC4:AC7" si="114">IF(OR(ISNUMBER(Y4), ISNUMBER(AA4)), IF(ISNUMBER(Y4), Y4, 0) + IF(ISNUMBER(AA4), AA4, 0), "")</f>
        <v>24</v>
      </c>
      <c r="AD4" s="3"/>
      <c r="AE4" s="7">
        <f t="shared" si="1"/>
        <v>-2</v>
      </c>
      <c r="AF4" s="5">
        <v>1</v>
      </c>
      <c r="AG4" s="7">
        <f t="shared" ref="AG4:AG7" si="115">IF(ISNUMBER(AF4), AF4-AE4, "")</f>
        <v>3</v>
      </c>
      <c r="AI4" s="24">
        <v>0</v>
      </c>
      <c r="AJ4" s="6" t="s">
        <v>20</v>
      </c>
      <c r="AK4" s="24">
        <v>20</v>
      </c>
      <c r="AL4" s="6" t="s">
        <v>20</v>
      </c>
      <c r="AM4" s="5">
        <f t="shared" ref="AM4:AM7" si="116">IF(OR(ISNUMBER(AI4), ISNUMBER(AK4)), IF(ISNUMBER(AI4), AI4, 0) + IF(ISNUMBER(AK4), AK4, 0), "")</f>
        <v>20</v>
      </c>
      <c r="AN4" s="3"/>
      <c r="AO4" s="7">
        <f t="shared" si="2"/>
        <v>4</v>
      </c>
      <c r="AP4" s="5">
        <v>2</v>
      </c>
      <c r="AQ4" s="7">
        <f t="shared" ref="AQ4:AQ7" si="117">IF(ISNUMBER(AP4), AP4-AO4, "")</f>
        <v>-2</v>
      </c>
      <c r="AS4" s="24">
        <v>0</v>
      </c>
      <c r="AT4" s="6" t="s">
        <v>20</v>
      </c>
      <c r="AU4" s="24">
        <v>11</v>
      </c>
      <c r="AV4" s="6" t="s">
        <v>20</v>
      </c>
      <c r="AW4" s="5">
        <f t="shared" ref="AW4:AW7" si="118">IF(OR(ISNUMBER(AS4), ISNUMBER(AU4)), IF(ISNUMBER(AS4), AS4, 0) + IF(ISNUMBER(AU4), AU4, 0), "")</f>
        <v>11</v>
      </c>
      <c r="AX4" s="3"/>
      <c r="AY4" s="7">
        <f t="shared" si="3"/>
        <v>9</v>
      </c>
      <c r="AZ4" s="5">
        <v>8</v>
      </c>
      <c r="BA4" s="7">
        <f t="shared" ref="BA4:BA7" si="119">IF(ISNUMBER(AZ4), AZ4-AY4, "")</f>
        <v>-1</v>
      </c>
      <c r="BC4" s="2">
        <v>0</v>
      </c>
      <c r="BD4" s="6" t="s">
        <v>20</v>
      </c>
      <c r="BE4" s="2">
        <v>9</v>
      </c>
      <c r="BF4" s="6" t="s">
        <v>20</v>
      </c>
      <c r="BG4" s="5">
        <f t="shared" ref="BG4:BG7" si="120">IF(OR(ISNUMBER(BC4), ISNUMBER(BE4)), IF(ISNUMBER(BC4), BC4, 0) + IF(ISNUMBER(BE4), BE4, 0), "")</f>
        <v>9</v>
      </c>
      <c r="BH4" s="3"/>
      <c r="BI4" s="7">
        <f t="shared" si="4"/>
        <v>2</v>
      </c>
      <c r="BJ4" s="5">
        <v>1</v>
      </c>
      <c r="BK4" s="7">
        <f t="shared" ref="BK4:BK7" si="121">IF(ISNUMBER(BJ4), BJ4-BI4, "")</f>
        <v>-1</v>
      </c>
      <c r="BM4" s="2">
        <v>0</v>
      </c>
      <c r="BN4" s="6" t="s">
        <v>20</v>
      </c>
      <c r="BO4" s="2">
        <v>8</v>
      </c>
      <c r="BP4" s="6" t="s">
        <v>20</v>
      </c>
      <c r="BQ4" s="5">
        <f t="shared" ref="BQ4:BQ7" si="122">IF(OR(ISNUMBER(BM4), ISNUMBER(BO4)), IF(ISNUMBER(BM4), BM4, 0) + IF(ISNUMBER(BO4), BO4, 0), "")</f>
        <v>8</v>
      </c>
      <c r="BR4" s="3">
        <v>1</v>
      </c>
      <c r="BS4" s="7">
        <f t="shared" si="5"/>
        <v>1</v>
      </c>
      <c r="BT4" s="5"/>
      <c r="BU4" s="7" t="str">
        <f t="shared" ref="BU4:BU7" si="123">IF(ISNUMBER(BT4), BT4-BS4, "")</f>
        <v/>
      </c>
      <c r="BW4" s="24">
        <v>24</v>
      </c>
      <c r="BX4" s="6" t="s">
        <v>20</v>
      </c>
      <c r="BY4" s="24">
        <v>8</v>
      </c>
      <c r="BZ4" s="6" t="s">
        <v>20</v>
      </c>
      <c r="CA4" s="5">
        <f t="shared" ref="CA4:CA7" si="124">IF(OR(ISNUMBER(BW4), ISNUMBER(BY4)), IF(ISNUMBER(BW4), BW4, 0) + IF(ISNUMBER(BY4), BY4, 0), "")</f>
        <v>32</v>
      </c>
      <c r="CB4" s="3"/>
      <c r="CC4" s="7">
        <f t="shared" si="6"/>
        <v>0</v>
      </c>
      <c r="CD4" s="5"/>
      <c r="CE4" s="7" t="str">
        <f t="shared" ref="CE4:CE7" si="125">IF(ISNUMBER(CD4), CD4-CC4, "")</f>
        <v/>
      </c>
      <c r="CG4" s="24">
        <v>24</v>
      </c>
      <c r="CH4" s="6" t="s">
        <v>20</v>
      </c>
      <c r="CI4" s="24">
        <v>8</v>
      </c>
      <c r="CJ4" s="6" t="s">
        <v>20</v>
      </c>
      <c r="CK4" s="5">
        <f t="shared" ref="CK4:CK7" si="126">IF(OR(ISNUMBER(CG4), ISNUMBER(CI4)), IF(ISNUMBER(CG4), CG4, 0) + IF(ISNUMBER(CI4), CI4, 0), "")</f>
        <v>32</v>
      </c>
      <c r="CL4" s="3"/>
      <c r="CM4" s="7">
        <f t="shared" si="7"/>
        <v>0</v>
      </c>
      <c r="CN4" s="5"/>
      <c r="CO4" s="7" t="str">
        <f t="shared" ref="CO4:CO7" si="127">IF(ISNUMBER(CN4), CN4-CM4, "")</f>
        <v/>
      </c>
      <c r="CQ4" s="24">
        <v>24</v>
      </c>
      <c r="CR4" s="6" t="s">
        <v>20</v>
      </c>
      <c r="CS4" s="24">
        <v>8</v>
      </c>
      <c r="CT4" s="6" t="s">
        <v>20</v>
      </c>
      <c r="CU4" s="5">
        <f t="shared" ref="CU4:CU7" si="128">IF(OR(ISNUMBER(CQ4), ISNUMBER(CS4)), IF(ISNUMBER(CQ4), CQ4, 0) + IF(ISNUMBER(CS4), CS4, 0), "")</f>
        <v>32</v>
      </c>
      <c r="CV4" s="3"/>
      <c r="CW4" s="7">
        <f t="shared" si="8"/>
        <v>0</v>
      </c>
      <c r="CX4" s="5"/>
      <c r="CY4" s="7" t="str">
        <f t="shared" ref="CY4:CY7" si="129">IF(ISNUMBER(CX4), CX4-CW4, "")</f>
        <v/>
      </c>
      <c r="DA4" s="24">
        <v>24</v>
      </c>
      <c r="DB4" s="6" t="s">
        <v>20</v>
      </c>
      <c r="DC4" s="24">
        <v>6</v>
      </c>
      <c r="DD4" s="6" t="s">
        <v>20</v>
      </c>
      <c r="DE4" s="5">
        <f t="shared" ref="DE4:DE7" si="130">IF(OR(ISNUMBER(DA4), ISNUMBER(DC4)), IF(ISNUMBER(DA4), DA4, 0) + IF(ISNUMBER(DC4), DC4, 0), "")</f>
        <v>30</v>
      </c>
      <c r="DF4" s="3"/>
      <c r="DG4" s="7">
        <f t="shared" si="9"/>
        <v>2</v>
      </c>
      <c r="DH4" s="5">
        <v>1</v>
      </c>
      <c r="DI4" s="7">
        <f t="shared" ref="DI4:DI7" si="131">IF(ISNUMBER(DH4), DH4-DG4, "")</f>
        <v>-1</v>
      </c>
      <c r="DK4" s="24">
        <v>18</v>
      </c>
      <c r="DL4" s="6" t="s">
        <v>20</v>
      </c>
      <c r="DM4" s="24">
        <v>11</v>
      </c>
      <c r="DN4" s="6" t="s">
        <v>20</v>
      </c>
      <c r="DO4" s="5">
        <f t="shared" ref="DO4:DO7" si="132">IF(OR(ISNUMBER(DK4), ISNUMBER(DM4)), IF(ISNUMBER(DK4), DK4, 0) + IF(ISNUMBER(DM4), DM4, 0), "")</f>
        <v>29</v>
      </c>
      <c r="DP4" s="3"/>
      <c r="DQ4" s="7">
        <f t="shared" si="10"/>
        <v>1</v>
      </c>
      <c r="DR4" s="5">
        <v>1</v>
      </c>
      <c r="DS4" s="7">
        <f t="shared" ref="DS4:DS7" si="133">IF(ISNUMBER(DR4), DR4-DQ4, "")</f>
        <v>0</v>
      </c>
      <c r="DU4" s="24">
        <v>18</v>
      </c>
      <c r="DV4" s="6" t="s">
        <v>20</v>
      </c>
      <c r="DW4" s="24">
        <v>9</v>
      </c>
      <c r="DX4" s="6" t="s">
        <v>20</v>
      </c>
      <c r="DY4" s="5">
        <f t="shared" ref="DY4:DY7" si="134">IF(OR(ISNUMBER(DU4), ISNUMBER(DW4)), IF(ISNUMBER(DU4), DU4, 0) + IF(ISNUMBER(DW4), DW4, 0), "")</f>
        <v>27</v>
      </c>
      <c r="DZ4" s="3"/>
      <c r="EA4" s="7">
        <f t="shared" si="11"/>
        <v>2</v>
      </c>
      <c r="EB4" s="5">
        <v>2</v>
      </c>
      <c r="EC4" s="7">
        <f t="shared" ref="EC4:EC7" si="135">IF(ISNUMBER(EB4), EB4-EA4, "")</f>
        <v>0</v>
      </c>
      <c r="EE4" s="24">
        <v>18</v>
      </c>
      <c r="EF4" s="6" t="s">
        <v>20</v>
      </c>
      <c r="EG4" s="24">
        <v>9</v>
      </c>
      <c r="EH4" s="6" t="s">
        <v>20</v>
      </c>
      <c r="EI4" s="5">
        <f t="shared" ref="EI4:EI7" si="136">IF(OR(ISNUMBER(EE4), ISNUMBER(EG4)), IF(ISNUMBER(EE4), EE4, 0) + IF(ISNUMBER(EG4), EG4, 0), "")</f>
        <v>27</v>
      </c>
      <c r="EJ4" s="3"/>
      <c r="EK4" s="7">
        <f t="shared" si="12"/>
        <v>0</v>
      </c>
      <c r="EL4" s="5"/>
      <c r="EM4" s="7" t="str">
        <f t="shared" ref="EM4:EM7" si="137">IF(ISNUMBER(EL4), EL4-EK4, "")</f>
        <v/>
      </c>
      <c r="EO4" s="24">
        <v>18</v>
      </c>
      <c r="EP4" s="6" t="s">
        <v>20</v>
      </c>
      <c r="EQ4" s="24">
        <v>9</v>
      </c>
      <c r="ER4" s="6" t="s">
        <v>20</v>
      </c>
      <c r="ES4" s="5">
        <f t="shared" ref="ES4:ES7" si="138">IF(OR(ISNUMBER(EO4), ISNUMBER(EQ4)), IF(ISNUMBER(EO4), EO4, 0) + IF(ISNUMBER(EQ4), EQ4, 0), "")</f>
        <v>27</v>
      </c>
      <c r="ET4" s="3"/>
      <c r="EU4" s="7">
        <f t="shared" si="13"/>
        <v>0</v>
      </c>
      <c r="EV4" s="5"/>
      <c r="EW4" s="7" t="str">
        <f t="shared" ref="EW4:EW7" si="139">IF(ISNUMBER(EV4), EV4-EU4, "")</f>
        <v/>
      </c>
      <c r="EY4" s="24">
        <v>18</v>
      </c>
      <c r="EZ4" s="6" t="s">
        <v>20</v>
      </c>
      <c r="FA4" s="24">
        <v>6</v>
      </c>
      <c r="FB4" s="6" t="s">
        <v>20</v>
      </c>
      <c r="FC4" s="5">
        <f t="shared" ref="FC4:FC7" si="140">IF(OR(ISNUMBER(EY4), ISNUMBER(FA4)), IF(ISNUMBER(EY4), EY4, 0) + IF(ISNUMBER(FA4), FA4, 0), "")</f>
        <v>24</v>
      </c>
      <c r="FD4" s="3"/>
      <c r="FE4" s="7">
        <f t="shared" si="14"/>
        <v>3</v>
      </c>
      <c r="FF4" s="5">
        <v>2</v>
      </c>
      <c r="FG4" s="7">
        <f t="shared" ref="FG4:FG7" si="141">IF(ISNUMBER(FF4), FF4-FE4, "")</f>
        <v>-1</v>
      </c>
      <c r="FI4" s="24">
        <v>12</v>
      </c>
      <c r="FJ4" s="6" t="s">
        <v>20</v>
      </c>
      <c r="FK4" s="24">
        <v>7</v>
      </c>
      <c r="FL4" s="6" t="s">
        <v>20</v>
      </c>
      <c r="FM4" s="5">
        <f t="shared" ref="FM4:FM7" si="142">IF(OR(ISNUMBER(FI4), ISNUMBER(FK4)), IF(ISNUMBER(FI4), FI4, 0) + IF(ISNUMBER(FK4), FK4, 0), "")</f>
        <v>19</v>
      </c>
      <c r="FN4" s="3"/>
      <c r="FO4" s="7">
        <f t="shared" si="15"/>
        <v>5</v>
      </c>
      <c r="FP4" s="5"/>
      <c r="FQ4" s="7" t="str">
        <f t="shared" ref="FQ4:FQ7" si="143">IF(ISNUMBER(FP4), FP4-FO4, "")</f>
        <v/>
      </c>
      <c r="FS4" s="24">
        <v>18</v>
      </c>
      <c r="FT4" s="6" t="s">
        <v>20</v>
      </c>
      <c r="FU4" s="24">
        <v>7</v>
      </c>
      <c r="FV4" s="6" t="s">
        <v>20</v>
      </c>
      <c r="FW4" s="5">
        <f t="shared" ref="FW4:FW7" si="144">IF(OR(ISNUMBER(FS4), ISNUMBER(FU4)), IF(ISNUMBER(FS4), FS4, 0) + IF(ISNUMBER(FU4), FU4, 0), "")</f>
        <v>25</v>
      </c>
      <c r="FX4" s="3"/>
      <c r="FY4" s="7">
        <f t="shared" si="16"/>
        <v>-6</v>
      </c>
      <c r="FZ4" s="5"/>
      <c r="GA4" s="7" t="str">
        <f t="shared" ref="GA4:GA7" si="145">IF(ISNUMBER(FZ4), FZ4-FY4, "")</f>
        <v/>
      </c>
      <c r="GC4" s="24">
        <v>12</v>
      </c>
      <c r="GD4" s="6" t="s">
        <v>20</v>
      </c>
      <c r="GE4" s="24">
        <v>12</v>
      </c>
      <c r="GF4" s="6" t="s">
        <v>20</v>
      </c>
      <c r="GG4" s="5">
        <f t="shared" ref="GG4:GG7" si="146">IF(OR(ISNUMBER(GC4), ISNUMBER(GE4)), IF(ISNUMBER(GC4), GC4, 0) + IF(ISNUMBER(GE4), GE4, 0), "")</f>
        <v>24</v>
      </c>
      <c r="GH4" s="3"/>
      <c r="GI4" s="7">
        <f t="shared" si="17"/>
        <v>1</v>
      </c>
      <c r="GJ4" s="5">
        <v>1</v>
      </c>
      <c r="GK4" s="7">
        <f t="shared" ref="GK4:GK7" si="147">IF(ISNUMBER(GJ4), GJ4-GI4, "")</f>
        <v>0</v>
      </c>
      <c r="GM4" s="24">
        <v>12</v>
      </c>
      <c r="GN4" s="6" t="s">
        <v>20</v>
      </c>
      <c r="GO4" s="24">
        <v>12</v>
      </c>
      <c r="GP4" s="6" t="s">
        <v>20</v>
      </c>
      <c r="GQ4" s="5">
        <f t="shared" ref="GQ4:GQ7" si="148">IF(OR(ISNUMBER(GM4), ISNUMBER(GO4)), IF(ISNUMBER(GM4), GM4, 0) + IF(ISNUMBER(GO4), GO4, 0), "")</f>
        <v>24</v>
      </c>
      <c r="GR4" s="3"/>
      <c r="GS4" s="7">
        <f t="shared" si="18"/>
        <v>0</v>
      </c>
      <c r="GT4" s="5"/>
      <c r="GU4" s="7" t="str">
        <f t="shared" ref="GU4:GU7" si="149">IF(ISNUMBER(GT4), GT4-GS4, "")</f>
        <v/>
      </c>
      <c r="GW4" s="24">
        <v>12</v>
      </c>
      <c r="GX4" s="6" t="s">
        <v>20</v>
      </c>
      <c r="GY4" s="24">
        <v>11</v>
      </c>
      <c r="GZ4" s="6" t="s">
        <v>20</v>
      </c>
      <c r="HA4" s="5">
        <f t="shared" ref="HA4:HA7" si="150">IF(OR(ISNUMBER(GW4), ISNUMBER(GY4)), IF(ISNUMBER(GW4), GW4, 0) + IF(ISNUMBER(GY4), GY4, 0), "")</f>
        <v>23</v>
      </c>
      <c r="HB4" s="3"/>
      <c r="HC4" s="7">
        <f t="shared" si="19"/>
        <v>1</v>
      </c>
      <c r="HD4" s="5">
        <v>1</v>
      </c>
      <c r="HE4" s="7">
        <f t="shared" ref="HE4:HE7" si="151">IF(ISNUMBER(HD4), HD4-HC4, "")</f>
        <v>0</v>
      </c>
      <c r="HG4" s="24">
        <v>12</v>
      </c>
      <c r="HH4" s="6" t="s">
        <v>20</v>
      </c>
      <c r="HI4" s="24">
        <v>10</v>
      </c>
      <c r="HJ4" s="6" t="s">
        <v>20</v>
      </c>
      <c r="HK4" s="5">
        <f t="shared" ref="HK4:HK7" si="152">IF(OR(ISNUMBER(HG4), ISNUMBER(HI4)), IF(ISNUMBER(HG4), HG4, 0) + IF(ISNUMBER(HI4), HI4, 0), "")</f>
        <v>22</v>
      </c>
      <c r="HL4" s="3"/>
      <c r="HM4" s="7">
        <f t="shared" si="20"/>
        <v>1</v>
      </c>
      <c r="HN4" s="5">
        <v>1</v>
      </c>
      <c r="HO4" s="7">
        <f t="shared" ref="HO4:HO7" si="153">IF(ISNUMBER(HN4), HN4-HM4, "")</f>
        <v>0</v>
      </c>
      <c r="HQ4" s="24">
        <v>6</v>
      </c>
      <c r="HR4" s="6" t="s">
        <v>20</v>
      </c>
      <c r="HS4" s="24">
        <v>12</v>
      </c>
      <c r="HT4" s="6" t="s">
        <v>20</v>
      </c>
      <c r="HU4" s="5">
        <f t="shared" ref="HU4:HU7" si="154">IF(OR(ISNUMBER(HQ4), ISNUMBER(HS4)), IF(ISNUMBER(HQ4), HQ4, 0) + IF(ISNUMBER(HS4), HS4, 0), "")</f>
        <v>18</v>
      </c>
      <c r="HV4" s="3"/>
      <c r="HW4" s="7">
        <f t="shared" si="21"/>
        <v>4</v>
      </c>
      <c r="HX4" s="5">
        <v>1</v>
      </c>
      <c r="HY4" s="7">
        <f t="shared" ref="HY4:HY7" si="155">IF(ISNUMBER(HX4), HX4-HW4, "")</f>
        <v>-3</v>
      </c>
      <c r="IA4" s="24">
        <v>6</v>
      </c>
      <c r="IB4" s="6" t="s">
        <v>20</v>
      </c>
      <c r="IC4" s="24">
        <v>12</v>
      </c>
      <c r="ID4" s="6" t="s">
        <v>20</v>
      </c>
      <c r="IE4" s="5">
        <f t="shared" ref="IE4:IE7" si="156">IF(OR(ISNUMBER(IA4), ISNUMBER(IC4)), IF(ISNUMBER(IA4), IA4, 0) + IF(ISNUMBER(IC4), IC4, 0), "")</f>
        <v>18</v>
      </c>
      <c r="IF4" s="3"/>
      <c r="IG4" s="7">
        <f t="shared" si="22"/>
        <v>0</v>
      </c>
      <c r="IH4" s="5">
        <v>1</v>
      </c>
      <c r="II4" s="7">
        <f t="shared" ref="II4:II7" si="157">IF(ISNUMBER(IH4), IH4-IG4, "")</f>
        <v>1</v>
      </c>
      <c r="IK4" s="24">
        <v>6</v>
      </c>
      <c r="IL4" s="6" t="s">
        <v>20</v>
      </c>
      <c r="IM4" s="24">
        <v>8</v>
      </c>
      <c r="IN4" s="6" t="s">
        <v>20</v>
      </c>
      <c r="IO4" s="5">
        <f t="shared" ref="IO4:IO7" si="158">IF(OR(ISNUMBER(IK4), ISNUMBER(IM4)), IF(ISNUMBER(IK4), IK4, 0) + IF(ISNUMBER(IM4), IM4, 0), "")</f>
        <v>14</v>
      </c>
      <c r="IP4" s="3"/>
      <c r="IQ4" s="7">
        <f t="shared" si="23"/>
        <v>4</v>
      </c>
      <c r="IR4" s="5">
        <v>4</v>
      </c>
      <c r="IS4" s="7">
        <f t="shared" ref="IS4:IS7" si="159">IF(ISNUMBER(IR4), IR4-IQ4, "")</f>
        <v>0</v>
      </c>
      <c r="IU4" s="24">
        <v>6</v>
      </c>
      <c r="IV4" s="6" t="s">
        <v>20</v>
      </c>
      <c r="IW4" s="24">
        <v>6</v>
      </c>
      <c r="IX4" s="6" t="s">
        <v>20</v>
      </c>
      <c r="IY4" s="5">
        <f t="shared" ref="IY4:IY7" si="160">IF(OR(ISNUMBER(IU4), ISNUMBER(IW4)), IF(ISNUMBER(IU4), IU4, 0) + IF(ISNUMBER(IW4), IW4, 0), "")</f>
        <v>12</v>
      </c>
      <c r="IZ4" s="3"/>
      <c r="JA4" s="7">
        <f t="shared" si="24"/>
        <v>2</v>
      </c>
      <c r="JB4" s="5">
        <v>2</v>
      </c>
      <c r="JC4" s="7">
        <f t="shared" ref="JC4:JC7" si="161">IF(ISNUMBER(JB4), JB4-JA4, "")</f>
        <v>0</v>
      </c>
      <c r="JE4" s="24">
        <v>6</v>
      </c>
      <c r="JF4" s="6" t="s">
        <v>20</v>
      </c>
      <c r="JG4" s="24">
        <v>5</v>
      </c>
      <c r="JH4" s="6" t="s">
        <v>20</v>
      </c>
      <c r="JI4" s="5">
        <f t="shared" ref="JI4:JI7" si="162">IF(OR(ISNUMBER(JE4), ISNUMBER(JG4)), IF(ISNUMBER(JE4), JE4, 0) + IF(ISNUMBER(JG4), JG4, 0), "")</f>
        <v>11</v>
      </c>
      <c r="JJ4" s="3">
        <v>1</v>
      </c>
      <c r="JK4" s="7">
        <f t="shared" si="25"/>
        <v>1</v>
      </c>
      <c r="JL4" s="5">
        <v>1</v>
      </c>
      <c r="JM4" s="7">
        <f t="shared" ref="JM4:JM7" si="163">IF(ISNUMBER(JL4), JL4-JK4, "")</f>
        <v>0</v>
      </c>
      <c r="JO4" s="24">
        <v>24</v>
      </c>
      <c r="JP4" s="6" t="s">
        <v>20</v>
      </c>
      <c r="JQ4" s="24">
        <v>8</v>
      </c>
      <c r="JR4" s="6" t="s">
        <v>20</v>
      </c>
      <c r="JS4" s="5">
        <f t="shared" ref="JS4:JS7" si="164">IF(OR(ISNUMBER(JO4), ISNUMBER(JQ4)), IF(ISNUMBER(JO4), JO4, 0) + IF(ISNUMBER(JQ4), JQ4, 0), "")</f>
        <v>32</v>
      </c>
      <c r="JT4" s="3"/>
      <c r="JU4" s="7">
        <f t="shared" si="26"/>
        <v>3</v>
      </c>
      <c r="JV4" s="5">
        <v>2</v>
      </c>
      <c r="JW4" s="7">
        <f t="shared" ref="JW4:JW7" si="165">IF(ISNUMBER(JV4), JV4-JU4, "")</f>
        <v>-1</v>
      </c>
      <c r="JY4" s="24">
        <v>24</v>
      </c>
      <c r="JZ4" s="6" t="s">
        <v>20</v>
      </c>
      <c r="KA4" s="24">
        <v>7</v>
      </c>
      <c r="KB4" s="6" t="s">
        <v>20</v>
      </c>
      <c r="KC4" s="5">
        <f t="shared" ref="KC4:KC7" si="166">IF(OR(ISNUMBER(JY4), ISNUMBER(KA4)), IF(ISNUMBER(JY4), JY4, 0) + IF(ISNUMBER(KA4), KA4, 0), "")</f>
        <v>31</v>
      </c>
      <c r="KD4" s="3"/>
      <c r="KE4" s="7">
        <f t="shared" si="27"/>
        <v>1</v>
      </c>
      <c r="KF4" s="5"/>
      <c r="KG4" s="7" t="str">
        <f t="shared" ref="KG4:KG7" si="167">IF(ISNUMBER(KF4), KF4-KE4, "")</f>
        <v/>
      </c>
      <c r="KI4" s="24">
        <v>18</v>
      </c>
      <c r="KJ4" s="6" t="s">
        <v>20</v>
      </c>
      <c r="KK4" s="24">
        <v>11</v>
      </c>
      <c r="KL4" s="6" t="s">
        <v>20</v>
      </c>
      <c r="KM4" s="5">
        <f t="shared" ref="KM4:KM7" si="168">IF(OR(ISNUMBER(KI4), ISNUMBER(KK4)), IF(ISNUMBER(KI4), KI4, 0) + IF(ISNUMBER(KK4), KK4, 0), "")</f>
        <v>29</v>
      </c>
      <c r="KN4" s="3"/>
      <c r="KO4" s="7">
        <f t="shared" si="28"/>
        <v>2</v>
      </c>
      <c r="KP4" s="5">
        <v>2</v>
      </c>
      <c r="KQ4" s="7">
        <f t="shared" ref="KQ4:KQ7" si="169">IF(ISNUMBER(KP4), KP4-KO4, "")</f>
        <v>0</v>
      </c>
      <c r="KS4" s="24">
        <v>18</v>
      </c>
      <c r="KT4" s="6" t="s">
        <v>20</v>
      </c>
      <c r="KU4" s="24">
        <v>10</v>
      </c>
      <c r="KV4" s="6" t="s">
        <v>20</v>
      </c>
      <c r="KW4" s="5">
        <f t="shared" ref="KW4:KW7" si="170">IF(OR(ISNUMBER(KS4), ISNUMBER(KU4)), IF(ISNUMBER(KS4), KS4, 0) + IF(ISNUMBER(KU4), KU4, 0), "")</f>
        <v>28</v>
      </c>
      <c r="KX4" s="3"/>
      <c r="KY4" s="7">
        <f t="shared" si="29"/>
        <v>1</v>
      </c>
      <c r="KZ4" s="5">
        <v>1</v>
      </c>
      <c r="LA4" s="7">
        <f t="shared" ref="LA4:LA7" si="171">IF(ISNUMBER(KZ4), KZ4-KY4, "")</f>
        <v>0</v>
      </c>
      <c r="LC4" s="24">
        <v>18</v>
      </c>
      <c r="LD4" s="6" t="s">
        <v>20</v>
      </c>
      <c r="LE4" s="24">
        <v>4</v>
      </c>
      <c r="LF4" s="6" t="s">
        <v>20</v>
      </c>
      <c r="LG4" s="5">
        <f t="shared" ref="LG4:LG7" si="172">IF(OR(ISNUMBER(LC4), ISNUMBER(LE4)), IF(ISNUMBER(LC4), LC4, 0) + IF(ISNUMBER(LE4), LE4, 0), "")</f>
        <v>22</v>
      </c>
      <c r="LH4" s="3"/>
      <c r="LI4" s="7">
        <f t="shared" si="30"/>
        <v>6</v>
      </c>
      <c r="LJ4" s="5"/>
      <c r="LK4" s="7" t="str">
        <f t="shared" ref="LK4:LK7" si="173">IF(ISNUMBER(LJ4), LJ4-LI4, "")</f>
        <v/>
      </c>
      <c r="LM4" s="24">
        <v>18</v>
      </c>
      <c r="LN4" s="6" t="s">
        <v>20</v>
      </c>
      <c r="LO4" s="24">
        <v>7</v>
      </c>
      <c r="LP4" s="6" t="s">
        <v>20</v>
      </c>
      <c r="LQ4" s="5">
        <f t="shared" ref="LQ4:LQ7" si="174">IF(OR(ISNUMBER(LM4), ISNUMBER(LO4)), IF(ISNUMBER(LM4), LM4, 0) + IF(ISNUMBER(LO4), LO4, 0), "")</f>
        <v>25</v>
      </c>
      <c r="LR4" s="3"/>
      <c r="LS4" s="7">
        <f t="shared" si="31"/>
        <v>-3</v>
      </c>
      <c r="LT4" s="5">
        <v>3</v>
      </c>
      <c r="LU4" s="7">
        <f t="shared" ref="LU4:LU7" si="175">IF(ISNUMBER(LT4), LT4-LS4, "")</f>
        <v>6</v>
      </c>
      <c r="LW4" s="24">
        <v>18</v>
      </c>
      <c r="LX4" s="6" t="s">
        <v>20</v>
      </c>
      <c r="LY4" s="24">
        <v>7</v>
      </c>
      <c r="LZ4" s="6" t="s">
        <v>20</v>
      </c>
      <c r="MA4" s="5">
        <f t="shared" ref="MA4:MA7" si="176">IF(OR(ISNUMBER(LW4), ISNUMBER(LY4)), IF(ISNUMBER(LW4), LW4, 0) + IF(ISNUMBER(LY4), LY4, 0), "")</f>
        <v>25</v>
      </c>
      <c r="MB4" s="3"/>
      <c r="MC4" s="7">
        <f t="shared" si="32"/>
        <v>0</v>
      </c>
      <c r="MD4" s="5"/>
      <c r="ME4" s="7" t="str">
        <f t="shared" ref="ME4:ME7" si="177">IF(ISNUMBER(MD4), MD4-MC4, "")</f>
        <v/>
      </c>
      <c r="MG4" s="24">
        <v>18</v>
      </c>
      <c r="MH4" s="6" t="s">
        <v>20</v>
      </c>
      <c r="MI4" s="24">
        <v>5</v>
      </c>
      <c r="MJ4" s="6" t="s">
        <v>20</v>
      </c>
      <c r="MK4" s="5">
        <f t="shared" ref="MK4:MK7" si="178">IF(OR(ISNUMBER(MG4), ISNUMBER(MI4)), IF(ISNUMBER(MG4), MG4, 0) + IF(ISNUMBER(MI4), MI4, 0), "")</f>
        <v>23</v>
      </c>
      <c r="ML4" s="3"/>
      <c r="MM4" s="7">
        <f t="shared" si="33"/>
        <v>2</v>
      </c>
      <c r="MN4" s="5">
        <v>2</v>
      </c>
      <c r="MO4" s="7">
        <f t="shared" ref="MO4:MO7" si="179">IF(ISNUMBER(MN4), MN4-MM4, "")</f>
        <v>0</v>
      </c>
      <c r="MQ4" s="2">
        <v>18</v>
      </c>
      <c r="MR4" s="6" t="s">
        <v>20</v>
      </c>
      <c r="MS4" s="2">
        <v>4</v>
      </c>
      <c r="MT4" s="6" t="s">
        <v>20</v>
      </c>
      <c r="MU4" s="5">
        <f t="shared" ref="MU4:MU7" si="180">IF(OR(ISNUMBER(MQ4), ISNUMBER(MS4)), IF(ISNUMBER(MQ4), MQ4, 0) + IF(ISNUMBER(MS4), MS4, 0), "")</f>
        <v>22</v>
      </c>
      <c r="MV4" s="3"/>
      <c r="MW4" s="7">
        <f t="shared" si="34"/>
        <v>1</v>
      </c>
      <c r="MX4" s="5">
        <v>1</v>
      </c>
      <c r="MY4" s="7">
        <f t="shared" ref="MY4:MY7" si="181">IF(ISNUMBER(MX4), MX4-MW4, "")</f>
        <v>0</v>
      </c>
      <c r="NA4" s="24">
        <v>0</v>
      </c>
      <c r="NB4" s="6" t="s">
        <v>20</v>
      </c>
      <c r="NC4" s="24">
        <v>15</v>
      </c>
      <c r="ND4" s="6" t="s">
        <v>20</v>
      </c>
      <c r="NE4" s="5">
        <f t="shared" ref="NE4:NE7" si="182">IF(OR(ISNUMBER(NA4), ISNUMBER(NC4)), IF(ISNUMBER(NA4), NA4, 0) + IF(ISNUMBER(NC4), NC4, 0), "")</f>
        <v>15</v>
      </c>
      <c r="NF4" s="3">
        <v>1</v>
      </c>
      <c r="NG4" s="7">
        <f t="shared" si="35"/>
        <v>7</v>
      </c>
      <c r="NH4" s="5">
        <v>5</v>
      </c>
      <c r="NI4" s="7">
        <f t="shared" ref="NI4:NI7" si="183">IF(ISNUMBER(NH4), NH4-NG4, "")</f>
        <v>-2</v>
      </c>
      <c r="NK4" s="24">
        <v>24</v>
      </c>
      <c r="NL4" s="6" t="s">
        <v>20</v>
      </c>
      <c r="NM4" s="24">
        <v>13</v>
      </c>
      <c r="NN4" s="6" t="s">
        <v>20</v>
      </c>
      <c r="NO4" s="5">
        <f t="shared" ref="NO4:NO7" si="184">IF(OR(ISNUMBER(NK4), ISNUMBER(NM4)), IF(ISNUMBER(NK4), NK4, 0) + IF(ISNUMBER(NM4), NM4, 0), "")</f>
        <v>37</v>
      </c>
      <c r="NP4" s="3"/>
      <c r="NQ4" s="7">
        <f t="shared" si="36"/>
        <v>2</v>
      </c>
      <c r="NR4" s="5">
        <v>2</v>
      </c>
      <c r="NS4" s="7">
        <f t="shared" ref="NS4:NS7" si="185">IF(ISNUMBER(NR4), NR4-NQ4, "")</f>
        <v>0</v>
      </c>
      <c r="NU4" s="24">
        <v>32</v>
      </c>
      <c r="NV4" s="6" t="s">
        <v>20</v>
      </c>
      <c r="NW4" s="24">
        <v>9</v>
      </c>
      <c r="NX4" s="6" t="s">
        <v>20</v>
      </c>
      <c r="NY4" s="5">
        <f t="shared" ref="NY4:NY7" si="186">IF(OR(ISNUMBER(NU4), ISNUMBER(NW4)), IF(ISNUMBER(NU4), NU4, 0) + IF(ISNUMBER(NW4), NW4, 0), "")</f>
        <v>41</v>
      </c>
      <c r="NZ4" s="3"/>
      <c r="OA4" s="7">
        <f t="shared" si="37"/>
        <v>-4</v>
      </c>
      <c r="OB4" s="5">
        <v>4</v>
      </c>
      <c r="OC4" s="7">
        <f t="shared" ref="OC4:OC7" si="187">IF(ISNUMBER(OB4), OB4-OA4, "")</f>
        <v>8</v>
      </c>
      <c r="OE4" s="2">
        <v>24</v>
      </c>
      <c r="OF4" s="6" t="s">
        <v>20</v>
      </c>
      <c r="OG4" s="2">
        <v>7</v>
      </c>
      <c r="OH4" s="6" t="s">
        <v>20</v>
      </c>
      <c r="OI4" s="5">
        <f t="shared" ref="OI4:OI7" si="188">IF(OR(ISNUMBER(OE4), ISNUMBER(OG4)), IF(ISNUMBER(OE4), OE4, 0) + IF(ISNUMBER(OG4), OG4, 0), "")</f>
        <v>31</v>
      </c>
      <c r="OJ4" s="3"/>
      <c r="OK4" s="7">
        <f t="shared" si="38"/>
        <v>10</v>
      </c>
      <c r="OL4" s="5">
        <v>2</v>
      </c>
      <c r="OM4" s="7">
        <f t="shared" ref="OM4:OM7" si="189">IF(ISNUMBER(OL4), OL4-OK4, "")</f>
        <v>-8</v>
      </c>
      <c r="OO4" s="24">
        <v>8</v>
      </c>
      <c r="OP4" s="6" t="s">
        <v>20</v>
      </c>
      <c r="OQ4" s="24">
        <v>22</v>
      </c>
      <c r="OR4" s="6" t="s">
        <v>20</v>
      </c>
      <c r="OS4" s="5">
        <f t="shared" ref="OS4:OS7" si="190">IF(OR(ISNUMBER(OO4), ISNUMBER(OQ4)), IF(ISNUMBER(OO4), OO4, 0) + IF(ISNUMBER(OQ4), OQ4, 0), "")</f>
        <v>30</v>
      </c>
      <c r="OT4" s="3"/>
      <c r="OU4" s="7">
        <f t="shared" si="39"/>
        <v>1</v>
      </c>
      <c r="OV4" s="5"/>
      <c r="OW4" s="7" t="str">
        <f t="shared" ref="OW4:OW7" si="191">IF(ISNUMBER(OV4), OV4-OU4, "")</f>
        <v/>
      </c>
      <c r="OY4" s="24">
        <v>8</v>
      </c>
      <c r="OZ4" s="6" t="s">
        <v>20</v>
      </c>
      <c r="PA4" s="24">
        <v>22</v>
      </c>
      <c r="PB4" s="6" t="s">
        <v>20</v>
      </c>
      <c r="PC4" s="5">
        <f t="shared" ref="PC4:PC7" si="192">IF(OR(ISNUMBER(OY4), ISNUMBER(PA4)), IF(ISNUMBER(OY4), OY4, 0) + IF(ISNUMBER(PA4), PA4, 0), "")</f>
        <v>30</v>
      </c>
      <c r="PD4" s="3"/>
      <c r="PE4" s="7">
        <f t="shared" si="40"/>
        <v>0</v>
      </c>
      <c r="PF4" s="5">
        <v>1</v>
      </c>
      <c r="PG4" s="7">
        <f t="shared" ref="PG4:PG7" si="193">IF(ISNUMBER(PF4), PF4-PE4, "")</f>
        <v>1</v>
      </c>
      <c r="PI4" s="24">
        <v>8</v>
      </c>
      <c r="PJ4" s="6" t="s">
        <v>20</v>
      </c>
      <c r="PK4" s="24">
        <v>22</v>
      </c>
      <c r="PL4" s="6" t="s">
        <v>20</v>
      </c>
      <c r="PM4" s="5">
        <f t="shared" ref="PM4:PM7" si="194">IF(OR(ISNUMBER(PI4), ISNUMBER(PK4)), IF(ISNUMBER(PI4), PI4, 0) + IF(ISNUMBER(PK4), PK4, 0), "")</f>
        <v>30</v>
      </c>
      <c r="PN4" s="3"/>
      <c r="PO4" s="7">
        <f t="shared" si="41"/>
        <v>0</v>
      </c>
      <c r="PP4" s="5"/>
      <c r="PQ4" s="7" t="str">
        <f t="shared" ref="PQ4:PQ7" si="195">IF(ISNUMBER(PP4), PP4-PO4, "")</f>
        <v/>
      </c>
      <c r="PS4" s="2">
        <v>8</v>
      </c>
      <c r="PT4" s="6" t="s">
        <v>20</v>
      </c>
      <c r="PU4" s="2">
        <v>22</v>
      </c>
      <c r="PV4" s="6" t="s">
        <v>20</v>
      </c>
      <c r="PW4" s="5">
        <f t="shared" ref="PW4:PW7" si="196">IF(OR(ISNUMBER(PS4), ISNUMBER(PU4)), IF(ISNUMBER(PS4), PS4, 0) + IF(ISNUMBER(PU4), PU4, 0), "")</f>
        <v>30</v>
      </c>
      <c r="PX4" s="3"/>
      <c r="PY4" s="7">
        <f t="shared" si="42"/>
        <v>0</v>
      </c>
      <c r="PZ4" s="5"/>
      <c r="QA4" s="7" t="str">
        <f t="shared" ref="QA4:QA7" si="197">IF(ISNUMBER(PZ4), PZ4-PY4, "")</f>
        <v/>
      </c>
      <c r="QC4" s="24">
        <v>8</v>
      </c>
      <c r="QD4" s="6" t="s">
        <v>20</v>
      </c>
      <c r="QE4" s="24">
        <v>20</v>
      </c>
      <c r="QF4" s="6" t="s">
        <v>20</v>
      </c>
      <c r="QG4" s="5">
        <f t="shared" ref="QG4:QG7" si="198">IF(OR(ISNUMBER(QC4), ISNUMBER(QE4)), IF(ISNUMBER(QC4), QC4, 0) + IF(ISNUMBER(QE4), QE4, 0), "")</f>
        <v>28</v>
      </c>
      <c r="QH4" s="3"/>
      <c r="QI4" s="7">
        <f t="shared" si="43"/>
        <v>2</v>
      </c>
      <c r="QJ4" s="5">
        <v>2</v>
      </c>
      <c r="QK4" s="7">
        <f t="shared" ref="QK4:QK7" si="199">IF(ISNUMBER(QJ4), QJ4-QI4, "")</f>
        <v>0</v>
      </c>
      <c r="QM4" s="24">
        <v>0</v>
      </c>
      <c r="QN4" s="6" t="s">
        <v>20</v>
      </c>
      <c r="QO4" s="24">
        <v>28</v>
      </c>
      <c r="QP4" s="6" t="s">
        <v>20</v>
      </c>
      <c r="QQ4" s="5">
        <f t="shared" ref="QQ4:QQ7" si="200">IF(OR(ISNUMBER(QM4), ISNUMBER(QO4)), IF(ISNUMBER(QM4), QM4, 0) + IF(ISNUMBER(QO4), QO4, 0), "")</f>
        <v>28</v>
      </c>
      <c r="QR4" s="3"/>
      <c r="QS4" s="7">
        <f t="shared" si="44"/>
        <v>0</v>
      </c>
      <c r="QT4" s="5"/>
      <c r="QU4" s="7" t="str">
        <f t="shared" ref="QU4:QU7" si="201">IF(ISNUMBER(QT4), QT4-QS4, "")</f>
        <v/>
      </c>
      <c r="QW4" s="24">
        <v>0</v>
      </c>
      <c r="QX4" s="6" t="s">
        <v>20</v>
      </c>
      <c r="QY4" s="24">
        <v>28</v>
      </c>
      <c r="QZ4" s="6" t="s">
        <v>20</v>
      </c>
      <c r="RA4" s="5">
        <f t="shared" ref="RA4:RA7" si="202">IF(OR(ISNUMBER(QW4), ISNUMBER(QY4)), IF(ISNUMBER(QW4), QW4, 0) + IF(ISNUMBER(QY4), QY4, 0), "")</f>
        <v>28</v>
      </c>
      <c r="RB4" s="3"/>
      <c r="RC4" s="7">
        <f t="shared" si="45"/>
        <v>0</v>
      </c>
      <c r="RD4" s="5"/>
      <c r="RE4" s="7" t="str">
        <f t="shared" ref="RE4:RE7" si="203">IF(ISNUMBER(RD4), RD4-RC4, "")</f>
        <v/>
      </c>
      <c r="RG4" s="24">
        <v>0</v>
      </c>
      <c r="RH4" s="6" t="s">
        <v>20</v>
      </c>
      <c r="RI4" s="24">
        <v>28</v>
      </c>
      <c r="RJ4" s="6" t="s">
        <v>20</v>
      </c>
      <c r="RK4" s="5">
        <f t="shared" ref="RK4:RK7" si="204">IF(OR(ISNUMBER(RG4), ISNUMBER(RI4)), IF(ISNUMBER(RG4), RG4, 0) + IF(ISNUMBER(RI4), RI4, 0), "")</f>
        <v>28</v>
      </c>
      <c r="RL4" s="3"/>
      <c r="RM4" s="7">
        <f t="shared" si="46"/>
        <v>0</v>
      </c>
      <c r="RN4" s="5"/>
      <c r="RO4" s="7" t="str">
        <f t="shared" ref="RO4:RO7" si="205">IF(ISNUMBER(RN4), RN4-RM4, "")</f>
        <v/>
      </c>
      <c r="RQ4" s="24">
        <v>0</v>
      </c>
      <c r="RR4" s="6" t="s">
        <v>20</v>
      </c>
      <c r="RS4" s="24">
        <v>26</v>
      </c>
      <c r="RT4" s="6" t="s">
        <v>20</v>
      </c>
      <c r="RU4" s="5">
        <f t="shared" ref="RU4:RU7" si="206">IF(OR(ISNUMBER(RQ4), ISNUMBER(RS4)), IF(ISNUMBER(RQ4), RQ4, 0) + IF(ISNUMBER(RS4), RS4, 0), "")</f>
        <v>26</v>
      </c>
      <c r="RV4" s="3"/>
      <c r="RW4" s="7">
        <f t="shared" si="47"/>
        <v>2</v>
      </c>
      <c r="RX4" s="5">
        <v>2</v>
      </c>
      <c r="RY4" s="7">
        <f t="shared" ref="RY4:RY7" si="207">IF(ISNUMBER(RX4), RX4-RW4, "")</f>
        <v>0</v>
      </c>
      <c r="SA4" s="2">
        <v>0</v>
      </c>
      <c r="SB4" s="6" t="s">
        <v>20</v>
      </c>
      <c r="SC4" s="2">
        <v>26</v>
      </c>
      <c r="SD4" s="6" t="s">
        <v>20</v>
      </c>
      <c r="SE4" s="5">
        <f t="shared" ref="SE4:SE7" si="208">IF(OR(ISNUMBER(SA4), ISNUMBER(SC4)), IF(ISNUMBER(SA4), SA4, 0) + IF(ISNUMBER(SC4), SC4, 0), "")</f>
        <v>26</v>
      </c>
      <c r="SF4" s="3"/>
      <c r="SG4" s="7">
        <f t="shared" si="48"/>
        <v>0</v>
      </c>
      <c r="SH4" s="5"/>
      <c r="SI4" s="7" t="str">
        <f t="shared" ref="SI4:SI7" si="209">IF(ISNUMBER(SH4), SH4-SG4, "")</f>
        <v/>
      </c>
      <c r="SK4" s="24">
        <v>0</v>
      </c>
      <c r="SL4" s="6" t="s">
        <v>20</v>
      </c>
      <c r="SM4" s="24">
        <v>26</v>
      </c>
      <c r="SN4" s="6" t="s">
        <v>20</v>
      </c>
      <c r="SO4" s="5">
        <f t="shared" ref="SO4:SO7" si="210">IF(OR(ISNUMBER(SK4), ISNUMBER(SM4)), IF(ISNUMBER(SK4), SK4, 0) + IF(ISNUMBER(SM4), SM4, 0), "")</f>
        <v>26</v>
      </c>
      <c r="SP4" s="3"/>
      <c r="SQ4" s="7">
        <f t="shared" si="49"/>
        <v>0</v>
      </c>
      <c r="SR4" s="5">
        <v>1</v>
      </c>
      <c r="SS4" s="7">
        <f t="shared" ref="SS4:SS7" si="211">IF(ISNUMBER(SR4), SR4-SQ4, "")</f>
        <v>1</v>
      </c>
      <c r="SU4" s="24">
        <v>0</v>
      </c>
      <c r="SV4" s="6" t="s">
        <v>20</v>
      </c>
      <c r="SW4" s="24">
        <v>23</v>
      </c>
      <c r="SX4" s="6" t="s">
        <v>20</v>
      </c>
      <c r="SY4" s="5">
        <f t="shared" ref="SY4:SY7" si="212">IF(OR(ISNUMBER(SU4), ISNUMBER(SW4)), IF(ISNUMBER(SU4), SU4, 0) + IF(ISNUMBER(SW4), SW4, 0), "")</f>
        <v>23</v>
      </c>
      <c r="SZ4" s="3"/>
      <c r="TA4" s="7">
        <f t="shared" si="50"/>
        <v>3</v>
      </c>
      <c r="TB4" s="5">
        <v>2</v>
      </c>
      <c r="TC4" s="7">
        <f t="shared" ref="TC4:TC7" si="213">IF(ISNUMBER(TB4), TB4-TA4, "")</f>
        <v>-1</v>
      </c>
      <c r="TE4" s="24">
        <v>0</v>
      </c>
      <c r="TF4" s="6" t="s">
        <v>20</v>
      </c>
      <c r="TG4" s="24">
        <v>23</v>
      </c>
      <c r="TH4" s="6" t="s">
        <v>20</v>
      </c>
      <c r="TI4" s="5">
        <f t="shared" ref="TI4:TI7" si="214">IF(OR(ISNUMBER(TE4), ISNUMBER(TG4)), IF(ISNUMBER(TE4), TE4, 0) + IF(ISNUMBER(TG4), TG4, 0), "")</f>
        <v>23</v>
      </c>
      <c r="TJ4" s="3"/>
      <c r="TK4" s="7">
        <f t="shared" si="51"/>
        <v>0</v>
      </c>
      <c r="TL4" s="5"/>
      <c r="TM4" s="7" t="str">
        <f t="shared" ref="TM4:TM7" si="215">IF(ISNUMBER(TL4), TL4-TK4, "")</f>
        <v/>
      </c>
      <c r="TO4" s="24">
        <v>0</v>
      </c>
      <c r="TP4" s="6" t="s">
        <v>20</v>
      </c>
      <c r="TQ4" s="24">
        <v>22</v>
      </c>
      <c r="TR4" s="6" t="s">
        <v>20</v>
      </c>
      <c r="TS4" s="5">
        <f t="shared" ref="TS4:TS7" si="216">IF(OR(ISNUMBER(TO4), ISNUMBER(TQ4)), IF(ISNUMBER(TO4), TO4, 0) + IF(ISNUMBER(TQ4), TQ4, 0), "")</f>
        <v>22</v>
      </c>
      <c r="TT4" s="3"/>
      <c r="TU4" s="7">
        <f t="shared" si="52"/>
        <v>1</v>
      </c>
      <c r="TV4" s="5">
        <v>1</v>
      </c>
      <c r="TW4" s="7">
        <f t="shared" ref="TW4:TW7" si="217">IF(ISNUMBER(TV4), TV4-TU4, "")</f>
        <v>0</v>
      </c>
      <c r="TY4" s="24">
        <v>0</v>
      </c>
      <c r="TZ4" s="6" t="s">
        <v>20</v>
      </c>
      <c r="UA4" s="24">
        <v>21</v>
      </c>
      <c r="UB4" s="6" t="s">
        <v>20</v>
      </c>
      <c r="UC4" s="5">
        <f t="shared" ref="UC4:UC7" si="218">IF(OR(ISNUMBER(TY4), ISNUMBER(UA4)), IF(ISNUMBER(TY4), TY4, 0) + IF(ISNUMBER(UA4), UA4, 0), "")</f>
        <v>21</v>
      </c>
      <c r="UD4" s="3"/>
      <c r="UE4" s="7">
        <f t="shared" si="53"/>
        <v>1</v>
      </c>
      <c r="UF4" s="5">
        <v>1</v>
      </c>
      <c r="UG4" s="7">
        <f t="shared" ref="UG4:UG7" si="219">IF(ISNUMBER(UF4), UF4-UE4, "")</f>
        <v>0</v>
      </c>
      <c r="UI4" s="2">
        <v>0</v>
      </c>
      <c r="UJ4" s="6" t="s">
        <v>20</v>
      </c>
      <c r="UK4" s="2">
        <v>19</v>
      </c>
      <c r="UL4" s="6" t="s">
        <v>20</v>
      </c>
      <c r="UM4" s="5">
        <f t="shared" ref="UM4:UM7" si="220">IF(OR(ISNUMBER(UI4), ISNUMBER(UK4)), IF(ISNUMBER(UI4), UI4, 0) + IF(ISNUMBER(UK4), UK4, 0), "")</f>
        <v>19</v>
      </c>
      <c r="UN4" s="3"/>
      <c r="UO4" s="7">
        <f t="shared" si="54"/>
        <v>2</v>
      </c>
      <c r="UP4" s="5">
        <v>2</v>
      </c>
      <c r="UQ4" s="7">
        <f t="shared" ref="UQ4:UQ7" si="221">IF(ISNUMBER(UP4), UP4-UO4, "")</f>
        <v>0</v>
      </c>
      <c r="US4" s="24">
        <v>0</v>
      </c>
      <c r="UT4" s="6" t="s">
        <v>20</v>
      </c>
      <c r="UU4" s="24">
        <v>19</v>
      </c>
      <c r="UV4" s="6" t="s">
        <v>20</v>
      </c>
      <c r="UW4" s="5">
        <f t="shared" ref="UW4:UW7" si="222">IF(OR(ISNUMBER(US4), ISNUMBER(UU4)), IF(ISNUMBER(US4), US4, 0) + IF(ISNUMBER(UU4), UU4, 0), "")</f>
        <v>19</v>
      </c>
      <c r="UX4" s="3"/>
      <c r="UY4" s="7">
        <f t="shared" si="55"/>
        <v>0</v>
      </c>
      <c r="UZ4" s="5"/>
      <c r="VA4" s="7" t="str">
        <f t="shared" ref="VA4:VA7" si="223">IF(ISNUMBER(UZ4), UZ4-UY4, "")</f>
        <v/>
      </c>
      <c r="VC4" s="2">
        <v>0</v>
      </c>
      <c r="VD4" s="6" t="s">
        <v>20</v>
      </c>
      <c r="VE4" s="2">
        <v>19</v>
      </c>
      <c r="VF4" s="6" t="s">
        <v>20</v>
      </c>
      <c r="VG4" s="5">
        <f t="shared" ref="VG4:VG7" si="224">IF(OR(ISNUMBER(VC4), ISNUMBER(VE4)), IF(ISNUMBER(VC4), VC4, 0) + IF(ISNUMBER(VE4), VE4, 0), "")</f>
        <v>19</v>
      </c>
      <c r="VH4" s="3"/>
      <c r="VI4" s="7">
        <f t="shared" si="56"/>
        <v>0</v>
      </c>
      <c r="VJ4" s="5"/>
      <c r="VK4" s="7" t="str">
        <f t="shared" ref="VK4:VK7" si="225">IF(ISNUMBER(VJ4), VJ4-VI4, "")</f>
        <v/>
      </c>
      <c r="VM4" s="24">
        <v>0</v>
      </c>
      <c r="VN4" s="6" t="s">
        <v>20</v>
      </c>
      <c r="VO4" s="24">
        <v>17</v>
      </c>
      <c r="VP4" s="6" t="s">
        <v>20</v>
      </c>
      <c r="VQ4" s="5">
        <f t="shared" ref="VQ4:VQ7" si="226">IF(OR(ISNUMBER(VM4), ISNUMBER(VO4)), IF(ISNUMBER(VM4), VM4, 0) + IF(ISNUMBER(VO4), VO4, 0), "")</f>
        <v>17</v>
      </c>
      <c r="VR4" s="3"/>
      <c r="VS4" s="7">
        <f t="shared" si="57"/>
        <v>2</v>
      </c>
      <c r="VT4" s="5">
        <v>2</v>
      </c>
      <c r="VU4" s="7">
        <f t="shared" ref="VU4:VU7" si="227">IF(ISNUMBER(VT4), VT4-VS4, "")</f>
        <v>0</v>
      </c>
      <c r="VW4" s="2">
        <v>0</v>
      </c>
      <c r="VX4" s="6" t="s">
        <v>20</v>
      </c>
      <c r="VY4" s="2">
        <v>14</v>
      </c>
      <c r="VZ4" s="6" t="s">
        <v>20</v>
      </c>
      <c r="WA4" s="5">
        <f t="shared" ref="WA4:WA7" si="228">IF(OR(ISNUMBER(VW4), ISNUMBER(VY4)), IF(ISNUMBER(VW4), VW4, 0) + IF(ISNUMBER(VY4), VY4, 0), "")</f>
        <v>14</v>
      </c>
      <c r="WB4" s="3"/>
      <c r="WC4" s="7">
        <f t="shared" si="58"/>
        <v>3</v>
      </c>
      <c r="WD4" s="5">
        <v>2</v>
      </c>
      <c r="WE4" s="7">
        <f t="shared" ref="WE4:WE7" si="229">IF(ISNUMBER(WD4), WD4-WC4, "")</f>
        <v>-1</v>
      </c>
      <c r="WG4" s="2"/>
      <c r="WH4" s="6" t="s">
        <v>20</v>
      </c>
      <c r="WI4" s="2">
        <v>14</v>
      </c>
      <c r="WJ4" s="6" t="s">
        <v>20</v>
      </c>
      <c r="WK4" s="5">
        <f t="shared" ref="WK4:WK7" si="230">IF(OR(ISNUMBER(WG4), ISNUMBER(WI4)), IF(ISNUMBER(WG4), WG4, 0) + IF(ISNUMBER(WI4), WI4, 0), "")</f>
        <v>14</v>
      </c>
      <c r="WL4" s="3"/>
      <c r="WM4" s="7">
        <f t="shared" si="59"/>
        <v>0</v>
      </c>
      <c r="WN4" s="5"/>
      <c r="WO4" s="7" t="str">
        <f t="shared" ref="WO4:WO7" si="231">IF(ISNUMBER(WN4), WN4-WM4, "")</f>
        <v/>
      </c>
      <c r="WQ4" s="2">
        <v>0</v>
      </c>
      <c r="WR4" s="6" t="s">
        <v>20</v>
      </c>
      <c r="WS4" s="2">
        <v>13</v>
      </c>
      <c r="WT4" s="6" t="s">
        <v>20</v>
      </c>
      <c r="WU4" s="5">
        <f t="shared" ref="WU4:WU7" si="232">IF(OR(ISNUMBER(WQ4), ISNUMBER(WS4)), IF(ISNUMBER(WQ4), WQ4, 0) + IF(ISNUMBER(WS4), WS4, 0), "")</f>
        <v>13</v>
      </c>
      <c r="WV4" s="3"/>
      <c r="WW4" s="7">
        <f t="shared" si="60"/>
        <v>1</v>
      </c>
      <c r="WX4" s="5">
        <v>1</v>
      </c>
      <c r="WY4" s="7">
        <f t="shared" ref="WY4:WY7" si="233">IF(ISNUMBER(WX4), WX4-WW4, "")</f>
        <v>0</v>
      </c>
      <c r="XA4" s="24">
        <v>0</v>
      </c>
      <c r="XB4" s="6" t="s">
        <v>20</v>
      </c>
      <c r="XC4" s="24">
        <v>13</v>
      </c>
      <c r="XD4" s="6" t="s">
        <v>20</v>
      </c>
      <c r="XE4" s="5">
        <f t="shared" ref="XE4:XE7" si="234">IF(OR(ISNUMBER(XA4), ISNUMBER(XC4)), IF(ISNUMBER(XA4), XA4, 0) + IF(ISNUMBER(XC4), XC4, 0), "")</f>
        <v>13</v>
      </c>
      <c r="XF4" s="3"/>
      <c r="XG4" s="7">
        <f t="shared" si="61"/>
        <v>0</v>
      </c>
      <c r="XH4" s="5"/>
      <c r="XI4" s="7" t="str">
        <f t="shared" ref="XI4:XI7" si="235">IF(ISNUMBER(XH4), XH4-XG4, "")</f>
        <v/>
      </c>
      <c r="XK4" s="24"/>
      <c r="XL4" s="6" t="s">
        <v>20</v>
      </c>
      <c r="XM4" s="24">
        <v>13</v>
      </c>
      <c r="XN4" s="6" t="s">
        <v>20</v>
      </c>
      <c r="XO4" s="5">
        <f t="shared" ref="XO4:XO7" si="236">IF(OR(ISNUMBER(XK4), ISNUMBER(XM4)), IF(ISNUMBER(XK4), XK4, 0) + IF(ISNUMBER(XM4), XM4, 0), "")</f>
        <v>13</v>
      </c>
      <c r="XP4" s="3"/>
      <c r="XQ4" s="7">
        <f t="shared" si="62"/>
        <v>0</v>
      </c>
      <c r="XR4" s="5"/>
      <c r="XS4" s="7" t="str">
        <f t="shared" ref="XS4:XS7" si="237">IF(ISNUMBER(XR4), XR4-XQ4, "")</f>
        <v/>
      </c>
      <c r="XU4" s="24"/>
      <c r="XV4" s="6" t="s">
        <v>20</v>
      </c>
      <c r="XW4" s="24">
        <v>11</v>
      </c>
      <c r="XX4" s="6" t="s">
        <v>20</v>
      </c>
      <c r="XY4" s="5">
        <f t="shared" ref="XY4:XY7" si="238">IF(OR(ISNUMBER(XU4), ISNUMBER(XW4)), IF(ISNUMBER(XU4), XU4, 0) + IF(ISNUMBER(XW4), XW4, 0), "")</f>
        <v>11</v>
      </c>
      <c r="XZ4" s="3"/>
      <c r="YA4" s="7">
        <f t="shared" si="63"/>
        <v>2</v>
      </c>
      <c r="YB4" s="5">
        <v>2</v>
      </c>
      <c r="YC4" s="7">
        <f t="shared" ref="YC4:YC7" si="239">IF(ISNUMBER(YB4), YB4-YA4, "")</f>
        <v>0</v>
      </c>
      <c r="YE4" s="24"/>
      <c r="YF4" s="6" t="s">
        <v>20</v>
      </c>
      <c r="YG4" s="24">
        <v>11</v>
      </c>
      <c r="YH4" s="6" t="s">
        <v>20</v>
      </c>
      <c r="YI4" s="5">
        <f t="shared" ref="YI4:YI7" si="240">IF(OR(ISNUMBER(YE4), ISNUMBER(YG4)), IF(ISNUMBER(YE4), YE4, 0) + IF(ISNUMBER(YG4), YG4, 0), "")</f>
        <v>11</v>
      </c>
      <c r="YJ4" s="3"/>
      <c r="YK4" s="7">
        <f t="shared" si="64"/>
        <v>0</v>
      </c>
      <c r="YL4" s="5"/>
      <c r="YM4" s="7" t="str">
        <f t="shared" ref="YM4:YM7" si="241">IF(ISNUMBER(YL4), YL4-YK4, "")</f>
        <v/>
      </c>
      <c r="YO4" s="24"/>
      <c r="YP4" s="6" t="s">
        <v>20</v>
      </c>
      <c r="YQ4" s="24">
        <v>9</v>
      </c>
      <c r="YR4" s="6" t="s">
        <v>20</v>
      </c>
      <c r="YS4" s="5">
        <f t="shared" ref="YS4:YS7" si="242">IF(OR(ISNUMBER(YO4), ISNUMBER(YQ4)), IF(ISNUMBER(YO4), YO4, 0) + IF(ISNUMBER(YQ4), YQ4, 0), "")</f>
        <v>9</v>
      </c>
      <c r="YT4" s="3"/>
      <c r="YU4" s="7">
        <f t="shared" si="65"/>
        <v>2</v>
      </c>
      <c r="YV4" s="5">
        <v>0</v>
      </c>
      <c r="YW4" s="7">
        <f t="shared" ref="YW4:YW7" si="243">IF(ISNUMBER(YV4), YV4-YU4, "")</f>
        <v>-2</v>
      </c>
      <c r="YY4" s="24"/>
      <c r="YZ4" s="6" t="s">
        <v>20</v>
      </c>
      <c r="ZA4" s="24">
        <v>8</v>
      </c>
      <c r="ZB4" s="6" t="s">
        <v>20</v>
      </c>
      <c r="ZC4" s="5">
        <f t="shared" ref="ZC4:ZC7" si="244">IF(OR(ISNUMBER(YY4), ISNUMBER(ZA4)), IF(ISNUMBER(YY4), YY4, 0) + IF(ISNUMBER(ZA4), ZA4, 0), "")</f>
        <v>8</v>
      </c>
      <c r="ZD4" s="3">
        <v>1</v>
      </c>
      <c r="ZE4" s="7">
        <f t="shared" si="66"/>
        <v>1</v>
      </c>
      <c r="ZF4" s="5">
        <v>1</v>
      </c>
      <c r="ZG4" s="7">
        <f t="shared" ref="ZG4:ZG7" si="245">IF(ISNUMBER(ZF4), ZF4-ZE4, "")</f>
        <v>0</v>
      </c>
      <c r="ZI4" s="24">
        <v>24</v>
      </c>
      <c r="ZJ4" s="6" t="s">
        <v>20</v>
      </c>
      <c r="ZK4" s="24">
        <v>8</v>
      </c>
      <c r="ZL4" s="6" t="s">
        <v>20</v>
      </c>
      <c r="ZM4" s="5">
        <f t="shared" ref="ZM4:ZM7" si="246">IF(OR(ISNUMBER(ZI4), ISNUMBER(ZK4)), IF(ISNUMBER(ZI4), ZI4, 0) + IF(ISNUMBER(ZK4), ZK4, 0), "")</f>
        <v>32</v>
      </c>
      <c r="ZN4" s="3"/>
      <c r="ZO4" s="7">
        <f t="shared" si="67"/>
        <v>0</v>
      </c>
      <c r="ZP4" s="5"/>
      <c r="ZQ4" s="7" t="str">
        <f t="shared" ref="ZQ4:ZQ7" si="247">IF(ISNUMBER(ZP4), ZP4-ZO4, "")</f>
        <v/>
      </c>
      <c r="ZS4" s="24">
        <v>24</v>
      </c>
      <c r="ZT4" s="6" t="s">
        <v>20</v>
      </c>
      <c r="ZU4" s="24">
        <v>5</v>
      </c>
      <c r="ZV4" s="6" t="s">
        <v>20</v>
      </c>
      <c r="ZW4" s="5">
        <f t="shared" ref="ZW4:ZW7" si="248">IF(OR(ISNUMBER(ZS4), ISNUMBER(ZU4)), IF(ISNUMBER(ZS4), ZS4, 0) + IF(ISNUMBER(ZU4), ZU4, 0), "")</f>
        <v>29</v>
      </c>
      <c r="ZX4" s="3"/>
      <c r="ZY4" s="7">
        <f t="shared" si="68"/>
        <v>3</v>
      </c>
      <c r="ZZ4" s="5">
        <v>3</v>
      </c>
      <c r="AAA4" s="7">
        <f t="shared" ref="AAA4:AAA7" si="249">IF(ISNUMBER(ZZ4), ZZ4-ZY4, "")</f>
        <v>0</v>
      </c>
      <c r="AAC4" s="24">
        <v>20</v>
      </c>
      <c r="AAD4" s="6" t="s">
        <v>20</v>
      </c>
      <c r="AAE4" s="24">
        <v>8</v>
      </c>
      <c r="AAF4" s="6" t="s">
        <v>20</v>
      </c>
      <c r="AAG4" s="5">
        <f t="shared" ref="AAG4:AAG7" si="250">IF(OR(ISNUMBER(AAC4), ISNUMBER(AAE4)), IF(ISNUMBER(AAC4), AAC4, 0) + IF(ISNUMBER(AAE4), AAE4, 0), "")</f>
        <v>28</v>
      </c>
      <c r="AAH4" s="3"/>
      <c r="AAI4" s="7">
        <f t="shared" si="69"/>
        <v>1</v>
      </c>
      <c r="AAJ4" s="5">
        <v>1</v>
      </c>
      <c r="AAK4" s="7">
        <f t="shared" ref="AAK4:AAK7" si="251">IF(ISNUMBER(AAJ4), AAJ4-AAI4, "")</f>
        <v>0</v>
      </c>
      <c r="AAM4" s="2">
        <v>19</v>
      </c>
      <c r="AAN4" s="6" t="s">
        <v>20</v>
      </c>
      <c r="AAO4" s="2">
        <v>8</v>
      </c>
      <c r="AAP4" s="6" t="s">
        <v>20</v>
      </c>
      <c r="AAQ4" s="5">
        <f t="shared" ref="AAQ4:AAQ7" si="252">IF(OR(ISNUMBER(AAM4), ISNUMBER(AAO4)), IF(ISNUMBER(AAM4), AAM4, 0) + IF(ISNUMBER(AAO4), AAO4, 0), "")</f>
        <v>27</v>
      </c>
      <c r="AAR4" s="3"/>
      <c r="AAS4" s="7">
        <f t="shared" si="70"/>
        <v>1</v>
      </c>
      <c r="AAT4" s="5"/>
      <c r="AAU4" s="7" t="str">
        <f t="shared" ref="AAU4:AAU7" si="253">IF(ISNUMBER(AAT4), AAT4-AAS4, "")</f>
        <v/>
      </c>
      <c r="AAW4" s="2">
        <v>19</v>
      </c>
      <c r="AAX4" s="6" t="s">
        <v>20</v>
      </c>
      <c r="AAY4" s="2">
        <v>8</v>
      </c>
      <c r="AAZ4" s="6" t="s">
        <v>20</v>
      </c>
      <c r="ABA4" s="5">
        <f t="shared" ref="ABA4:ABA7" si="254">IF(OR(ISNUMBER(AAW4), ISNUMBER(AAY4)), IF(ISNUMBER(AAW4), AAW4, 0) + IF(ISNUMBER(AAY4), AAY4, 0), "")</f>
        <v>27</v>
      </c>
      <c r="ABB4" s="3"/>
      <c r="ABC4" s="7">
        <f t="shared" si="71"/>
        <v>0</v>
      </c>
      <c r="ABD4" s="5"/>
      <c r="ABE4" s="7" t="str">
        <f t="shared" ref="ABE4:ABE7" si="255">IF(ISNUMBER(ABD4), ABD4-ABC4, "")</f>
        <v/>
      </c>
      <c r="ABG4" s="24">
        <v>19</v>
      </c>
      <c r="ABH4" s="6" t="s">
        <v>20</v>
      </c>
      <c r="ABI4" s="24">
        <v>6</v>
      </c>
      <c r="ABJ4" s="6" t="s">
        <v>20</v>
      </c>
      <c r="ABK4" s="5">
        <f t="shared" ref="ABK4:ABK7" si="256">IF(OR(ISNUMBER(ABG4), ISNUMBER(ABI4)), IF(ISNUMBER(ABG4), ABG4, 0) + IF(ISNUMBER(ABI4), ABI4, 0), "")</f>
        <v>25</v>
      </c>
      <c r="ABL4" s="3"/>
      <c r="ABM4" s="7">
        <f t="shared" si="72"/>
        <v>2</v>
      </c>
      <c r="ABN4" s="5">
        <v>2</v>
      </c>
      <c r="ABO4" s="7">
        <f t="shared" ref="ABO4:ABO7" si="257">IF(ISNUMBER(ABN4), ABN4-ABM4, "")</f>
        <v>0</v>
      </c>
      <c r="ABQ4" s="2">
        <v>19</v>
      </c>
      <c r="ABR4" s="6" t="s">
        <v>20</v>
      </c>
      <c r="ABS4" s="2">
        <v>6</v>
      </c>
      <c r="ABT4" s="6" t="s">
        <v>20</v>
      </c>
      <c r="ABU4" s="5">
        <f t="shared" ref="ABU4:ABU7" si="258">IF(OR(ISNUMBER(ABQ4), ISNUMBER(ABS4)), IF(ISNUMBER(ABQ4), ABQ4, 0) + IF(ISNUMBER(ABS4), ABS4, 0), "")</f>
        <v>25</v>
      </c>
      <c r="ABV4" s="3"/>
      <c r="ABW4" s="7">
        <f t="shared" si="73"/>
        <v>0</v>
      </c>
      <c r="ABX4" s="5"/>
      <c r="ABY4" s="7" t="str">
        <f t="shared" ref="ABY4:ABY7" si="259">IF(ISNUMBER(ABX4), ABX4-ABW4, "")</f>
        <v/>
      </c>
      <c r="ACA4" s="24">
        <v>20</v>
      </c>
      <c r="ACB4" s="6" t="s">
        <v>20</v>
      </c>
      <c r="ACC4" s="24">
        <v>5</v>
      </c>
      <c r="ACD4" s="6" t="s">
        <v>20</v>
      </c>
      <c r="ACE4" s="5">
        <f t="shared" si="74"/>
        <v>25</v>
      </c>
      <c r="ACF4" s="3"/>
      <c r="ACG4" s="7">
        <f t="shared" si="75"/>
        <v>0</v>
      </c>
      <c r="ACH4" s="5"/>
      <c r="ACI4" s="7" t="str">
        <f t="shared" si="76"/>
        <v/>
      </c>
      <c r="ACK4" s="24">
        <v>20</v>
      </c>
      <c r="ACL4" s="6" t="s">
        <v>20</v>
      </c>
      <c r="ACM4" s="24">
        <v>5</v>
      </c>
      <c r="ACN4" s="6" t="s">
        <v>20</v>
      </c>
      <c r="ACO4" s="5">
        <f t="shared" ref="ACO4:ACO7" si="260">IF(OR(ISNUMBER(ACK4), ISNUMBER(ACM4)), IF(ISNUMBER(ACK4), ACK4, 0) + IF(ISNUMBER(ACM4), ACM4, 0), "")</f>
        <v>25</v>
      </c>
      <c r="ACP4" s="3"/>
      <c r="ACQ4" s="7">
        <f t="shared" si="77"/>
        <v>0</v>
      </c>
      <c r="ACR4" s="5"/>
      <c r="ACS4" s="7" t="str">
        <f t="shared" ref="ACS4:ACS7" si="261">IF(ISNUMBER(ACR4), ACR4-ACQ4, "")</f>
        <v/>
      </c>
      <c r="ACU4" s="24">
        <v>20</v>
      </c>
      <c r="ACV4" s="6" t="s">
        <v>20</v>
      </c>
      <c r="ACW4" s="24">
        <v>4</v>
      </c>
      <c r="ACX4" s="6" t="s">
        <v>20</v>
      </c>
      <c r="ACY4" s="5">
        <f t="shared" ref="ACY4:ACY7" si="262">IF(OR(ISNUMBER(ACU4), ISNUMBER(ACW4)), IF(ISNUMBER(ACU4), ACU4, 0) + IF(ISNUMBER(ACW4), ACW4, 0), "")</f>
        <v>24</v>
      </c>
      <c r="ACZ4" s="3"/>
      <c r="ADA4" s="7">
        <f t="shared" si="78"/>
        <v>1</v>
      </c>
      <c r="ADB4" s="5">
        <v>1</v>
      </c>
      <c r="ADC4" s="7">
        <f t="shared" ref="ADC4:ADC7" si="263">IF(ISNUMBER(ADB4), ADB4-ADA4, "")</f>
        <v>0</v>
      </c>
      <c r="ADE4" s="24">
        <v>20</v>
      </c>
      <c r="ADF4" s="6" t="s">
        <v>20</v>
      </c>
      <c r="ADG4" s="24">
        <v>3</v>
      </c>
      <c r="ADH4" s="6" t="s">
        <v>20</v>
      </c>
      <c r="ADI4" s="5">
        <f t="shared" ref="ADI4:ADI7" si="264">IF(OR(ISNUMBER(ADE4), ISNUMBER(ADG4)), IF(ISNUMBER(ADE4), ADE4, 0) + IF(ISNUMBER(ADG4), ADG4, 0), "")</f>
        <v>23</v>
      </c>
      <c r="ADJ4" s="3"/>
      <c r="ADK4" s="7">
        <f t="shared" si="79"/>
        <v>1</v>
      </c>
      <c r="ADL4" s="5">
        <v>1</v>
      </c>
      <c r="ADM4" s="7">
        <f t="shared" ref="ADM4:ADM7" si="265">IF(ISNUMBER(ADL4), ADL4-ADK4, "")</f>
        <v>0</v>
      </c>
      <c r="ADO4" s="24">
        <v>20</v>
      </c>
      <c r="ADP4" s="6" t="s">
        <v>20</v>
      </c>
      <c r="ADQ4" s="24">
        <v>2</v>
      </c>
      <c r="ADR4" s="6" t="s">
        <v>20</v>
      </c>
      <c r="ADS4" s="5">
        <f t="shared" ref="ADS4:ADS7" si="266">IF(OR(ISNUMBER(ADO4), ISNUMBER(ADQ4)), IF(ISNUMBER(ADO4), ADO4, 0) + IF(ISNUMBER(ADQ4), ADQ4, 0), "")</f>
        <v>22</v>
      </c>
      <c r="ADT4" s="3"/>
      <c r="ADU4" s="7">
        <f t="shared" si="80"/>
        <v>1</v>
      </c>
      <c r="ADV4" s="5">
        <v>1</v>
      </c>
      <c r="ADW4" s="7">
        <f t="shared" ref="ADW4:ADW7" si="267">IF(ISNUMBER(ADV4), ADV4-ADU4, "")</f>
        <v>0</v>
      </c>
      <c r="ADY4" s="24">
        <v>20</v>
      </c>
      <c r="ADZ4" s="6" t="s">
        <v>20</v>
      </c>
      <c r="AEA4" s="24">
        <v>2</v>
      </c>
      <c r="AEB4" s="6" t="s">
        <v>20</v>
      </c>
      <c r="AEC4" s="5">
        <f t="shared" ref="AEC4:AEC7" si="268">IF(OR(ISNUMBER(ADY4), ISNUMBER(AEA4)), IF(ISNUMBER(ADY4), ADY4, 0) + IF(ISNUMBER(AEA4), AEA4, 0), "")</f>
        <v>22</v>
      </c>
      <c r="AED4" s="3"/>
      <c r="AEE4" s="7">
        <f t="shared" si="81"/>
        <v>0</v>
      </c>
      <c r="AEF4" s="5"/>
      <c r="AEG4" s="7" t="str">
        <f t="shared" ref="AEG4:AEG7" si="269">IF(ISNUMBER(AEF4), AEF4-AEE4, "")</f>
        <v/>
      </c>
      <c r="AEI4" s="2">
        <v>12</v>
      </c>
      <c r="AEJ4" s="6" t="s">
        <v>20</v>
      </c>
      <c r="AEK4" s="2">
        <v>7</v>
      </c>
      <c r="AEL4" s="6" t="s">
        <v>20</v>
      </c>
      <c r="AEM4" s="5">
        <f t="shared" ref="AEM4:AEM7" si="270">IF(OR(ISNUMBER(AEI4), ISNUMBER(AEK4)), IF(ISNUMBER(AEI4), AEI4, 0) + IF(ISNUMBER(AEK4), AEK4, 0), "")</f>
        <v>19</v>
      </c>
      <c r="AEN4" s="3"/>
      <c r="AEO4" s="7">
        <f t="shared" si="82"/>
        <v>3</v>
      </c>
      <c r="AEP4" s="5">
        <v>2</v>
      </c>
      <c r="AEQ4" s="7">
        <f t="shared" ref="AEQ4:AEQ7" si="271">IF(ISNUMBER(AEP4), AEP4-AEO4, "")</f>
        <v>-1</v>
      </c>
      <c r="AES4" s="24">
        <v>12</v>
      </c>
      <c r="AET4" s="6" t="s">
        <v>20</v>
      </c>
      <c r="AEU4" s="24">
        <v>7</v>
      </c>
      <c r="AEV4" s="6" t="s">
        <v>20</v>
      </c>
      <c r="AEW4" s="5">
        <f t="shared" ref="AEW4:AEW7" si="272">IF(OR(ISNUMBER(AES4), ISNUMBER(AEU4)), IF(ISNUMBER(AES4), AES4, 0) + IF(ISNUMBER(AEU4), AEU4, 0), "")</f>
        <v>19</v>
      </c>
      <c r="AEX4" s="3"/>
      <c r="AEY4" s="7">
        <f t="shared" si="83"/>
        <v>0</v>
      </c>
      <c r="AEZ4" s="5"/>
      <c r="AFA4" s="7" t="str">
        <f t="shared" ref="AFA4:AFA7" si="273">IF(ISNUMBER(AEZ4), AEZ4-AEY4, "")</f>
        <v/>
      </c>
      <c r="AFC4" s="2">
        <v>12</v>
      </c>
      <c r="AFD4" s="6" t="s">
        <v>20</v>
      </c>
      <c r="AFE4" s="2">
        <v>7</v>
      </c>
      <c r="AFF4" s="6" t="s">
        <v>20</v>
      </c>
      <c r="AFG4" s="5">
        <f t="shared" ref="AFG4:AFG7" si="274">IF(OR(ISNUMBER(AFC4), ISNUMBER(AFE4)), IF(ISNUMBER(AFC4), AFC4, 0) + IF(ISNUMBER(AFE4), AFE4, 0), "")</f>
        <v>19</v>
      </c>
      <c r="AFH4" s="3"/>
      <c r="AFI4" s="7">
        <f t="shared" si="84"/>
        <v>0</v>
      </c>
      <c r="AFJ4" s="5"/>
      <c r="AFK4" s="7" t="str">
        <f t="shared" ref="AFK4:AFK7" si="275">IF(ISNUMBER(AFJ4), AFJ4-AFI4, "")</f>
        <v/>
      </c>
      <c r="AFM4" s="2">
        <v>12</v>
      </c>
      <c r="AFN4" s="6" t="s">
        <v>20</v>
      </c>
      <c r="AFO4" s="2">
        <v>7</v>
      </c>
      <c r="AFP4" s="6" t="s">
        <v>20</v>
      </c>
      <c r="AFQ4" s="5">
        <f t="shared" ref="AFQ4:AFQ7" si="276">IF(OR(ISNUMBER(AFM4), ISNUMBER(AFO4)), IF(ISNUMBER(AFM4), AFM4, 0) + IF(ISNUMBER(AFO4), AFO4, 0), "")</f>
        <v>19</v>
      </c>
      <c r="AFR4" s="3"/>
      <c r="AFS4" s="7">
        <f t="shared" si="85"/>
        <v>0</v>
      </c>
      <c r="AFT4" s="5">
        <v>1</v>
      </c>
      <c r="AFU4" s="7">
        <f t="shared" ref="AFU4:AFU7" si="277">IF(ISNUMBER(AFT4), AFT4-AFS4, "")</f>
        <v>1</v>
      </c>
      <c r="AFW4" s="24">
        <v>12</v>
      </c>
      <c r="AFX4" s="6" t="s">
        <v>20</v>
      </c>
      <c r="AFY4" s="24">
        <v>7</v>
      </c>
      <c r="AFZ4" s="6" t="s">
        <v>20</v>
      </c>
      <c r="AGA4" s="5">
        <f t="shared" ref="AGA4:AGA7" si="278">IF(OR(ISNUMBER(AFW4), ISNUMBER(AFY4)), IF(ISNUMBER(AFW4), AFW4, 0) + IF(ISNUMBER(AFY4), AFY4, 0), "")</f>
        <v>19</v>
      </c>
      <c r="AGB4" s="3"/>
      <c r="AGC4" s="7">
        <f t="shared" si="86"/>
        <v>0</v>
      </c>
      <c r="AGD4" s="5"/>
      <c r="AGE4" s="7" t="str">
        <f t="shared" ref="AGE4:AGE7" si="279">IF(ISNUMBER(AGD4), AGD4-AGC4, "")</f>
        <v/>
      </c>
      <c r="AGG4" s="24">
        <v>12</v>
      </c>
      <c r="AGH4" s="6" t="s">
        <v>20</v>
      </c>
      <c r="AGI4" s="24">
        <v>6</v>
      </c>
      <c r="AGJ4" s="6" t="s">
        <v>20</v>
      </c>
      <c r="AGK4" s="5">
        <f t="shared" ref="AGK4:AGK7" si="280">IF(OR(ISNUMBER(AGG4), ISNUMBER(AGI4)), IF(ISNUMBER(AGG4), AGG4, 0) + IF(ISNUMBER(AGI4), AGI4, 0), "")</f>
        <v>18</v>
      </c>
      <c r="AGL4" s="3"/>
      <c r="AGM4" s="7">
        <f t="shared" si="87"/>
        <v>1</v>
      </c>
      <c r="AGN4" s="5">
        <v>1</v>
      </c>
      <c r="AGO4" s="7">
        <f t="shared" ref="AGO4:AGO7" si="281">IF(ISNUMBER(AGN4), AGN4-AGM4, "")</f>
        <v>0</v>
      </c>
      <c r="AGQ4" s="24">
        <v>0</v>
      </c>
      <c r="AGR4" s="6" t="s">
        <v>20</v>
      </c>
      <c r="AGS4" s="24">
        <v>18</v>
      </c>
      <c r="AGT4" s="6" t="s">
        <v>20</v>
      </c>
      <c r="AGU4" s="5">
        <f t="shared" ref="AGU4:AGU7" si="282">IF(OR(ISNUMBER(AGQ4), ISNUMBER(AGS4)), IF(ISNUMBER(AGQ4), AGQ4, 0) + IF(ISNUMBER(AGS4), AGS4, 0), "")</f>
        <v>18</v>
      </c>
      <c r="AGV4" s="3"/>
      <c r="AGW4" s="7">
        <f t="shared" si="88"/>
        <v>0</v>
      </c>
      <c r="AGX4" s="5"/>
      <c r="AGY4" s="7" t="str">
        <f t="shared" ref="AGY4:AGY7" si="283">IF(ISNUMBER(AGX4), AGX4-AGW4, "")</f>
        <v/>
      </c>
      <c r="AHA4" s="24">
        <v>0</v>
      </c>
      <c r="AHB4" s="6" t="s">
        <v>20</v>
      </c>
      <c r="AHC4" s="24">
        <v>18</v>
      </c>
      <c r="AHD4" s="6" t="s">
        <v>20</v>
      </c>
      <c r="AHE4" s="5">
        <f t="shared" ref="AHE4:AHE7" si="284">IF(OR(ISNUMBER(AHA4), ISNUMBER(AHC4)), IF(ISNUMBER(AHA4), AHA4, 0) + IF(ISNUMBER(AHC4), AHC4, 0), "")</f>
        <v>18</v>
      </c>
      <c r="AHF4" s="3"/>
      <c r="AHG4" s="7">
        <f t="shared" si="89"/>
        <v>0</v>
      </c>
      <c r="AHH4" s="5"/>
      <c r="AHI4" s="7" t="str">
        <f t="shared" ref="AHI4:AHI7" si="285">IF(ISNUMBER(AHH4), AHH4-AHG4, "")</f>
        <v/>
      </c>
      <c r="AHK4" s="2">
        <v>0</v>
      </c>
      <c r="AHL4" s="6" t="s">
        <v>20</v>
      </c>
      <c r="AHM4" s="2">
        <v>18</v>
      </c>
      <c r="AHN4" s="6" t="s">
        <v>20</v>
      </c>
      <c r="AHO4" s="5">
        <f t="shared" ref="AHO4:AHO7" si="286">IF(OR(ISNUMBER(AHK4), ISNUMBER(AHM4)), IF(ISNUMBER(AHK4), AHK4, 0) + IF(ISNUMBER(AHM4), AHM4, 0), "")</f>
        <v>18</v>
      </c>
      <c r="AHP4" s="3"/>
      <c r="AHQ4" s="7">
        <f t="shared" si="90"/>
        <v>0</v>
      </c>
      <c r="AHR4" s="5"/>
      <c r="AHS4" s="7" t="str">
        <f t="shared" ref="AHS4:AHS7" si="287">IF(ISNUMBER(AHR4), AHR4-AHQ4, "")</f>
        <v/>
      </c>
      <c r="AHU4" s="2"/>
      <c r="AHV4" s="6" t="s">
        <v>20</v>
      </c>
      <c r="AHW4" s="2">
        <v>18</v>
      </c>
      <c r="AHX4" s="6" t="s">
        <v>20</v>
      </c>
      <c r="AHY4" s="5">
        <f t="shared" ref="AHY4:AHY7" si="288">IF(OR(ISNUMBER(AHU4), ISNUMBER(AHW4)), IF(ISNUMBER(AHU4), AHU4, 0) + IF(ISNUMBER(AHW4), AHW4, 0), "")</f>
        <v>18</v>
      </c>
      <c r="AHZ4" s="3"/>
      <c r="AIA4" s="7">
        <f t="shared" si="91"/>
        <v>0</v>
      </c>
      <c r="AIB4" s="5"/>
      <c r="AIC4" s="7" t="str">
        <f t="shared" ref="AIC4:AIC7" si="289">IF(ISNUMBER(AIB4), AIB4-AIA4, "")</f>
        <v/>
      </c>
      <c r="AIE4" s="24"/>
      <c r="AIF4" s="6" t="s">
        <v>20</v>
      </c>
      <c r="AIG4" s="24">
        <v>18</v>
      </c>
      <c r="AIH4" s="6" t="s">
        <v>20</v>
      </c>
      <c r="AII4" s="5">
        <f t="shared" ref="AII4:AII7" si="290">IF(OR(ISNUMBER(AIE4), ISNUMBER(AIG4)), IF(ISNUMBER(AIE4), AIE4, 0) + IF(ISNUMBER(AIG4), AIG4, 0), "")</f>
        <v>18</v>
      </c>
      <c r="AIJ4" s="3"/>
      <c r="AIK4" s="7">
        <f t="shared" si="92"/>
        <v>0</v>
      </c>
      <c r="AIL4" s="5"/>
      <c r="AIM4" s="7" t="str">
        <f t="shared" ref="AIM4:AIM7" si="291">IF(ISNUMBER(AIL4), AIL4-AIK4, "")</f>
        <v/>
      </c>
      <c r="AIO4" s="24"/>
      <c r="AIP4" s="6" t="s">
        <v>20</v>
      </c>
      <c r="AIQ4" s="24">
        <v>16</v>
      </c>
      <c r="AIR4" s="6" t="s">
        <v>20</v>
      </c>
      <c r="AIS4" s="5">
        <f t="shared" ref="AIS4:AIS7" si="292">IF(OR(ISNUMBER(AIO4), ISNUMBER(AIQ4)), IF(ISNUMBER(AIO4), AIO4, 0) + IF(ISNUMBER(AIQ4), AIQ4, 0), "")</f>
        <v>16</v>
      </c>
      <c r="AIT4" s="3"/>
      <c r="AIU4" s="7">
        <f t="shared" si="93"/>
        <v>2</v>
      </c>
      <c r="AIV4" s="5">
        <v>2</v>
      </c>
      <c r="AIW4" s="7">
        <f t="shared" ref="AIW4:AIW7" si="293">IF(ISNUMBER(AIV4), AIV4-AIU4, "")</f>
        <v>0</v>
      </c>
      <c r="AIY4" s="24"/>
      <c r="AIZ4" s="6" t="s">
        <v>20</v>
      </c>
      <c r="AJA4" s="24">
        <v>12</v>
      </c>
      <c r="AJB4" s="6" t="s">
        <v>20</v>
      </c>
      <c r="AJC4" s="5">
        <f t="shared" ref="AJC4:AJC7" si="294">IF(OR(ISNUMBER(AIY4), ISNUMBER(AJA4)), IF(ISNUMBER(AIY4), AIY4, 0) + IF(ISNUMBER(AJA4), AJA4, 0), "")</f>
        <v>12</v>
      </c>
      <c r="AJD4" s="3"/>
      <c r="AJE4" s="7">
        <f t="shared" si="94"/>
        <v>4</v>
      </c>
      <c r="AJF4" s="5">
        <v>4</v>
      </c>
      <c r="AJG4" s="7">
        <f t="shared" ref="AJG4:AJG7" si="295">IF(ISNUMBER(AJF4), AJF4-AJE4, "")</f>
        <v>0</v>
      </c>
      <c r="AJI4" s="2"/>
      <c r="AJJ4" s="6" t="s">
        <v>20</v>
      </c>
      <c r="AJK4" s="2">
        <v>11</v>
      </c>
      <c r="AJL4" s="6" t="s">
        <v>20</v>
      </c>
      <c r="AJM4" s="5">
        <f t="shared" ref="AJM4:AJM7" si="296">IF(OR(ISNUMBER(AJI4), ISNUMBER(AJK4)), IF(ISNUMBER(AJI4), AJI4, 0) + IF(ISNUMBER(AJK4), AJK4, 0), "")</f>
        <v>11</v>
      </c>
      <c r="AJN4" s="3"/>
      <c r="AJO4" s="7">
        <f t="shared" si="95"/>
        <v>1</v>
      </c>
      <c r="AJP4" s="5">
        <v>1</v>
      </c>
      <c r="AJQ4" s="7">
        <f t="shared" ref="AJQ4:AJQ7" si="297">IF(ISNUMBER(AJP4), AJP4-AJO4, "")</f>
        <v>0</v>
      </c>
      <c r="AJS4" s="24"/>
      <c r="AJT4" s="6" t="s">
        <v>20</v>
      </c>
      <c r="AJU4" s="24">
        <v>10</v>
      </c>
      <c r="AJV4" s="6" t="s">
        <v>20</v>
      </c>
      <c r="AJW4" s="5">
        <f t="shared" ref="AJW4:AJW7" si="298">IF(OR(ISNUMBER(AJS4), ISNUMBER(AJU4)), IF(ISNUMBER(AJS4), AJS4, 0) + IF(ISNUMBER(AJU4), AJU4, 0), "")</f>
        <v>10</v>
      </c>
      <c r="AJX4" s="3"/>
      <c r="AJY4" s="7">
        <f t="shared" si="96"/>
        <v>1</v>
      </c>
      <c r="AJZ4" s="5">
        <v>2</v>
      </c>
      <c r="AKA4" s="7">
        <f t="shared" ref="AKA4:AKA7" si="299">IF(ISNUMBER(AJZ4), AJZ4-AJY4, "")</f>
        <v>1</v>
      </c>
      <c r="AKC4" s="2"/>
      <c r="AKD4" s="6" t="s">
        <v>20</v>
      </c>
      <c r="AKE4" s="2">
        <v>8</v>
      </c>
      <c r="AKF4" s="6" t="s">
        <v>20</v>
      </c>
      <c r="AKG4" s="5">
        <f t="shared" ref="AKG4:AKG7" si="300">IF(OR(ISNUMBER(AKC4), ISNUMBER(AKE4)), IF(ISNUMBER(AKC4), AKC4, 0) + IF(ISNUMBER(AKE4), AKE4, 0), "")</f>
        <v>8</v>
      </c>
      <c r="AKH4" s="3"/>
      <c r="AKI4" s="7">
        <f t="shared" si="97"/>
        <v>2</v>
      </c>
      <c r="AKJ4" s="5">
        <v>2</v>
      </c>
      <c r="AKK4" s="7">
        <f t="shared" ref="AKK4:AKK7" si="301">IF(ISNUMBER(AKJ4), AKJ4-AKI4, "")</f>
        <v>0</v>
      </c>
      <c r="AKM4" s="24"/>
      <c r="AKN4" s="6" t="s">
        <v>20</v>
      </c>
      <c r="AKO4" s="24">
        <v>8</v>
      </c>
      <c r="AKP4" s="6" t="s">
        <v>20</v>
      </c>
      <c r="AKQ4" s="5">
        <f t="shared" ref="AKQ4:AKQ7" si="302">IF(OR(ISNUMBER(AKM4), ISNUMBER(AKO4)), IF(ISNUMBER(AKM4), AKM4, 0) + IF(ISNUMBER(AKO4), AKO4, 0), "")</f>
        <v>8</v>
      </c>
      <c r="AKR4" s="3"/>
      <c r="AKS4" s="7">
        <f t="shared" si="98"/>
        <v>0</v>
      </c>
      <c r="AKT4" s="5"/>
      <c r="AKU4" s="7" t="str">
        <f t="shared" ref="AKU4:AKU7" si="303">IF(ISNUMBER(AKT4), AKT4-AKS4, "")</f>
        <v/>
      </c>
      <c r="AKW4" s="2"/>
      <c r="AKX4" s="6" t="s">
        <v>20</v>
      </c>
      <c r="AKY4" s="2">
        <v>8</v>
      </c>
      <c r="AKZ4" s="6" t="s">
        <v>20</v>
      </c>
      <c r="ALA4" s="5">
        <f t="shared" ref="ALA4:ALA7" si="304">IF(OR(ISNUMBER(AKW4), ISNUMBER(AKY4)), IF(ISNUMBER(AKW4), AKW4, 0) + IF(ISNUMBER(AKY4), AKY4, 0), "")</f>
        <v>8</v>
      </c>
      <c r="ALB4" s="3"/>
      <c r="ALC4" s="7">
        <f t="shared" si="99"/>
        <v>0</v>
      </c>
      <c r="ALD4" s="5"/>
      <c r="ALE4" s="7" t="str">
        <f t="shared" ref="ALE4:ALE7" si="305">IF(ISNUMBER(ALD4), ALD4-ALC4, "")</f>
        <v/>
      </c>
      <c r="ALG4" s="2"/>
      <c r="ALH4" s="6" t="s">
        <v>20</v>
      </c>
      <c r="ALI4" s="2">
        <v>8</v>
      </c>
      <c r="ALJ4" s="6" t="s">
        <v>20</v>
      </c>
      <c r="ALK4" s="5">
        <f t="shared" ref="ALK4:ALK7" si="306">IF(OR(ISNUMBER(ALG4), ISNUMBER(ALI4)), IF(ISNUMBER(ALG4), ALG4, 0) + IF(ISNUMBER(ALI4), ALI4, 0), "")</f>
        <v>8</v>
      </c>
      <c r="ALL4" s="3"/>
      <c r="ALM4" s="7">
        <f t="shared" si="100"/>
        <v>0</v>
      </c>
      <c r="ALN4" s="5"/>
      <c r="ALO4" s="7" t="str">
        <f t="shared" ref="ALO4:ALO7" si="307">IF(ISNUMBER(ALN4), ALN4-ALM4, "")</f>
        <v/>
      </c>
      <c r="ALQ4" s="24"/>
      <c r="ALR4" s="6" t="s">
        <v>20</v>
      </c>
      <c r="ALS4" s="24">
        <v>7</v>
      </c>
      <c r="ALT4" s="6" t="s">
        <v>20</v>
      </c>
      <c r="ALU4" s="5">
        <f t="shared" ref="ALU4:ALU7" si="308">IF(OR(ISNUMBER(ALQ4), ISNUMBER(ALS4)), IF(ISNUMBER(ALQ4), ALQ4, 0) + IF(ISNUMBER(ALS4), ALS4, 0), "")</f>
        <v>7</v>
      </c>
      <c r="ALV4" s="3"/>
      <c r="ALW4" s="7">
        <f t="shared" si="101"/>
        <v>1</v>
      </c>
      <c r="ALX4" s="5">
        <v>1</v>
      </c>
      <c r="ALY4" s="7">
        <f t="shared" ref="ALY4:ALY7" si="309">IF(ISNUMBER(ALX4), ALX4-ALW4, "")</f>
        <v>0</v>
      </c>
      <c r="AMA4" s="24" t="s">
        <v>88</v>
      </c>
      <c r="AMB4" s="6" t="s">
        <v>20</v>
      </c>
      <c r="AMC4" s="24">
        <v>6</v>
      </c>
      <c r="AMD4" s="6" t="s">
        <v>20</v>
      </c>
      <c r="AME4" s="5">
        <f t="shared" ref="AME4:AME7" si="310">IF(OR(ISNUMBER(AMA4), ISNUMBER(AMC4)), IF(ISNUMBER(AMA4), AMA4, 0) + IF(ISNUMBER(AMC4), AMC4, 0), "")</f>
        <v>6</v>
      </c>
      <c r="AMF4" s="3"/>
      <c r="AMG4" s="7">
        <f t="shared" si="102"/>
        <v>1</v>
      </c>
      <c r="AMH4" s="5"/>
      <c r="AMI4" s="7" t="str">
        <f t="shared" ref="AMI4:AMI7" si="311">IF(ISNUMBER(AMH4), AMH4-AMG4, "")</f>
        <v/>
      </c>
      <c r="AMK4" s="24"/>
      <c r="AML4" s="6" t="s">
        <v>20</v>
      </c>
      <c r="AMM4" s="24">
        <v>4</v>
      </c>
      <c r="AMN4" s="6" t="s">
        <v>20</v>
      </c>
      <c r="AMO4" s="5">
        <f t="shared" ref="AMO4:AMO7" si="312">IF(OR(ISNUMBER(AMK4), ISNUMBER(AMM4)), IF(ISNUMBER(AMK4), AMK4, 0) + IF(ISNUMBER(AMM4), AMM4, 0), "")</f>
        <v>4</v>
      </c>
      <c r="AMP4" s="3">
        <v>1</v>
      </c>
      <c r="AMQ4" s="7">
        <f t="shared" si="103"/>
        <v>2</v>
      </c>
      <c r="AMR4" s="5">
        <v>2</v>
      </c>
      <c r="AMS4" s="7">
        <f t="shared" ref="AMS4:AMS7" si="313">IF(ISNUMBER(AMR4), AMR4-AMQ4, "")</f>
        <v>0</v>
      </c>
      <c r="AMU4" s="2">
        <v>24</v>
      </c>
      <c r="AMV4" s="6" t="s">
        <v>20</v>
      </c>
      <c r="AMW4" s="2">
        <v>4</v>
      </c>
      <c r="AMX4" s="6" t="s">
        <v>20</v>
      </c>
      <c r="AMY4" s="5">
        <f t="shared" ref="AMY4:AMY7" si="314">IF(OR(ISNUMBER(AMU4), ISNUMBER(AMW4)), IF(ISNUMBER(AMU4), AMU4, 0) + IF(ISNUMBER(AMW4), AMW4, 0), "")</f>
        <v>28</v>
      </c>
      <c r="AMZ4" s="3"/>
      <c r="ANA4" s="7">
        <f t="shared" si="104"/>
        <v>0</v>
      </c>
      <c r="ANB4" s="5"/>
      <c r="ANC4" s="7" t="str">
        <f t="shared" ref="ANC4:ANC7" si="315">IF(ISNUMBER(ANB4), ANB4-ANA4, "")</f>
        <v/>
      </c>
      <c r="ANE4" s="2">
        <v>24</v>
      </c>
      <c r="ANF4" s="6" t="s">
        <v>20</v>
      </c>
      <c r="ANG4" s="2">
        <v>4</v>
      </c>
      <c r="ANH4" s="6" t="s">
        <v>20</v>
      </c>
      <c r="ANI4" s="5">
        <f t="shared" ref="ANI4:ANI7" si="316">IF(OR(ISNUMBER(ANE4), ISNUMBER(ANG4)), IF(ISNUMBER(ANE4), ANE4, 0) + IF(ISNUMBER(ANG4), ANG4, 0), "")</f>
        <v>28</v>
      </c>
      <c r="ANJ4" s="3"/>
      <c r="ANK4" s="7">
        <f t="shared" si="105"/>
        <v>0</v>
      </c>
      <c r="ANL4" s="5"/>
      <c r="ANM4" s="7" t="str">
        <f t="shared" ref="ANM4:ANM7" si="317">IF(ISNUMBER(ANL4), ANL4-ANK4, "")</f>
        <v/>
      </c>
      <c r="ANO4" s="24">
        <v>24</v>
      </c>
      <c r="ANP4" s="6" t="s">
        <v>20</v>
      </c>
      <c r="ANQ4" s="24">
        <v>5</v>
      </c>
      <c r="ANR4" s="6" t="s">
        <v>20</v>
      </c>
      <c r="ANS4" s="5">
        <f t="shared" ref="ANS4:ANS7" si="318">IF(OR(ISNUMBER(ANO4), ISNUMBER(ANQ4)), IF(ISNUMBER(ANO4), ANO4, 0) + IF(ISNUMBER(ANQ4), ANQ4, 0), "")</f>
        <v>29</v>
      </c>
      <c r="ANT4" s="3"/>
      <c r="ANU4" s="7">
        <f t="shared" si="106"/>
        <v>-1</v>
      </c>
      <c r="ANV4" s="5">
        <v>0</v>
      </c>
      <c r="ANW4" s="7">
        <f t="shared" ref="ANW4:ANW7" si="319">IF(ISNUMBER(ANV4), ANV4-ANU4, "")</f>
        <v>1</v>
      </c>
      <c r="ANY4" s="24">
        <v>24</v>
      </c>
      <c r="ANZ4" s="6" t="s">
        <v>20</v>
      </c>
      <c r="AOA4" s="24">
        <v>5</v>
      </c>
      <c r="AOB4" s="6" t="s">
        <v>20</v>
      </c>
      <c r="AOC4" s="5">
        <f t="shared" ref="AOC4:AOC7" si="320">IF(OR(ISNUMBER(ANY4), ISNUMBER(AOA4)), IF(ISNUMBER(ANY4), ANY4, 0) + IF(ISNUMBER(AOA4), AOA4, 0), "")</f>
        <v>29</v>
      </c>
      <c r="AOD4" s="3"/>
      <c r="AOE4" s="7">
        <f t="shared" si="107"/>
        <v>0</v>
      </c>
      <c r="AOF4" s="5"/>
      <c r="AOG4" s="7" t="str">
        <f t="shared" ref="AOG4:AOG7" si="321">IF(ISNUMBER(AOF4), AOF4-AOE4, "")</f>
        <v/>
      </c>
      <c r="AOI4" s="24">
        <v>24</v>
      </c>
      <c r="AOJ4" s="6" t="s">
        <v>20</v>
      </c>
      <c r="AOK4" s="24">
        <v>5</v>
      </c>
      <c r="AOL4" s="6" t="s">
        <v>20</v>
      </c>
      <c r="AOM4" s="5">
        <f t="shared" ref="AOM4:AOM7" si="322">IF(OR(ISNUMBER(AOI4), ISNUMBER(AOK4)), IF(ISNUMBER(AOI4), AOI4, 0) + IF(ISNUMBER(AOK4), AOK4, 0), "")</f>
        <v>29</v>
      </c>
      <c r="AON4" s="3"/>
      <c r="AOO4" s="7">
        <f t="shared" si="108"/>
        <v>0</v>
      </c>
      <c r="AOP4" s="5"/>
      <c r="AOQ4" s="7" t="str">
        <f t="shared" ref="AOQ4:AOQ7" si="323">IF(ISNUMBER(AOP4), AOP4-AOO4, "")</f>
        <v/>
      </c>
      <c r="AOS4" s="2"/>
      <c r="AOT4" s="6" t="s">
        <v>20</v>
      </c>
      <c r="AOU4" s="2">
        <v>29</v>
      </c>
      <c r="AOV4" s="6" t="s">
        <v>20</v>
      </c>
      <c r="AOW4" s="5">
        <f t="shared" ref="AOW4:AOW7" si="324">IF(OR(ISNUMBER(AOS4), ISNUMBER(AOU4)), IF(ISNUMBER(AOS4), AOS4, 0) + IF(ISNUMBER(AOU4), AOU4, 0), "")</f>
        <v>29</v>
      </c>
      <c r="AOX4" s="3"/>
      <c r="AOY4" s="7">
        <f t="shared" si="109"/>
        <v>0</v>
      </c>
      <c r="AOZ4" s="5"/>
      <c r="APA4" s="7" t="str">
        <f t="shared" ref="APA4:APA7" si="325">IF(ISNUMBER(AOZ4), AOZ4-AOY4, "")</f>
        <v/>
      </c>
    </row>
    <row r="5" spans="1:1093" ht="12.75" customHeight="1" x14ac:dyDescent="0.2">
      <c r="A5" s="22" t="s">
        <v>22</v>
      </c>
      <c r="B5" s="13" t="s">
        <v>19</v>
      </c>
      <c r="C5" s="13">
        <v>24</v>
      </c>
      <c r="E5" s="24"/>
      <c r="F5" s="6" t="s">
        <v>20</v>
      </c>
      <c r="G5" s="24">
        <v>11</v>
      </c>
      <c r="H5" s="6" t="s">
        <v>20</v>
      </c>
      <c r="I5" s="5">
        <f t="shared" si="110"/>
        <v>11</v>
      </c>
      <c r="J5" s="3"/>
      <c r="K5" s="7"/>
      <c r="L5" s="5"/>
      <c r="M5" s="7" t="str">
        <f t="shared" si="111"/>
        <v/>
      </c>
      <c r="O5" s="24"/>
      <c r="P5" s="6" t="s">
        <v>20</v>
      </c>
      <c r="Q5" s="24">
        <v>9</v>
      </c>
      <c r="R5" s="6" t="s">
        <v>20</v>
      </c>
      <c r="S5" s="5">
        <f t="shared" si="112"/>
        <v>9</v>
      </c>
      <c r="T5" s="3"/>
      <c r="U5" s="7">
        <f t="shared" si="0"/>
        <v>2</v>
      </c>
      <c r="V5" s="5">
        <v>2</v>
      </c>
      <c r="W5" s="7">
        <f t="shared" si="113"/>
        <v>0</v>
      </c>
      <c r="Y5" s="24">
        <v>6</v>
      </c>
      <c r="Z5" s="6" t="s">
        <v>20</v>
      </c>
      <c r="AA5" s="24">
        <v>2</v>
      </c>
      <c r="AB5" s="6" t="s">
        <v>20</v>
      </c>
      <c r="AC5" s="5">
        <f t="shared" si="114"/>
        <v>8</v>
      </c>
      <c r="AD5" s="3"/>
      <c r="AE5" s="7">
        <f t="shared" si="1"/>
        <v>1</v>
      </c>
      <c r="AF5" s="5">
        <v>1</v>
      </c>
      <c r="AG5" s="7">
        <f t="shared" si="115"/>
        <v>0</v>
      </c>
      <c r="AI5" s="24">
        <v>6</v>
      </c>
      <c r="AJ5" s="6" t="s">
        <v>20</v>
      </c>
      <c r="AK5" s="24">
        <v>2</v>
      </c>
      <c r="AL5" s="6" t="s">
        <v>20</v>
      </c>
      <c r="AM5" s="5">
        <f t="shared" si="116"/>
        <v>8</v>
      </c>
      <c r="AN5" s="3">
        <v>1</v>
      </c>
      <c r="AO5" s="7">
        <f t="shared" si="2"/>
        <v>0</v>
      </c>
      <c r="AP5" s="5"/>
      <c r="AQ5" s="7" t="str">
        <f t="shared" si="117"/>
        <v/>
      </c>
      <c r="AS5" s="24">
        <v>18</v>
      </c>
      <c r="AT5" s="6" t="s">
        <v>20</v>
      </c>
      <c r="AU5" s="24">
        <v>8</v>
      </c>
      <c r="AV5" s="6" t="s">
        <v>20</v>
      </c>
      <c r="AW5" s="5">
        <f t="shared" si="118"/>
        <v>26</v>
      </c>
      <c r="AX5" s="3"/>
      <c r="AY5" s="7">
        <f t="shared" si="3"/>
        <v>6</v>
      </c>
      <c r="AZ5" s="5">
        <v>6</v>
      </c>
      <c r="BA5" s="7">
        <f t="shared" si="119"/>
        <v>0</v>
      </c>
      <c r="BC5" s="2">
        <v>18</v>
      </c>
      <c r="BD5" s="6" t="s">
        <v>20</v>
      </c>
      <c r="BE5" s="2">
        <v>8</v>
      </c>
      <c r="BF5" s="6" t="s">
        <v>20</v>
      </c>
      <c r="BG5" s="5">
        <f t="shared" si="120"/>
        <v>26</v>
      </c>
      <c r="BH5" s="3"/>
      <c r="BI5" s="7">
        <f t="shared" si="4"/>
        <v>0</v>
      </c>
      <c r="BJ5" s="5"/>
      <c r="BK5" s="7" t="str">
        <f t="shared" si="121"/>
        <v/>
      </c>
      <c r="BM5" s="2">
        <v>9</v>
      </c>
      <c r="BN5" s="6" t="s">
        <v>20</v>
      </c>
      <c r="BO5" s="2">
        <v>6</v>
      </c>
      <c r="BP5" s="6" t="s">
        <v>20</v>
      </c>
      <c r="BQ5" s="5">
        <f t="shared" si="122"/>
        <v>15</v>
      </c>
      <c r="BR5" s="3">
        <v>1</v>
      </c>
      <c r="BS5" s="7">
        <f t="shared" si="5"/>
        <v>11</v>
      </c>
      <c r="BT5" s="5">
        <v>2</v>
      </c>
      <c r="BU5" s="7">
        <f t="shared" si="123"/>
        <v>-9</v>
      </c>
      <c r="BW5" s="24">
        <v>24</v>
      </c>
      <c r="BX5" s="6" t="s">
        <v>20</v>
      </c>
      <c r="BY5" s="24">
        <v>24</v>
      </c>
      <c r="BZ5" s="6" t="s">
        <v>20</v>
      </c>
      <c r="CA5" s="5">
        <f t="shared" si="124"/>
        <v>48</v>
      </c>
      <c r="CB5" s="3"/>
      <c r="CC5" s="7">
        <f t="shared" si="6"/>
        <v>-9</v>
      </c>
      <c r="CD5" s="5"/>
      <c r="CE5" s="7" t="str">
        <f t="shared" si="125"/>
        <v/>
      </c>
      <c r="CG5" s="24">
        <v>24</v>
      </c>
      <c r="CH5" s="6" t="s">
        <v>20</v>
      </c>
      <c r="CI5" s="24">
        <v>11</v>
      </c>
      <c r="CJ5" s="6" t="s">
        <v>20</v>
      </c>
      <c r="CK5" s="5">
        <f t="shared" si="126"/>
        <v>35</v>
      </c>
      <c r="CL5" s="3"/>
      <c r="CM5" s="7">
        <f t="shared" si="7"/>
        <v>13</v>
      </c>
      <c r="CN5" s="5">
        <v>1</v>
      </c>
      <c r="CO5" s="7">
        <f t="shared" si="127"/>
        <v>-12</v>
      </c>
      <c r="CQ5" s="24">
        <v>36</v>
      </c>
      <c r="CR5" s="6" t="s">
        <v>20</v>
      </c>
      <c r="CS5" s="24">
        <v>10</v>
      </c>
      <c r="CT5" s="6" t="s">
        <v>20</v>
      </c>
      <c r="CU5" s="5">
        <f t="shared" si="128"/>
        <v>46</v>
      </c>
      <c r="CV5" s="3"/>
      <c r="CW5" s="7">
        <f t="shared" si="8"/>
        <v>-11</v>
      </c>
      <c r="CX5" s="5">
        <v>1</v>
      </c>
      <c r="CY5" s="7">
        <f t="shared" si="129"/>
        <v>12</v>
      </c>
      <c r="DA5" s="24">
        <v>36</v>
      </c>
      <c r="DB5" s="6" t="s">
        <v>20</v>
      </c>
      <c r="DC5" s="24">
        <v>9</v>
      </c>
      <c r="DD5" s="6" t="s">
        <v>20</v>
      </c>
      <c r="DE5" s="5">
        <f t="shared" si="130"/>
        <v>45</v>
      </c>
      <c r="DF5" s="3"/>
      <c r="DG5" s="7">
        <f t="shared" si="9"/>
        <v>1</v>
      </c>
      <c r="DH5" s="5">
        <v>1</v>
      </c>
      <c r="DI5" s="7">
        <f t="shared" si="131"/>
        <v>0</v>
      </c>
      <c r="DK5" s="24">
        <v>36</v>
      </c>
      <c r="DL5" s="6" t="s">
        <v>20</v>
      </c>
      <c r="DM5" s="24">
        <v>9</v>
      </c>
      <c r="DN5" s="6" t="s">
        <v>20</v>
      </c>
      <c r="DO5" s="5">
        <f t="shared" si="132"/>
        <v>45</v>
      </c>
      <c r="DP5" s="3"/>
      <c r="DQ5" s="7">
        <f t="shared" si="10"/>
        <v>0</v>
      </c>
      <c r="DR5" s="5"/>
      <c r="DS5" s="7" t="str">
        <f t="shared" si="133"/>
        <v/>
      </c>
      <c r="DU5" s="24">
        <v>30</v>
      </c>
      <c r="DV5" s="6" t="s">
        <v>20</v>
      </c>
      <c r="DW5" s="24">
        <v>9</v>
      </c>
      <c r="DX5" s="6" t="s">
        <v>20</v>
      </c>
      <c r="DY5" s="5">
        <f t="shared" si="134"/>
        <v>39</v>
      </c>
      <c r="DZ5" s="3"/>
      <c r="EA5" s="7">
        <f t="shared" si="11"/>
        <v>6</v>
      </c>
      <c r="EB5" s="5">
        <v>6</v>
      </c>
      <c r="EC5" s="7">
        <f t="shared" si="135"/>
        <v>0</v>
      </c>
      <c r="EE5" s="24">
        <v>30</v>
      </c>
      <c r="EF5" s="6" t="s">
        <v>20</v>
      </c>
      <c r="EG5" s="24">
        <v>6</v>
      </c>
      <c r="EH5" s="6" t="s">
        <v>20</v>
      </c>
      <c r="EI5" s="5">
        <f t="shared" si="136"/>
        <v>36</v>
      </c>
      <c r="EJ5" s="3"/>
      <c r="EK5" s="7">
        <f t="shared" si="12"/>
        <v>3</v>
      </c>
      <c r="EL5" s="5">
        <v>2</v>
      </c>
      <c r="EM5" s="7">
        <f t="shared" si="137"/>
        <v>-1</v>
      </c>
      <c r="EO5" s="24">
        <v>30</v>
      </c>
      <c r="EP5" s="6" t="s">
        <v>20</v>
      </c>
      <c r="EQ5" s="24">
        <v>6</v>
      </c>
      <c r="ER5" s="6" t="s">
        <v>20</v>
      </c>
      <c r="ES5" s="5">
        <f t="shared" si="138"/>
        <v>36</v>
      </c>
      <c r="ET5" s="3"/>
      <c r="EU5" s="7">
        <f t="shared" si="13"/>
        <v>0</v>
      </c>
      <c r="EV5" s="5"/>
      <c r="EW5" s="7" t="str">
        <f t="shared" si="139"/>
        <v/>
      </c>
      <c r="EY5" s="24">
        <v>24</v>
      </c>
      <c r="EZ5" s="6" t="s">
        <v>20</v>
      </c>
      <c r="FA5" s="24">
        <v>10</v>
      </c>
      <c r="FB5" s="6" t="s">
        <v>20</v>
      </c>
      <c r="FC5" s="5">
        <f t="shared" si="140"/>
        <v>34</v>
      </c>
      <c r="FD5" s="3"/>
      <c r="FE5" s="7">
        <f t="shared" si="14"/>
        <v>2</v>
      </c>
      <c r="FF5" s="5">
        <v>2</v>
      </c>
      <c r="FG5" s="7">
        <f t="shared" si="141"/>
        <v>0</v>
      </c>
      <c r="FI5" s="24">
        <v>24</v>
      </c>
      <c r="FJ5" s="6" t="s">
        <v>20</v>
      </c>
      <c r="FK5" s="24">
        <v>6</v>
      </c>
      <c r="FL5" s="6" t="s">
        <v>20</v>
      </c>
      <c r="FM5" s="5">
        <f t="shared" si="142"/>
        <v>30</v>
      </c>
      <c r="FN5" s="3"/>
      <c r="FO5" s="7">
        <f t="shared" si="15"/>
        <v>4</v>
      </c>
      <c r="FP5" s="5">
        <v>3</v>
      </c>
      <c r="FQ5" s="7">
        <f t="shared" si="143"/>
        <v>-1</v>
      </c>
      <c r="FS5" s="24">
        <v>18</v>
      </c>
      <c r="FT5" s="6" t="s">
        <v>20</v>
      </c>
      <c r="FU5" s="24">
        <v>8</v>
      </c>
      <c r="FV5" s="6" t="s">
        <v>20</v>
      </c>
      <c r="FW5" s="5">
        <f t="shared" si="144"/>
        <v>26</v>
      </c>
      <c r="FX5" s="3"/>
      <c r="FY5" s="7">
        <f t="shared" si="16"/>
        <v>4</v>
      </c>
      <c r="FZ5" s="5">
        <v>4</v>
      </c>
      <c r="GA5" s="7">
        <f t="shared" si="145"/>
        <v>0</v>
      </c>
      <c r="GC5" s="24">
        <v>18</v>
      </c>
      <c r="GD5" s="6" t="s">
        <v>20</v>
      </c>
      <c r="GE5" s="24">
        <v>7</v>
      </c>
      <c r="GF5" s="6" t="s">
        <v>20</v>
      </c>
      <c r="GG5" s="5">
        <f t="shared" si="146"/>
        <v>25</v>
      </c>
      <c r="GH5" s="3"/>
      <c r="GI5" s="7">
        <f t="shared" si="17"/>
        <v>1</v>
      </c>
      <c r="GJ5" s="5">
        <v>1</v>
      </c>
      <c r="GK5" s="7">
        <f t="shared" si="147"/>
        <v>0</v>
      </c>
      <c r="GM5" s="24">
        <v>12</v>
      </c>
      <c r="GN5" s="6" t="s">
        <v>20</v>
      </c>
      <c r="GO5" s="24">
        <v>10</v>
      </c>
      <c r="GP5" s="6" t="s">
        <v>20</v>
      </c>
      <c r="GQ5" s="5">
        <f t="shared" si="148"/>
        <v>22</v>
      </c>
      <c r="GR5" s="3"/>
      <c r="GS5" s="7">
        <f t="shared" si="18"/>
        <v>3</v>
      </c>
      <c r="GT5" s="5">
        <v>3</v>
      </c>
      <c r="GU5" s="7">
        <f t="shared" si="149"/>
        <v>0</v>
      </c>
      <c r="GW5" s="24">
        <v>12</v>
      </c>
      <c r="GX5" s="6" t="s">
        <v>20</v>
      </c>
      <c r="GY5" s="24">
        <v>10</v>
      </c>
      <c r="GZ5" s="6" t="s">
        <v>20</v>
      </c>
      <c r="HA5" s="5">
        <f t="shared" si="150"/>
        <v>22</v>
      </c>
      <c r="HB5" s="3"/>
      <c r="HC5" s="7">
        <f t="shared" si="19"/>
        <v>0</v>
      </c>
      <c r="HD5" s="5"/>
      <c r="HE5" s="7" t="str">
        <f t="shared" si="151"/>
        <v/>
      </c>
      <c r="HG5" s="24">
        <v>12</v>
      </c>
      <c r="HH5" s="6" t="s">
        <v>20</v>
      </c>
      <c r="HI5" s="24">
        <v>10</v>
      </c>
      <c r="HJ5" s="6" t="s">
        <v>20</v>
      </c>
      <c r="HK5" s="5">
        <f t="shared" si="152"/>
        <v>22</v>
      </c>
      <c r="HL5" s="3"/>
      <c r="HM5" s="7">
        <f t="shared" si="20"/>
        <v>0</v>
      </c>
      <c r="HN5" s="5"/>
      <c r="HO5" s="7" t="str">
        <f t="shared" si="153"/>
        <v/>
      </c>
      <c r="HQ5" s="24">
        <v>12</v>
      </c>
      <c r="HR5" s="6" t="s">
        <v>20</v>
      </c>
      <c r="HS5" s="24">
        <v>7</v>
      </c>
      <c r="HT5" s="6" t="s">
        <v>20</v>
      </c>
      <c r="HU5" s="5">
        <f t="shared" si="154"/>
        <v>19</v>
      </c>
      <c r="HV5" s="3"/>
      <c r="HW5" s="7">
        <f t="shared" si="21"/>
        <v>3</v>
      </c>
      <c r="HX5" s="5">
        <v>3</v>
      </c>
      <c r="HY5" s="7">
        <f t="shared" si="155"/>
        <v>0</v>
      </c>
      <c r="IA5" s="24">
        <v>12</v>
      </c>
      <c r="IB5" s="6" t="s">
        <v>20</v>
      </c>
      <c r="IC5" s="24">
        <v>6</v>
      </c>
      <c r="ID5" s="6" t="s">
        <v>20</v>
      </c>
      <c r="IE5" s="5">
        <f t="shared" si="156"/>
        <v>18</v>
      </c>
      <c r="IF5" s="3"/>
      <c r="IG5" s="7">
        <f t="shared" si="22"/>
        <v>1</v>
      </c>
      <c r="IH5" s="5">
        <v>1</v>
      </c>
      <c r="II5" s="7">
        <f t="shared" si="157"/>
        <v>0</v>
      </c>
      <c r="IK5" s="24">
        <v>12</v>
      </c>
      <c r="IL5" s="6" t="s">
        <v>20</v>
      </c>
      <c r="IM5" s="24">
        <v>6</v>
      </c>
      <c r="IN5" s="6" t="s">
        <v>20</v>
      </c>
      <c r="IO5" s="5">
        <f t="shared" si="158"/>
        <v>18</v>
      </c>
      <c r="IP5" s="3"/>
      <c r="IQ5" s="7">
        <f t="shared" si="23"/>
        <v>0</v>
      </c>
      <c r="IR5" s="5"/>
      <c r="IS5" s="7" t="str">
        <f t="shared" si="159"/>
        <v/>
      </c>
      <c r="IU5" s="24">
        <v>12</v>
      </c>
      <c r="IV5" s="6" t="s">
        <v>20</v>
      </c>
      <c r="IW5" s="24">
        <v>5</v>
      </c>
      <c r="IX5" s="6" t="s">
        <v>20</v>
      </c>
      <c r="IY5" s="5">
        <f t="shared" si="160"/>
        <v>17</v>
      </c>
      <c r="IZ5" s="3"/>
      <c r="JA5" s="7">
        <f t="shared" si="24"/>
        <v>1</v>
      </c>
      <c r="JB5" s="5">
        <v>1</v>
      </c>
      <c r="JC5" s="7">
        <f t="shared" si="161"/>
        <v>0</v>
      </c>
      <c r="JE5" s="24">
        <v>12</v>
      </c>
      <c r="JF5" s="6" t="s">
        <v>20</v>
      </c>
      <c r="JG5" s="24">
        <v>4</v>
      </c>
      <c r="JH5" s="6" t="s">
        <v>20</v>
      </c>
      <c r="JI5" s="5">
        <f t="shared" si="162"/>
        <v>16</v>
      </c>
      <c r="JJ5" s="3"/>
      <c r="JK5" s="7">
        <f t="shared" si="25"/>
        <v>1</v>
      </c>
      <c r="JL5" s="5">
        <v>1</v>
      </c>
      <c r="JM5" s="7">
        <f t="shared" si="163"/>
        <v>0</v>
      </c>
      <c r="JO5" s="24">
        <v>6</v>
      </c>
      <c r="JP5" s="6" t="s">
        <v>20</v>
      </c>
      <c r="JQ5" s="24">
        <v>7</v>
      </c>
      <c r="JR5" s="6" t="s">
        <v>20</v>
      </c>
      <c r="JS5" s="5">
        <f t="shared" si="164"/>
        <v>13</v>
      </c>
      <c r="JT5" s="3"/>
      <c r="JU5" s="7">
        <f t="shared" si="26"/>
        <v>3</v>
      </c>
      <c r="JV5" s="5">
        <v>3</v>
      </c>
      <c r="JW5" s="7">
        <f t="shared" si="165"/>
        <v>0</v>
      </c>
      <c r="JY5" s="24">
        <v>6</v>
      </c>
      <c r="JZ5" s="6" t="s">
        <v>20</v>
      </c>
      <c r="KA5" s="24">
        <v>4</v>
      </c>
      <c r="KB5" s="6" t="s">
        <v>20</v>
      </c>
      <c r="KC5" s="5">
        <f t="shared" si="166"/>
        <v>10</v>
      </c>
      <c r="KD5" s="3"/>
      <c r="KE5" s="7">
        <f t="shared" si="27"/>
        <v>3</v>
      </c>
      <c r="KF5" s="5">
        <v>3</v>
      </c>
      <c r="KG5" s="7">
        <f t="shared" si="167"/>
        <v>0</v>
      </c>
      <c r="KI5" s="24">
        <v>0</v>
      </c>
      <c r="KJ5" s="6" t="s">
        <v>20</v>
      </c>
      <c r="KK5" s="24">
        <v>5</v>
      </c>
      <c r="KL5" s="6" t="s">
        <v>20</v>
      </c>
      <c r="KM5" s="5">
        <f t="shared" si="168"/>
        <v>5</v>
      </c>
      <c r="KN5" s="3"/>
      <c r="KO5" s="7">
        <f t="shared" si="28"/>
        <v>5</v>
      </c>
      <c r="KP5" s="5">
        <v>5</v>
      </c>
      <c r="KQ5" s="7">
        <f t="shared" si="169"/>
        <v>0</v>
      </c>
      <c r="KS5" s="24">
        <v>0</v>
      </c>
      <c r="KT5" s="6" t="s">
        <v>20</v>
      </c>
      <c r="KU5" s="24">
        <v>0</v>
      </c>
      <c r="KV5" s="6" t="s">
        <v>20</v>
      </c>
      <c r="KW5" s="5">
        <f t="shared" si="170"/>
        <v>0</v>
      </c>
      <c r="KX5" s="3">
        <v>1</v>
      </c>
      <c r="KY5" s="7">
        <f t="shared" si="29"/>
        <v>5</v>
      </c>
      <c r="KZ5" s="5">
        <v>5</v>
      </c>
      <c r="LA5" s="7">
        <f t="shared" si="171"/>
        <v>0</v>
      </c>
      <c r="LC5" s="24">
        <v>12</v>
      </c>
      <c r="LD5" s="6" t="s">
        <v>20</v>
      </c>
      <c r="LE5" s="24">
        <v>9</v>
      </c>
      <c r="LF5" s="6" t="s">
        <v>20</v>
      </c>
      <c r="LG5" s="5">
        <f t="shared" si="172"/>
        <v>21</v>
      </c>
      <c r="LH5" s="3"/>
      <c r="LI5" s="7">
        <f t="shared" si="30"/>
        <v>3</v>
      </c>
      <c r="LJ5" s="5">
        <v>3</v>
      </c>
      <c r="LK5" s="7">
        <f t="shared" si="173"/>
        <v>0</v>
      </c>
      <c r="LM5" s="24">
        <v>6</v>
      </c>
      <c r="LN5" s="6" t="s">
        <v>20</v>
      </c>
      <c r="LO5" s="24">
        <v>11</v>
      </c>
      <c r="LP5" s="6" t="s">
        <v>20</v>
      </c>
      <c r="LQ5" s="5">
        <f t="shared" si="174"/>
        <v>17</v>
      </c>
      <c r="LR5" s="3"/>
      <c r="LS5" s="7">
        <f t="shared" si="31"/>
        <v>4</v>
      </c>
      <c r="LT5" s="5">
        <v>4</v>
      </c>
      <c r="LU5" s="7">
        <f t="shared" si="175"/>
        <v>0</v>
      </c>
      <c r="LW5" s="24">
        <v>0</v>
      </c>
      <c r="LX5" s="6" t="s">
        <v>20</v>
      </c>
      <c r="LY5" s="24">
        <v>17</v>
      </c>
      <c r="LZ5" s="6" t="s">
        <v>20</v>
      </c>
      <c r="MA5" s="5">
        <f t="shared" si="176"/>
        <v>17</v>
      </c>
      <c r="MB5" s="3"/>
      <c r="MC5" s="7">
        <f t="shared" si="32"/>
        <v>0</v>
      </c>
      <c r="MD5" s="5"/>
      <c r="ME5" s="7" t="str">
        <f t="shared" si="177"/>
        <v/>
      </c>
      <c r="MG5" s="24">
        <v>0</v>
      </c>
      <c r="MH5" s="6" t="s">
        <v>20</v>
      </c>
      <c r="MI5" s="24">
        <v>17</v>
      </c>
      <c r="MJ5" s="6" t="s">
        <v>20</v>
      </c>
      <c r="MK5" s="5">
        <f t="shared" si="178"/>
        <v>17</v>
      </c>
      <c r="ML5" s="3"/>
      <c r="MM5" s="7">
        <f t="shared" si="33"/>
        <v>0</v>
      </c>
      <c r="MN5" s="5"/>
      <c r="MO5" s="7" t="str">
        <f t="shared" si="179"/>
        <v/>
      </c>
      <c r="MQ5" s="2">
        <v>0</v>
      </c>
      <c r="MR5" s="6" t="s">
        <v>20</v>
      </c>
      <c r="MS5" s="2">
        <v>13</v>
      </c>
      <c r="MT5" s="6" t="s">
        <v>20</v>
      </c>
      <c r="MU5" s="5">
        <f t="shared" si="180"/>
        <v>13</v>
      </c>
      <c r="MV5" s="3"/>
      <c r="MW5" s="7">
        <f t="shared" si="34"/>
        <v>4</v>
      </c>
      <c r="MX5" s="5">
        <v>4</v>
      </c>
      <c r="MY5" s="7">
        <f t="shared" si="181"/>
        <v>0</v>
      </c>
      <c r="NA5" s="24">
        <v>0</v>
      </c>
      <c r="NB5" s="6" t="s">
        <v>20</v>
      </c>
      <c r="NC5" s="24">
        <v>10</v>
      </c>
      <c r="ND5" s="6" t="s">
        <v>20</v>
      </c>
      <c r="NE5" s="5">
        <f t="shared" si="182"/>
        <v>10</v>
      </c>
      <c r="NF5" s="3">
        <v>1</v>
      </c>
      <c r="NG5" s="7">
        <f t="shared" si="35"/>
        <v>3</v>
      </c>
      <c r="NH5" s="5">
        <v>3</v>
      </c>
      <c r="NI5" s="7">
        <f t="shared" si="183"/>
        <v>0</v>
      </c>
      <c r="NK5" s="24">
        <v>24</v>
      </c>
      <c r="NL5" s="6" t="s">
        <v>20</v>
      </c>
      <c r="NM5" s="24">
        <v>8</v>
      </c>
      <c r="NN5" s="6" t="s">
        <v>20</v>
      </c>
      <c r="NO5" s="5">
        <f t="shared" si="184"/>
        <v>32</v>
      </c>
      <c r="NP5" s="3"/>
      <c r="NQ5" s="7">
        <f t="shared" si="36"/>
        <v>2</v>
      </c>
      <c r="NR5" s="5">
        <v>2</v>
      </c>
      <c r="NS5" s="7">
        <f t="shared" si="185"/>
        <v>0</v>
      </c>
      <c r="NU5" s="24">
        <v>24</v>
      </c>
      <c r="NV5" s="6" t="s">
        <v>20</v>
      </c>
      <c r="NW5" s="24">
        <v>5</v>
      </c>
      <c r="NX5" s="6" t="s">
        <v>20</v>
      </c>
      <c r="NY5" s="5">
        <f t="shared" si="186"/>
        <v>29</v>
      </c>
      <c r="NZ5" s="3"/>
      <c r="OA5" s="7">
        <f t="shared" si="37"/>
        <v>3</v>
      </c>
      <c r="OB5" s="5">
        <v>3</v>
      </c>
      <c r="OC5" s="7">
        <f t="shared" si="187"/>
        <v>0</v>
      </c>
      <c r="OE5" s="2">
        <v>24</v>
      </c>
      <c r="OF5" s="6" t="s">
        <v>20</v>
      </c>
      <c r="OG5" s="2">
        <v>5</v>
      </c>
      <c r="OH5" s="6" t="s">
        <v>20</v>
      </c>
      <c r="OI5" s="5">
        <f t="shared" si="188"/>
        <v>29</v>
      </c>
      <c r="OJ5" s="3"/>
      <c r="OK5" s="7">
        <f t="shared" si="38"/>
        <v>0</v>
      </c>
      <c r="OL5" s="5"/>
      <c r="OM5" s="7" t="str">
        <f t="shared" si="189"/>
        <v/>
      </c>
      <c r="OO5" s="24">
        <v>24</v>
      </c>
      <c r="OP5" s="6" t="s">
        <v>20</v>
      </c>
      <c r="OQ5" s="24">
        <v>5</v>
      </c>
      <c r="OR5" s="6" t="s">
        <v>20</v>
      </c>
      <c r="OS5" s="5">
        <f t="shared" si="190"/>
        <v>29</v>
      </c>
      <c r="OT5" s="3"/>
      <c r="OU5" s="7">
        <f t="shared" si="39"/>
        <v>0</v>
      </c>
      <c r="OV5" s="5"/>
      <c r="OW5" s="7" t="str">
        <f t="shared" si="191"/>
        <v/>
      </c>
      <c r="OY5" s="24">
        <v>24</v>
      </c>
      <c r="OZ5" s="6" t="s">
        <v>20</v>
      </c>
      <c r="PA5" s="24">
        <v>3</v>
      </c>
      <c r="PB5" s="6" t="s">
        <v>20</v>
      </c>
      <c r="PC5" s="5">
        <f t="shared" si="192"/>
        <v>27</v>
      </c>
      <c r="PD5" s="3"/>
      <c r="PE5" s="7">
        <f t="shared" si="40"/>
        <v>2</v>
      </c>
      <c r="PF5" s="5">
        <v>2</v>
      </c>
      <c r="PG5" s="7">
        <f t="shared" si="193"/>
        <v>0</v>
      </c>
      <c r="PI5" s="24">
        <v>24</v>
      </c>
      <c r="PJ5" s="6" t="s">
        <v>20</v>
      </c>
      <c r="PK5" s="24">
        <v>3</v>
      </c>
      <c r="PL5" s="6" t="s">
        <v>20</v>
      </c>
      <c r="PM5" s="5">
        <f t="shared" si="194"/>
        <v>27</v>
      </c>
      <c r="PN5" s="3"/>
      <c r="PO5" s="7">
        <f t="shared" si="41"/>
        <v>0</v>
      </c>
      <c r="PP5" s="5"/>
      <c r="PQ5" s="7" t="str">
        <f t="shared" si="195"/>
        <v/>
      </c>
      <c r="PS5" s="2">
        <v>24</v>
      </c>
      <c r="PT5" s="6" t="s">
        <v>20</v>
      </c>
      <c r="PU5" s="2">
        <v>2</v>
      </c>
      <c r="PV5" s="6" t="s">
        <v>20</v>
      </c>
      <c r="PW5" s="5">
        <f t="shared" si="196"/>
        <v>26</v>
      </c>
      <c r="PX5" s="3"/>
      <c r="PY5" s="7">
        <f t="shared" si="42"/>
        <v>1</v>
      </c>
      <c r="PZ5" s="5">
        <v>1</v>
      </c>
      <c r="QA5" s="7">
        <f t="shared" si="197"/>
        <v>0</v>
      </c>
      <c r="QC5" s="24">
        <v>12</v>
      </c>
      <c r="QD5" s="6" t="s">
        <v>20</v>
      </c>
      <c r="QE5" s="24">
        <v>10</v>
      </c>
      <c r="QF5" s="6" t="s">
        <v>20</v>
      </c>
      <c r="QG5" s="5">
        <f t="shared" si="198"/>
        <v>22</v>
      </c>
      <c r="QH5" s="3"/>
      <c r="QI5" s="7">
        <f t="shared" si="43"/>
        <v>4</v>
      </c>
      <c r="QJ5" s="5">
        <v>4</v>
      </c>
      <c r="QK5" s="7">
        <f t="shared" si="199"/>
        <v>0</v>
      </c>
      <c r="QM5" s="24">
        <v>12</v>
      </c>
      <c r="QN5" s="6" t="s">
        <v>20</v>
      </c>
      <c r="QO5" s="24">
        <v>8</v>
      </c>
      <c r="QP5" s="6" t="s">
        <v>20</v>
      </c>
      <c r="QQ5" s="5">
        <f t="shared" si="200"/>
        <v>20</v>
      </c>
      <c r="QR5" s="3"/>
      <c r="QS5" s="7">
        <f t="shared" si="44"/>
        <v>2</v>
      </c>
      <c r="QT5" s="5">
        <v>2</v>
      </c>
      <c r="QU5" s="7">
        <f t="shared" si="201"/>
        <v>0</v>
      </c>
      <c r="QW5" s="24">
        <v>12</v>
      </c>
      <c r="QX5" s="6" t="s">
        <v>20</v>
      </c>
      <c r="QY5" s="24">
        <v>8</v>
      </c>
      <c r="QZ5" s="6" t="s">
        <v>20</v>
      </c>
      <c r="RA5" s="5">
        <f t="shared" si="202"/>
        <v>20</v>
      </c>
      <c r="RB5" s="3"/>
      <c r="RC5" s="7">
        <f t="shared" si="45"/>
        <v>0</v>
      </c>
      <c r="RD5" s="5"/>
      <c r="RE5" s="7" t="str">
        <f t="shared" si="203"/>
        <v/>
      </c>
      <c r="RG5" s="24">
        <v>12</v>
      </c>
      <c r="RH5" s="6" t="s">
        <v>20</v>
      </c>
      <c r="RI5" s="24">
        <v>8</v>
      </c>
      <c r="RJ5" s="6" t="s">
        <v>20</v>
      </c>
      <c r="RK5" s="5">
        <f t="shared" si="204"/>
        <v>20</v>
      </c>
      <c r="RL5" s="3"/>
      <c r="RM5" s="7">
        <f t="shared" si="46"/>
        <v>0</v>
      </c>
      <c r="RN5" s="5"/>
      <c r="RO5" s="7" t="str">
        <f t="shared" si="205"/>
        <v/>
      </c>
      <c r="RQ5" s="24">
        <v>6</v>
      </c>
      <c r="RR5" s="6" t="s">
        <v>20</v>
      </c>
      <c r="RS5" s="24">
        <v>14</v>
      </c>
      <c r="RT5" s="6" t="s">
        <v>20</v>
      </c>
      <c r="RU5" s="5">
        <f t="shared" si="206"/>
        <v>20</v>
      </c>
      <c r="RV5" s="3"/>
      <c r="RW5" s="7">
        <f t="shared" si="47"/>
        <v>0</v>
      </c>
      <c r="RX5" s="5"/>
      <c r="RY5" s="7" t="str">
        <f t="shared" si="207"/>
        <v/>
      </c>
      <c r="SA5" s="2">
        <v>6</v>
      </c>
      <c r="SB5" s="6" t="s">
        <v>20</v>
      </c>
      <c r="SC5" s="2">
        <v>14</v>
      </c>
      <c r="SD5" s="6" t="s">
        <v>20</v>
      </c>
      <c r="SE5" s="5">
        <f t="shared" si="208"/>
        <v>20</v>
      </c>
      <c r="SF5" s="3"/>
      <c r="SG5" s="7">
        <f t="shared" si="48"/>
        <v>0</v>
      </c>
      <c r="SH5" s="5"/>
      <c r="SI5" s="7" t="str">
        <f t="shared" si="209"/>
        <v/>
      </c>
      <c r="SK5" s="24">
        <v>6</v>
      </c>
      <c r="SL5" s="6" t="s">
        <v>20</v>
      </c>
      <c r="SM5" s="24">
        <v>11</v>
      </c>
      <c r="SN5" s="6" t="s">
        <v>20</v>
      </c>
      <c r="SO5" s="5">
        <f t="shared" si="210"/>
        <v>17</v>
      </c>
      <c r="SP5" s="3"/>
      <c r="SQ5" s="7">
        <f t="shared" si="49"/>
        <v>3</v>
      </c>
      <c r="SR5" s="5">
        <v>3</v>
      </c>
      <c r="SS5" s="7">
        <f t="shared" si="211"/>
        <v>0</v>
      </c>
      <c r="SU5" s="24">
        <v>6</v>
      </c>
      <c r="SV5" s="6" t="s">
        <v>20</v>
      </c>
      <c r="SW5" s="24">
        <v>11</v>
      </c>
      <c r="SX5" s="6" t="s">
        <v>20</v>
      </c>
      <c r="SY5" s="5">
        <f t="shared" si="212"/>
        <v>17</v>
      </c>
      <c r="SZ5" s="3"/>
      <c r="TA5" s="7">
        <f t="shared" si="50"/>
        <v>0</v>
      </c>
      <c r="TB5" s="5"/>
      <c r="TC5" s="7" t="str">
        <f t="shared" si="213"/>
        <v/>
      </c>
      <c r="TE5" s="24">
        <v>6</v>
      </c>
      <c r="TF5" s="6" t="s">
        <v>20</v>
      </c>
      <c r="TG5" s="24">
        <v>11</v>
      </c>
      <c r="TH5" s="6" t="s">
        <v>20</v>
      </c>
      <c r="TI5" s="5">
        <f t="shared" si="214"/>
        <v>17</v>
      </c>
      <c r="TJ5" s="3"/>
      <c r="TK5" s="7">
        <f t="shared" si="51"/>
        <v>0</v>
      </c>
      <c r="TL5" s="5"/>
      <c r="TM5" s="7" t="str">
        <f t="shared" si="215"/>
        <v/>
      </c>
      <c r="TO5" s="24">
        <v>6</v>
      </c>
      <c r="TP5" s="6" t="s">
        <v>20</v>
      </c>
      <c r="TQ5" s="24">
        <v>9</v>
      </c>
      <c r="TR5" s="6" t="s">
        <v>20</v>
      </c>
      <c r="TS5" s="5">
        <f t="shared" si="216"/>
        <v>15</v>
      </c>
      <c r="TT5" s="3"/>
      <c r="TU5" s="7">
        <f t="shared" si="52"/>
        <v>2</v>
      </c>
      <c r="TV5" s="5">
        <v>2</v>
      </c>
      <c r="TW5" s="7">
        <f t="shared" si="217"/>
        <v>0</v>
      </c>
      <c r="TY5" s="24">
        <v>0</v>
      </c>
      <c r="TZ5" s="6" t="s">
        <v>20</v>
      </c>
      <c r="UA5" s="24">
        <v>15</v>
      </c>
      <c r="UB5" s="6" t="s">
        <v>20</v>
      </c>
      <c r="UC5" s="5">
        <f t="shared" si="218"/>
        <v>15</v>
      </c>
      <c r="UD5" s="3"/>
      <c r="UE5" s="7">
        <f t="shared" si="53"/>
        <v>0</v>
      </c>
      <c r="UF5" s="5"/>
      <c r="UG5" s="7" t="str">
        <f t="shared" si="219"/>
        <v/>
      </c>
      <c r="UI5" s="2">
        <v>0</v>
      </c>
      <c r="UJ5" s="6" t="s">
        <v>20</v>
      </c>
      <c r="UK5" s="2">
        <v>15</v>
      </c>
      <c r="UL5" s="6" t="s">
        <v>20</v>
      </c>
      <c r="UM5" s="5">
        <f t="shared" si="220"/>
        <v>15</v>
      </c>
      <c r="UN5" s="3"/>
      <c r="UO5" s="7">
        <f t="shared" si="54"/>
        <v>0</v>
      </c>
      <c r="UP5" s="5"/>
      <c r="UQ5" s="7" t="str">
        <f t="shared" si="221"/>
        <v/>
      </c>
      <c r="US5" s="24">
        <v>0</v>
      </c>
      <c r="UT5" s="6" t="s">
        <v>20</v>
      </c>
      <c r="UU5" s="24">
        <v>13</v>
      </c>
      <c r="UV5" s="6" t="s">
        <v>20</v>
      </c>
      <c r="UW5" s="5">
        <f t="shared" si="222"/>
        <v>13</v>
      </c>
      <c r="UX5" s="3">
        <v>1</v>
      </c>
      <c r="UY5" s="7">
        <f t="shared" si="55"/>
        <v>2</v>
      </c>
      <c r="UZ5" s="5">
        <v>2</v>
      </c>
      <c r="VA5" s="7">
        <f t="shared" si="223"/>
        <v>0</v>
      </c>
      <c r="VC5" s="2">
        <v>24</v>
      </c>
      <c r="VD5" s="6" t="s">
        <v>20</v>
      </c>
      <c r="VE5" s="2">
        <v>13</v>
      </c>
      <c r="VF5" s="6" t="s">
        <v>20</v>
      </c>
      <c r="VG5" s="5">
        <f t="shared" si="224"/>
        <v>37</v>
      </c>
      <c r="VH5" s="3"/>
      <c r="VI5" s="7">
        <f t="shared" si="56"/>
        <v>0</v>
      </c>
      <c r="VJ5" s="5"/>
      <c r="VK5" s="7" t="str">
        <f t="shared" si="225"/>
        <v/>
      </c>
      <c r="VM5" s="24">
        <v>24</v>
      </c>
      <c r="VN5" s="6" t="s">
        <v>20</v>
      </c>
      <c r="VO5" s="24">
        <v>12</v>
      </c>
      <c r="VP5" s="6" t="s">
        <v>20</v>
      </c>
      <c r="VQ5" s="5">
        <f t="shared" si="226"/>
        <v>36</v>
      </c>
      <c r="VR5" s="3"/>
      <c r="VS5" s="7">
        <f t="shared" si="57"/>
        <v>1</v>
      </c>
      <c r="VT5" s="5">
        <v>1</v>
      </c>
      <c r="VU5" s="7">
        <f t="shared" si="227"/>
        <v>0</v>
      </c>
      <c r="VW5" s="2">
        <v>24</v>
      </c>
      <c r="VX5" s="6" t="s">
        <v>20</v>
      </c>
      <c r="VY5" s="2">
        <v>12</v>
      </c>
      <c r="VZ5" s="6" t="s">
        <v>20</v>
      </c>
      <c r="WA5" s="5">
        <f t="shared" si="228"/>
        <v>36</v>
      </c>
      <c r="WB5" s="3"/>
      <c r="WC5" s="7">
        <f t="shared" si="58"/>
        <v>0</v>
      </c>
      <c r="WD5" s="5"/>
      <c r="WE5" s="7" t="str">
        <f t="shared" si="229"/>
        <v/>
      </c>
      <c r="WG5" s="2">
        <v>24</v>
      </c>
      <c r="WH5" s="6" t="s">
        <v>20</v>
      </c>
      <c r="WI5" s="2">
        <v>12</v>
      </c>
      <c r="WJ5" s="6" t="s">
        <v>20</v>
      </c>
      <c r="WK5" s="5">
        <f t="shared" si="230"/>
        <v>36</v>
      </c>
      <c r="WL5" s="3"/>
      <c r="WM5" s="7">
        <f t="shared" si="59"/>
        <v>0</v>
      </c>
      <c r="WN5" s="5"/>
      <c r="WO5" s="7" t="str">
        <f t="shared" si="231"/>
        <v/>
      </c>
      <c r="WQ5" s="2">
        <v>24</v>
      </c>
      <c r="WR5" s="6" t="s">
        <v>20</v>
      </c>
      <c r="WS5" s="2">
        <v>9</v>
      </c>
      <c r="WT5" s="6" t="s">
        <v>20</v>
      </c>
      <c r="WU5" s="5">
        <f t="shared" si="232"/>
        <v>33</v>
      </c>
      <c r="WV5" s="3"/>
      <c r="WW5" s="7">
        <f t="shared" si="60"/>
        <v>3</v>
      </c>
      <c r="WX5" s="5">
        <v>1</v>
      </c>
      <c r="WY5" s="7">
        <f t="shared" si="233"/>
        <v>-2</v>
      </c>
      <c r="XA5" s="24">
        <v>24</v>
      </c>
      <c r="XB5" s="6" t="s">
        <v>20</v>
      </c>
      <c r="XC5" s="24">
        <v>9</v>
      </c>
      <c r="XD5" s="6" t="s">
        <v>20</v>
      </c>
      <c r="XE5" s="5">
        <f t="shared" si="234"/>
        <v>33</v>
      </c>
      <c r="XF5" s="3"/>
      <c r="XG5" s="7">
        <f t="shared" si="61"/>
        <v>0</v>
      </c>
      <c r="XH5" s="5">
        <v>1</v>
      </c>
      <c r="XI5" s="7">
        <f t="shared" si="235"/>
        <v>1</v>
      </c>
      <c r="XK5" s="24">
        <v>24</v>
      </c>
      <c r="XL5" s="6" t="s">
        <v>20</v>
      </c>
      <c r="XM5" s="24">
        <v>9</v>
      </c>
      <c r="XN5" s="6" t="s">
        <v>20</v>
      </c>
      <c r="XO5" s="5">
        <f t="shared" si="236"/>
        <v>33</v>
      </c>
      <c r="XP5" s="3"/>
      <c r="XQ5" s="7">
        <f t="shared" si="62"/>
        <v>0</v>
      </c>
      <c r="XR5" s="5"/>
      <c r="XS5" s="7" t="str">
        <f t="shared" si="237"/>
        <v/>
      </c>
      <c r="XU5" s="24">
        <v>24</v>
      </c>
      <c r="XV5" s="6" t="s">
        <v>20</v>
      </c>
      <c r="XW5" s="24">
        <v>8</v>
      </c>
      <c r="XX5" s="6" t="s">
        <v>20</v>
      </c>
      <c r="XY5" s="5">
        <f t="shared" si="238"/>
        <v>32</v>
      </c>
      <c r="XZ5" s="3"/>
      <c r="YA5" s="7">
        <f t="shared" si="63"/>
        <v>1</v>
      </c>
      <c r="YB5" s="5">
        <v>1</v>
      </c>
      <c r="YC5" s="7">
        <f t="shared" si="239"/>
        <v>0</v>
      </c>
      <c r="YE5" s="24">
        <v>24</v>
      </c>
      <c r="YF5" s="6" t="s">
        <v>20</v>
      </c>
      <c r="YG5" s="24">
        <v>8</v>
      </c>
      <c r="YH5" s="6" t="s">
        <v>20</v>
      </c>
      <c r="YI5" s="5">
        <f t="shared" si="240"/>
        <v>32</v>
      </c>
      <c r="YJ5" s="3"/>
      <c r="YK5" s="7">
        <f t="shared" si="64"/>
        <v>0</v>
      </c>
      <c r="YL5" s="5"/>
      <c r="YM5" s="7" t="str">
        <f t="shared" si="241"/>
        <v/>
      </c>
      <c r="YO5" s="24">
        <v>24</v>
      </c>
      <c r="YP5" s="6" t="s">
        <v>20</v>
      </c>
      <c r="YQ5" s="24">
        <v>7</v>
      </c>
      <c r="YR5" s="6" t="s">
        <v>20</v>
      </c>
      <c r="YS5" s="5">
        <f t="shared" si="242"/>
        <v>31</v>
      </c>
      <c r="YT5" s="3"/>
      <c r="YU5" s="7">
        <f t="shared" si="65"/>
        <v>1</v>
      </c>
      <c r="YV5" s="5">
        <v>1</v>
      </c>
      <c r="YW5" s="7">
        <f t="shared" si="243"/>
        <v>0</v>
      </c>
      <c r="YY5" s="24">
        <v>24</v>
      </c>
      <c r="YZ5" s="6" t="s">
        <v>20</v>
      </c>
      <c r="ZA5" s="24">
        <v>6</v>
      </c>
      <c r="ZB5" s="6" t="s">
        <v>20</v>
      </c>
      <c r="ZC5" s="5">
        <f t="shared" si="244"/>
        <v>30</v>
      </c>
      <c r="ZD5" s="3"/>
      <c r="ZE5" s="7">
        <f t="shared" si="66"/>
        <v>1</v>
      </c>
      <c r="ZF5" s="5">
        <v>1</v>
      </c>
      <c r="ZG5" s="7">
        <f t="shared" si="245"/>
        <v>0</v>
      </c>
      <c r="ZI5" s="24">
        <v>24</v>
      </c>
      <c r="ZJ5" s="6" t="s">
        <v>20</v>
      </c>
      <c r="ZK5" s="24">
        <v>7</v>
      </c>
      <c r="ZL5" s="6" t="s">
        <v>20</v>
      </c>
      <c r="ZM5" s="5">
        <f t="shared" si="246"/>
        <v>31</v>
      </c>
      <c r="ZN5" s="3"/>
      <c r="ZO5" s="7">
        <f t="shared" si="67"/>
        <v>-1</v>
      </c>
      <c r="ZP5" s="5">
        <v>2</v>
      </c>
      <c r="ZQ5" s="7">
        <f t="shared" si="247"/>
        <v>3</v>
      </c>
      <c r="ZS5" s="24">
        <v>24</v>
      </c>
      <c r="ZT5" s="6" t="s">
        <v>20</v>
      </c>
      <c r="ZU5" s="24">
        <v>7</v>
      </c>
      <c r="ZV5" s="6" t="s">
        <v>20</v>
      </c>
      <c r="ZW5" s="5">
        <f t="shared" si="248"/>
        <v>31</v>
      </c>
      <c r="ZX5" s="3"/>
      <c r="ZY5" s="7">
        <f t="shared" si="68"/>
        <v>0</v>
      </c>
      <c r="ZZ5" s="5"/>
      <c r="AAA5" s="7" t="str">
        <f t="shared" si="249"/>
        <v/>
      </c>
      <c r="AAC5" s="24">
        <v>18</v>
      </c>
      <c r="AAD5" s="6" t="s">
        <v>20</v>
      </c>
      <c r="AAE5" s="24">
        <v>5</v>
      </c>
      <c r="AAF5" s="6" t="s">
        <v>20</v>
      </c>
      <c r="AAG5" s="5">
        <f t="shared" si="250"/>
        <v>23</v>
      </c>
      <c r="AAH5" s="3"/>
      <c r="AAI5" s="7">
        <f t="shared" si="69"/>
        <v>8</v>
      </c>
      <c r="AAJ5" s="5">
        <v>5</v>
      </c>
      <c r="AAK5" s="7">
        <f t="shared" si="251"/>
        <v>-3</v>
      </c>
      <c r="AAM5" s="2">
        <v>18</v>
      </c>
      <c r="AAN5" s="6" t="s">
        <v>20</v>
      </c>
      <c r="AAO5" s="2">
        <v>4</v>
      </c>
      <c r="AAP5" s="6" t="s">
        <v>20</v>
      </c>
      <c r="AAQ5" s="5">
        <f t="shared" si="252"/>
        <v>22</v>
      </c>
      <c r="AAR5" s="3"/>
      <c r="AAS5" s="7">
        <f t="shared" si="70"/>
        <v>1</v>
      </c>
      <c r="AAT5" s="5">
        <v>1</v>
      </c>
      <c r="AAU5" s="7">
        <f t="shared" si="253"/>
        <v>0</v>
      </c>
      <c r="AAW5" s="2">
        <v>18</v>
      </c>
      <c r="AAX5" s="6" t="s">
        <v>20</v>
      </c>
      <c r="AAY5" s="2">
        <v>3</v>
      </c>
      <c r="AAZ5" s="6" t="s">
        <v>20</v>
      </c>
      <c r="ABA5" s="5">
        <f t="shared" si="254"/>
        <v>21</v>
      </c>
      <c r="ABB5" s="3"/>
      <c r="ABC5" s="7">
        <f t="shared" si="71"/>
        <v>1</v>
      </c>
      <c r="ABD5" s="5">
        <v>1</v>
      </c>
      <c r="ABE5" s="7">
        <f t="shared" si="255"/>
        <v>0</v>
      </c>
      <c r="ABG5" s="24">
        <v>18</v>
      </c>
      <c r="ABH5" s="6" t="s">
        <v>20</v>
      </c>
      <c r="ABI5" s="24">
        <v>2</v>
      </c>
      <c r="ABJ5" s="6" t="s">
        <v>20</v>
      </c>
      <c r="ABK5" s="5">
        <f t="shared" si="256"/>
        <v>20</v>
      </c>
      <c r="ABL5" s="3"/>
      <c r="ABM5" s="7">
        <f t="shared" si="72"/>
        <v>1</v>
      </c>
      <c r="ABN5" s="5">
        <v>1</v>
      </c>
      <c r="ABO5" s="7">
        <f t="shared" si="257"/>
        <v>0</v>
      </c>
      <c r="ABQ5" s="2">
        <v>18</v>
      </c>
      <c r="ABR5" s="6" t="s">
        <v>20</v>
      </c>
      <c r="ABS5" s="2">
        <v>2</v>
      </c>
      <c r="ABT5" s="6" t="s">
        <v>20</v>
      </c>
      <c r="ABU5" s="5">
        <f t="shared" si="258"/>
        <v>20</v>
      </c>
      <c r="ABV5" s="3"/>
      <c r="ABW5" s="7">
        <f t="shared" si="73"/>
        <v>0</v>
      </c>
      <c r="ABX5" s="5">
        <v>0</v>
      </c>
      <c r="ABY5" s="7">
        <f t="shared" si="259"/>
        <v>0</v>
      </c>
      <c r="ACA5" s="24">
        <v>18</v>
      </c>
      <c r="ACB5" s="6" t="s">
        <v>20</v>
      </c>
      <c r="ACC5" s="24">
        <v>2</v>
      </c>
      <c r="ACD5" s="6" t="s">
        <v>20</v>
      </c>
      <c r="ACE5" s="5">
        <f t="shared" si="74"/>
        <v>20</v>
      </c>
      <c r="ACF5" s="3"/>
      <c r="ACG5" s="7">
        <f t="shared" si="75"/>
        <v>0</v>
      </c>
      <c r="ACH5" s="5"/>
      <c r="ACI5" s="7" t="str">
        <f t="shared" si="76"/>
        <v/>
      </c>
      <c r="ACK5" s="24">
        <v>18</v>
      </c>
      <c r="ACL5" s="6" t="s">
        <v>20</v>
      </c>
      <c r="ACM5" s="24">
        <v>2</v>
      </c>
      <c r="ACN5" s="6" t="s">
        <v>20</v>
      </c>
      <c r="ACO5" s="5">
        <f t="shared" si="260"/>
        <v>20</v>
      </c>
      <c r="ACP5" s="3"/>
      <c r="ACQ5" s="7">
        <f t="shared" si="77"/>
        <v>0</v>
      </c>
      <c r="ACR5" s="5"/>
      <c r="ACS5" s="7" t="str">
        <f t="shared" si="261"/>
        <v/>
      </c>
      <c r="ACU5" s="24">
        <v>18</v>
      </c>
      <c r="ACV5" s="6" t="s">
        <v>20</v>
      </c>
      <c r="ACW5" s="24">
        <v>0</v>
      </c>
      <c r="ACX5" s="6" t="s">
        <v>20</v>
      </c>
      <c r="ACY5" s="5">
        <f t="shared" si="262"/>
        <v>18</v>
      </c>
      <c r="ACZ5" s="3"/>
      <c r="ADA5" s="7">
        <f t="shared" si="78"/>
        <v>2</v>
      </c>
      <c r="ADB5" s="5">
        <v>2</v>
      </c>
      <c r="ADC5" s="7">
        <f t="shared" si="263"/>
        <v>0</v>
      </c>
      <c r="ADE5" s="24">
        <v>18</v>
      </c>
      <c r="ADF5" s="6" t="s">
        <v>20</v>
      </c>
      <c r="ADG5" s="24">
        <v>0</v>
      </c>
      <c r="ADH5" s="6" t="s">
        <v>20</v>
      </c>
      <c r="ADI5" s="5">
        <f t="shared" si="264"/>
        <v>18</v>
      </c>
      <c r="ADJ5" s="3"/>
      <c r="ADK5" s="7">
        <f t="shared" si="79"/>
        <v>0</v>
      </c>
      <c r="ADL5" s="5"/>
      <c r="ADM5" s="7" t="str">
        <f t="shared" si="265"/>
        <v/>
      </c>
      <c r="ADO5" s="24">
        <v>12</v>
      </c>
      <c r="ADP5" s="6" t="s">
        <v>20</v>
      </c>
      <c r="ADQ5" s="24">
        <v>3</v>
      </c>
      <c r="ADR5" s="6" t="s">
        <v>20</v>
      </c>
      <c r="ADS5" s="5">
        <f t="shared" si="266"/>
        <v>15</v>
      </c>
      <c r="ADT5" s="3"/>
      <c r="ADU5" s="7">
        <f t="shared" si="80"/>
        <v>3</v>
      </c>
      <c r="ADV5" s="5">
        <v>3</v>
      </c>
      <c r="ADW5" s="7">
        <f t="shared" si="267"/>
        <v>0</v>
      </c>
      <c r="ADY5" s="24">
        <v>6</v>
      </c>
      <c r="ADZ5" s="6" t="s">
        <v>20</v>
      </c>
      <c r="AEA5" s="24">
        <v>9</v>
      </c>
      <c r="AEB5" s="6" t="s">
        <v>20</v>
      </c>
      <c r="AEC5" s="5">
        <f t="shared" si="268"/>
        <v>15</v>
      </c>
      <c r="AED5" s="3"/>
      <c r="AEE5" s="7">
        <f t="shared" si="81"/>
        <v>0</v>
      </c>
      <c r="AEF5" s="5"/>
      <c r="AEG5" s="7" t="str">
        <f t="shared" si="269"/>
        <v/>
      </c>
      <c r="AEI5" s="2">
        <v>6</v>
      </c>
      <c r="AEJ5" s="6" t="s">
        <v>20</v>
      </c>
      <c r="AEK5" s="2">
        <v>9</v>
      </c>
      <c r="AEL5" s="6" t="s">
        <v>20</v>
      </c>
      <c r="AEM5" s="5">
        <f t="shared" si="270"/>
        <v>15</v>
      </c>
      <c r="AEN5" s="3"/>
      <c r="AEO5" s="7">
        <f t="shared" si="82"/>
        <v>0</v>
      </c>
      <c r="AEP5" s="5"/>
      <c r="AEQ5" s="7" t="str">
        <f t="shared" si="271"/>
        <v/>
      </c>
      <c r="AES5" s="24">
        <v>6</v>
      </c>
      <c r="AET5" s="6" t="s">
        <v>20</v>
      </c>
      <c r="AEU5" s="24">
        <v>8</v>
      </c>
      <c r="AEV5" s="6" t="s">
        <v>20</v>
      </c>
      <c r="AEW5" s="5">
        <f t="shared" si="272"/>
        <v>14</v>
      </c>
      <c r="AEX5" s="3"/>
      <c r="AEY5" s="7">
        <f t="shared" si="83"/>
        <v>1</v>
      </c>
      <c r="AEZ5" s="5">
        <v>1</v>
      </c>
      <c r="AFA5" s="7">
        <f t="shared" si="273"/>
        <v>0</v>
      </c>
      <c r="AFC5" s="2">
        <v>6</v>
      </c>
      <c r="AFD5" s="6" t="s">
        <v>20</v>
      </c>
      <c r="AFE5" s="2">
        <v>5</v>
      </c>
      <c r="AFF5" s="6" t="s">
        <v>20</v>
      </c>
      <c r="AFG5" s="5">
        <f t="shared" si="274"/>
        <v>11</v>
      </c>
      <c r="AFH5" s="3"/>
      <c r="AFI5" s="7">
        <f t="shared" si="84"/>
        <v>3</v>
      </c>
      <c r="AFJ5" s="5">
        <v>3</v>
      </c>
      <c r="AFK5" s="7">
        <f t="shared" si="275"/>
        <v>0</v>
      </c>
      <c r="AFM5" s="2">
        <v>6</v>
      </c>
      <c r="AFN5" s="6" t="s">
        <v>20</v>
      </c>
      <c r="AFO5" s="2">
        <v>5</v>
      </c>
      <c r="AFP5" s="6" t="s">
        <v>20</v>
      </c>
      <c r="AFQ5" s="5">
        <f t="shared" si="276"/>
        <v>11</v>
      </c>
      <c r="AFR5" s="3">
        <v>1</v>
      </c>
      <c r="AFS5" s="7">
        <f t="shared" si="85"/>
        <v>0</v>
      </c>
      <c r="AFT5" s="5"/>
      <c r="AFU5" s="7" t="str">
        <f t="shared" si="277"/>
        <v/>
      </c>
      <c r="AFW5" s="24">
        <v>24</v>
      </c>
      <c r="AFX5" s="6" t="s">
        <v>20</v>
      </c>
      <c r="AFY5" s="24">
        <v>10</v>
      </c>
      <c r="AFZ5" s="6" t="s">
        <v>20</v>
      </c>
      <c r="AGA5" s="5">
        <f t="shared" si="278"/>
        <v>34</v>
      </c>
      <c r="AGB5" s="3"/>
      <c r="AGC5" s="7">
        <f t="shared" si="86"/>
        <v>1</v>
      </c>
      <c r="AGD5" s="5">
        <v>1</v>
      </c>
      <c r="AGE5" s="7">
        <f t="shared" si="279"/>
        <v>0</v>
      </c>
      <c r="AGG5" s="24">
        <v>24</v>
      </c>
      <c r="AGH5" s="6" t="s">
        <v>20</v>
      </c>
      <c r="AGI5" s="24">
        <v>10</v>
      </c>
      <c r="AGJ5" s="6" t="s">
        <v>20</v>
      </c>
      <c r="AGK5" s="5">
        <f t="shared" si="280"/>
        <v>34</v>
      </c>
      <c r="AGL5" s="3"/>
      <c r="AGM5" s="7">
        <f t="shared" si="87"/>
        <v>0</v>
      </c>
      <c r="AGN5" s="5"/>
      <c r="AGO5" s="7" t="str">
        <f t="shared" si="281"/>
        <v/>
      </c>
      <c r="AGQ5" s="24">
        <v>24</v>
      </c>
      <c r="AGR5" s="6" t="s">
        <v>20</v>
      </c>
      <c r="AGS5" s="24">
        <v>9</v>
      </c>
      <c r="AGT5" s="6" t="s">
        <v>20</v>
      </c>
      <c r="AGU5" s="5">
        <f t="shared" si="282"/>
        <v>33</v>
      </c>
      <c r="AGV5" s="3"/>
      <c r="AGW5" s="7">
        <f t="shared" si="88"/>
        <v>1</v>
      </c>
      <c r="AGX5" s="5">
        <v>1</v>
      </c>
      <c r="AGY5" s="7">
        <f t="shared" si="283"/>
        <v>0</v>
      </c>
      <c r="AHA5" s="24">
        <v>24</v>
      </c>
      <c r="AHB5" s="6" t="s">
        <v>20</v>
      </c>
      <c r="AHC5" s="24">
        <v>5</v>
      </c>
      <c r="AHD5" s="6" t="s">
        <v>20</v>
      </c>
      <c r="AHE5" s="5">
        <f t="shared" si="284"/>
        <v>29</v>
      </c>
      <c r="AHF5" s="3"/>
      <c r="AHG5" s="7">
        <f t="shared" si="89"/>
        <v>4</v>
      </c>
      <c r="AHH5" s="5">
        <v>4</v>
      </c>
      <c r="AHI5" s="7">
        <f t="shared" si="285"/>
        <v>0</v>
      </c>
      <c r="AHK5" s="2">
        <v>0</v>
      </c>
      <c r="AHL5" s="6" t="s">
        <v>20</v>
      </c>
      <c r="AHM5" s="2">
        <v>27</v>
      </c>
      <c r="AHN5" s="6" t="s">
        <v>20</v>
      </c>
      <c r="AHO5" s="5">
        <f t="shared" si="286"/>
        <v>27</v>
      </c>
      <c r="AHP5" s="3"/>
      <c r="AHQ5" s="7">
        <f t="shared" si="90"/>
        <v>2</v>
      </c>
      <c r="AHR5" s="5">
        <v>2</v>
      </c>
      <c r="AHS5" s="7">
        <f t="shared" si="287"/>
        <v>0</v>
      </c>
      <c r="AHU5" s="2"/>
      <c r="AHV5" s="6" t="s">
        <v>20</v>
      </c>
      <c r="AHW5" s="2">
        <v>26</v>
      </c>
      <c r="AHX5" s="6" t="s">
        <v>20</v>
      </c>
      <c r="AHY5" s="5">
        <f t="shared" si="288"/>
        <v>26</v>
      </c>
      <c r="AHZ5" s="3"/>
      <c r="AIA5" s="7">
        <f t="shared" si="91"/>
        <v>1</v>
      </c>
      <c r="AIB5" s="5">
        <v>1</v>
      </c>
      <c r="AIC5" s="7">
        <f t="shared" si="289"/>
        <v>0</v>
      </c>
      <c r="AIE5" s="24"/>
      <c r="AIF5" s="6" t="s">
        <v>20</v>
      </c>
      <c r="AIG5" s="24">
        <v>24</v>
      </c>
      <c r="AIH5" s="6" t="s">
        <v>20</v>
      </c>
      <c r="AII5" s="5">
        <f t="shared" si="290"/>
        <v>24</v>
      </c>
      <c r="AIJ5" s="3"/>
      <c r="AIK5" s="7">
        <f t="shared" si="92"/>
        <v>2</v>
      </c>
      <c r="AIL5" s="5">
        <v>2</v>
      </c>
      <c r="AIM5" s="7">
        <f t="shared" si="291"/>
        <v>0</v>
      </c>
      <c r="AIO5" s="24"/>
      <c r="AIP5" s="6" t="s">
        <v>20</v>
      </c>
      <c r="AIQ5" s="24">
        <v>22</v>
      </c>
      <c r="AIR5" s="6" t="s">
        <v>20</v>
      </c>
      <c r="AIS5" s="5">
        <f t="shared" si="292"/>
        <v>22</v>
      </c>
      <c r="AIT5" s="3"/>
      <c r="AIU5" s="7">
        <f t="shared" si="93"/>
        <v>2</v>
      </c>
      <c r="AIV5" s="5">
        <v>2</v>
      </c>
      <c r="AIW5" s="7">
        <f t="shared" si="293"/>
        <v>0</v>
      </c>
      <c r="AIY5" s="24"/>
      <c r="AIZ5" s="6" t="s">
        <v>20</v>
      </c>
      <c r="AJA5" s="24">
        <v>22</v>
      </c>
      <c r="AJB5" s="6" t="s">
        <v>20</v>
      </c>
      <c r="AJC5" s="5">
        <f t="shared" si="294"/>
        <v>22</v>
      </c>
      <c r="AJD5" s="3"/>
      <c r="AJE5" s="7">
        <f t="shared" si="94"/>
        <v>0</v>
      </c>
      <c r="AJF5" s="5"/>
      <c r="AJG5" s="7" t="str">
        <f t="shared" si="295"/>
        <v/>
      </c>
      <c r="AJI5" s="2"/>
      <c r="AJJ5" s="6" t="s">
        <v>20</v>
      </c>
      <c r="AJK5" s="2">
        <v>20</v>
      </c>
      <c r="AJL5" s="6" t="s">
        <v>20</v>
      </c>
      <c r="AJM5" s="5">
        <f t="shared" si="296"/>
        <v>20</v>
      </c>
      <c r="AJN5" s="3"/>
      <c r="AJO5" s="7">
        <f t="shared" si="95"/>
        <v>2</v>
      </c>
      <c r="AJP5" s="5">
        <v>2</v>
      </c>
      <c r="AJQ5" s="7">
        <f t="shared" si="297"/>
        <v>0</v>
      </c>
      <c r="AJS5" s="24"/>
      <c r="AJT5" s="6" t="s">
        <v>20</v>
      </c>
      <c r="AJU5" s="24">
        <v>17</v>
      </c>
      <c r="AJV5" s="6" t="s">
        <v>20</v>
      </c>
      <c r="AJW5" s="5">
        <f t="shared" si="298"/>
        <v>17</v>
      </c>
      <c r="AJX5" s="3"/>
      <c r="AJY5" s="7">
        <f t="shared" si="96"/>
        <v>3</v>
      </c>
      <c r="AJZ5" s="5">
        <v>3</v>
      </c>
      <c r="AKA5" s="7">
        <f t="shared" si="299"/>
        <v>0</v>
      </c>
      <c r="AKC5" s="2"/>
      <c r="AKD5" s="6" t="s">
        <v>20</v>
      </c>
      <c r="AKE5" s="2">
        <v>15</v>
      </c>
      <c r="AKF5" s="6" t="s">
        <v>20</v>
      </c>
      <c r="AKG5" s="5">
        <f t="shared" si="300"/>
        <v>15</v>
      </c>
      <c r="AKH5" s="3"/>
      <c r="AKI5" s="7">
        <f t="shared" si="97"/>
        <v>2</v>
      </c>
      <c r="AKJ5" s="5">
        <v>2</v>
      </c>
      <c r="AKK5" s="7">
        <f t="shared" si="301"/>
        <v>0</v>
      </c>
      <c r="AKM5" s="24"/>
      <c r="AKN5" s="6" t="s">
        <v>20</v>
      </c>
      <c r="AKO5" s="24">
        <v>15</v>
      </c>
      <c r="AKP5" s="6" t="s">
        <v>20</v>
      </c>
      <c r="AKQ5" s="5">
        <f t="shared" si="302"/>
        <v>15</v>
      </c>
      <c r="AKR5" s="3"/>
      <c r="AKS5" s="7">
        <f t="shared" si="98"/>
        <v>0</v>
      </c>
      <c r="AKT5" s="5"/>
      <c r="AKU5" s="7" t="str">
        <f t="shared" si="303"/>
        <v/>
      </c>
      <c r="AKW5" s="2"/>
      <c r="AKX5" s="6" t="s">
        <v>20</v>
      </c>
      <c r="AKY5" s="2">
        <v>15</v>
      </c>
      <c r="AKZ5" s="6" t="s">
        <v>20</v>
      </c>
      <c r="ALA5" s="5">
        <f t="shared" si="304"/>
        <v>15</v>
      </c>
      <c r="ALB5" s="3"/>
      <c r="ALC5" s="7">
        <f t="shared" si="99"/>
        <v>0</v>
      </c>
      <c r="ALD5" s="5"/>
      <c r="ALE5" s="7" t="str">
        <f t="shared" si="305"/>
        <v/>
      </c>
      <c r="ALG5" s="2"/>
      <c r="ALH5" s="6" t="s">
        <v>20</v>
      </c>
      <c r="ALI5" s="2">
        <v>15</v>
      </c>
      <c r="ALJ5" s="6" t="s">
        <v>20</v>
      </c>
      <c r="ALK5" s="5">
        <f t="shared" si="306"/>
        <v>15</v>
      </c>
      <c r="ALL5" s="3"/>
      <c r="ALM5" s="7">
        <f t="shared" si="100"/>
        <v>0</v>
      </c>
      <c r="ALN5" s="5"/>
      <c r="ALO5" s="7" t="str">
        <f t="shared" si="307"/>
        <v/>
      </c>
      <c r="ALQ5" s="24"/>
      <c r="ALR5" s="6" t="s">
        <v>20</v>
      </c>
      <c r="ALS5" s="24">
        <v>15</v>
      </c>
      <c r="ALT5" s="6" t="s">
        <v>20</v>
      </c>
      <c r="ALU5" s="5">
        <f t="shared" si="308"/>
        <v>15</v>
      </c>
      <c r="ALV5" s="3"/>
      <c r="ALW5" s="7">
        <f t="shared" si="101"/>
        <v>0</v>
      </c>
      <c r="ALX5" s="5"/>
      <c r="ALY5" s="7" t="str">
        <f t="shared" si="309"/>
        <v/>
      </c>
      <c r="AMA5" s="24" t="s">
        <v>88</v>
      </c>
      <c r="AMB5" s="6" t="s">
        <v>20</v>
      </c>
      <c r="AMC5" s="24">
        <v>14</v>
      </c>
      <c r="AMD5" s="6" t="s">
        <v>20</v>
      </c>
      <c r="AME5" s="5">
        <f t="shared" si="310"/>
        <v>14</v>
      </c>
      <c r="AMF5" s="3"/>
      <c r="AMG5" s="7">
        <f t="shared" si="102"/>
        <v>1</v>
      </c>
      <c r="AMH5" s="5">
        <v>1</v>
      </c>
      <c r="AMI5" s="7">
        <f t="shared" si="311"/>
        <v>0</v>
      </c>
      <c r="AMK5" s="24"/>
      <c r="AML5" s="6" t="s">
        <v>20</v>
      </c>
      <c r="AMM5" s="24">
        <v>14</v>
      </c>
      <c r="AMN5" s="6" t="s">
        <v>20</v>
      </c>
      <c r="AMO5" s="5">
        <f t="shared" si="312"/>
        <v>14</v>
      </c>
      <c r="AMP5" s="3"/>
      <c r="AMQ5" s="7">
        <f t="shared" si="103"/>
        <v>0</v>
      </c>
      <c r="AMR5" s="5"/>
      <c r="AMS5" s="7" t="str">
        <f t="shared" si="313"/>
        <v/>
      </c>
      <c r="AMU5" s="2"/>
      <c r="AMV5" s="6" t="s">
        <v>20</v>
      </c>
      <c r="AMW5" s="2">
        <v>13</v>
      </c>
      <c r="AMX5" s="6" t="s">
        <v>20</v>
      </c>
      <c r="AMY5" s="5">
        <f t="shared" si="314"/>
        <v>13</v>
      </c>
      <c r="AMZ5" s="3"/>
      <c r="ANA5" s="7">
        <f t="shared" si="104"/>
        <v>1</v>
      </c>
      <c r="ANB5" s="5">
        <v>1</v>
      </c>
      <c r="ANC5" s="7">
        <f t="shared" si="315"/>
        <v>0</v>
      </c>
      <c r="ANE5" s="2"/>
      <c r="ANF5" s="6" t="s">
        <v>20</v>
      </c>
      <c r="ANG5" s="2">
        <v>13</v>
      </c>
      <c r="ANH5" s="6" t="s">
        <v>20</v>
      </c>
      <c r="ANI5" s="5">
        <f t="shared" si="316"/>
        <v>13</v>
      </c>
      <c r="ANJ5" s="3"/>
      <c r="ANK5" s="7">
        <f t="shared" si="105"/>
        <v>0</v>
      </c>
      <c r="ANL5" s="5"/>
      <c r="ANM5" s="7" t="str">
        <f t="shared" si="317"/>
        <v/>
      </c>
      <c r="ANO5" s="24"/>
      <c r="ANP5" s="6" t="s">
        <v>20</v>
      </c>
      <c r="ANQ5" s="24">
        <v>13</v>
      </c>
      <c r="ANR5" s="6" t="s">
        <v>20</v>
      </c>
      <c r="ANS5" s="5">
        <f t="shared" si="318"/>
        <v>13</v>
      </c>
      <c r="ANT5" s="3"/>
      <c r="ANU5" s="7">
        <f t="shared" si="106"/>
        <v>0</v>
      </c>
      <c r="ANV5" s="5"/>
      <c r="ANW5" s="7" t="str">
        <f t="shared" si="319"/>
        <v/>
      </c>
      <c r="ANY5" s="24"/>
      <c r="ANZ5" s="6" t="s">
        <v>20</v>
      </c>
      <c r="AOA5" s="24">
        <v>12</v>
      </c>
      <c r="AOB5" s="6" t="s">
        <v>20</v>
      </c>
      <c r="AOC5" s="5">
        <f t="shared" si="320"/>
        <v>12</v>
      </c>
      <c r="AOD5" s="3"/>
      <c r="AOE5" s="7">
        <f t="shared" si="107"/>
        <v>1</v>
      </c>
      <c r="AOF5" s="5">
        <v>1</v>
      </c>
      <c r="AOG5" s="7">
        <f t="shared" si="321"/>
        <v>0</v>
      </c>
      <c r="AOI5" s="24"/>
      <c r="AOJ5" s="6" t="s">
        <v>20</v>
      </c>
      <c r="AOK5" s="24">
        <v>12</v>
      </c>
      <c r="AOL5" s="6" t="s">
        <v>20</v>
      </c>
      <c r="AOM5" s="5">
        <f t="shared" si="322"/>
        <v>12</v>
      </c>
      <c r="AON5" s="3"/>
      <c r="AOO5" s="7">
        <f t="shared" si="108"/>
        <v>0</v>
      </c>
      <c r="AOP5" s="5"/>
      <c r="AOQ5" s="7" t="str">
        <f t="shared" si="323"/>
        <v/>
      </c>
      <c r="AOS5" s="2"/>
      <c r="AOT5" s="6" t="s">
        <v>20</v>
      </c>
      <c r="AOU5" s="2">
        <v>10</v>
      </c>
      <c r="AOV5" s="6" t="s">
        <v>20</v>
      </c>
      <c r="AOW5" s="5">
        <f t="shared" si="324"/>
        <v>10</v>
      </c>
      <c r="AOX5" s="3"/>
      <c r="AOY5" s="7">
        <f t="shared" si="109"/>
        <v>2</v>
      </c>
      <c r="AOZ5" s="5">
        <v>2</v>
      </c>
      <c r="APA5" s="7">
        <f t="shared" si="325"/>
        <v>0</v>
      </c>
    </row>
    <row r="6" spans="1:1093" ht="12.75" customHeight="1" x14ac:dyDescent="0.2">
      <c r="A6" s="22" t="s">
        <v>23</v>
      </c>
      <c r="B6" s="13" t="s">
        <v>19</v>
      </c>
      <c r="C6" s="13">
        <v>6</v>
      </c>
      <c r="E6" s="24"/>
      <c r="F6" s="6" t="s">
        <v>20</v>
      </c>
      <c r="G6" s="24">
        <v>11</v>
      </c>
      <c r="H6" s="6" t="s">
        <v>20</v>
      </c>
      <c r="I6" s="5">
        <f t="shared" si="110"/>
        <v>11</v>
      </c>
      <c r="J6" s="3"/>
      <c r="K6" s="7"/>
      <c r="L6" s="5"/>
      <c r="M6" s="7" t="str">
        <f t="shared" si="111"/>
        <v/>
      </c>
      <c r="O6" s="24"/>
      <c r="P6" s="6" t="s">
        <v>20</v>
      </c>
      <c r="Q6" s="24">
        <v>7</v>
      </c>
      <c r="R6" s="6" t="s">
        <v>20</v>
      </c>
      <c r="S6" s="5">
        <f t="shared" si="112"/>
        <v>7</v>
      </c>
      <c r="T6" s="3"/>
      <c r="U6" s="7">
        <f t="shared" si="0"/>
        <v>4</v>
      </c>
      <c r="V6" s="5">
        <v>4</v>
      </c>
      <c r="W6" s="7">
        <f t="shared" si="113"/>
        <v>0</v>
      </c>
      <c r="Y6" s="24"/>
      <c r="Z6" s="6" t="s">
        <v>20</v>
      </c>
      <c r="AA6" s="24">
        <v>7</v>
      </c>
      <c r="AB6" s="6" t="s">
        <v>20</v>
      </c>
      <c r="AC6" s="5">
        <f t="shared" si="114"/>
        <v>7</v>
      </c>
      <c r="AD6" s="3"/>
      <c r="AE6" s="7">
        <f t="shared" si="1"/>
        <v>0</v>
      </c>
      <c r="AF6" s="5"/>
      <c r="AG6" s="7" t="str">
        <f t="shared" si="115"/>
        <v/>
      </c>
      <c r="AI6" s="24">
        <v>0</v>
      </c>
      <c r="AJ6" s="6" t="s">
        <v>20</v>
      </c>
      <c r="AK6" s="24">
        <v>4</v>
      </c>
      <c r="AL6" s="6" t="s">
        <v>20</v>
      </c>
      <c r="AM6" s="5">
        <f t="shared" si="116"/>
        <v>4</v>
      </c>
      <c r="AN6" s="3">
        <v>1</v>
      </c>
      <c r="AO6" s="7">
        <f t="shared" si="2"/>
        <v>3</v>
      </c>
      <c r="AP6" s="5">
        <v>3</v>
      </c>
      <c r="AQ6" s="7">
        <f t="shared" si="117"/>
        <v>0</v>
      </c>
      <c r="AS6" s="24">
        <v>12</v>
      </c>
      <c r="AT6" s="6" t="s">
        <v>20</v>
      </c>
      <c r="AU6" s="24">
        <v>10</v>
      </c>
      <c r="AV6" s="6" t="s">
        <v>20</v>
      </c>
      <c r="AW6" s="5">
        <f t="shared" si="118"/>
        <v>22</v>
      </c>
      <c r="AX6" s="3"/>
      <c r="AY6" s="7">
        <f t="shared" si="3"/>
        <v>6</v>
      </c>
      <c r="AZ6" s="5">
        <v>2</v>
      </c>
      <c r="BA6" s="7">
        <f t="shared" si="119"/>
        <v>-4</v>
      </c>
      <c r="BC6" s="2">
        <v>12</v>
      </c>
      <c r="BD6" s="6" t="s">
        <v>20</v>
      </c>
      <c r="BE6" s="2">
        <v>7</v>
      </c>
      <c r="BF6" s="6" t="s">
        <v>20</v>
      </c>
      <c r="BG6" s="5">
        <f t="shared" si="120"/>
        <v>19</v>
      </c>
      <c r="BH6" s="3"/>
      <c r="BI6" s="7">
        <f t="shared" si="4"/>
        <v>3</v>
      </c>
      <c r="BJ6" s="5">
        <v>3</v>
      </c>
      <c r="BK6" s="7">
        <f t="shared" si="121"/>
        <v>0</v>
      </c>
      <c r="BM6" s="2">
        <v>12</v>
      </c>
      <c r="BN6" s="6" t="s">
        <v>20</v>
      </c>
      <c r="BO6" s="2">
        <v>6</v>
      </c>
      <c r="BP6" s="6" t="s">
        <v>20</v>
      </c>
      <c r="BQ6" s="5">
        <f t="shared" si="122"/>
        <v>18</v>
      </c>
      <c r="BR6" s="3"/>
      <c r="BS6" s="7"/>
      <c r="BT6" s="5"/>
      <c r="BU6" s="7" t="str">
        <f t="shared" si="123"/>
        <v/>
      </c>
      <c r="BW6" s="24">
        <v>12</v>
      </c>
      <c r="BX6" s="6" t="s">
        <v>20</v>
      </c>
      <c r="BY6" s="24">
        <v>5</v>
      </c>
      <c r="BZ6" s="6" t="s">
        <v>20</v>
      </c>
      <c r="CA6" s="5">
        <f t="shared" si="124"/>
        <v>17</v>
      </c>
      <c r="CB6" s="3"/>
      <c r="CC6" s="7">
        <f t="shared" si="6"/>
        <v>1</v>
      </c>
      <c r="CD6" s="5">
        <v>2</v>
      </c>
      <c r="CE6" s="7">
        <f t="shared" si="125"/>
        <v>1</v>
      </c>
      <c r="CG6" s="24">
        <v>8</v>
      </c>
      <c r="CH6" s="6" t="s">
        <v>20</v>
      </c>
      <c r="CI6" s="24">
        <v>9</v>
      </c>
      <c r="CJ6" s="6" t="s">
        <v>20</v>
      </c>
      <c r="CK6" s="5">
        <f t="shared" si="126"/>
        <v>17</v>
      </c>
      <c r="CL6" s="3"/>
      <c r="CM6" s="7">
        <f t="shared" si="7"/>
        <v>0</v>
      </c>
      <c r="CN6" s="5"/>
      <c r="CO6" s="7" t="str">
        <f t="shared" si="127"/>
        <v/>
      </c>
      <c r="CQ6" s="24">
        <v>6</v>
      </c>
      <c r="CR6" s="6" t="s">
        <v>20</v>
      </c>
      <c r="CS6" s="24">
        <v>7</v>
      </c>
      <c r="CT6" s="6" t="s">
        <v>20</v>
      </c>
      <c r="CU6" s="5">
        <f t="shared" si="128"/>
        <v>13</v>
      </c>
      <c r="CV6" s="3"/>
      <c r="CW6" s="7">
        <f t="shared" si="8"/>
        <v>4</v>
      </c>
      <c r="CX6" s="5">
        <v>2</v>
      </c>
      <c r="CY6" s="7">
        <f t="shared" si="129"/>
        <v>-2</v>
      </c>
      <c r="DA6" s="24">
        <v>6</v>
      </c>
      <c r="DB6" s="6" t="s">
        <v>20</v>
      </c>
      <c r="DC6" s="24">
        <v>6</v>
      </c>
      <c r="DD6" s="6" t="s">
        <v>20</v>
      </c>
      <c r="DE6" s="5">
        <f t="shared" si="130"/>
        <v>12</v>
      </c>
      <c r="DF6" s="3"/>
      <c r="DG6" s="7">
        <f t="shared" si="9"/>
        <v>1</v>
      </c>
      <c r="DH6" s="5">
        <v>1</v>
      </c>
      <c r="DI6" s="7">
        <f t="shared" si="131"/>
        <v>0</v>
      </c>
      <c r="DK6" s="24">
        <v>6</v>
      </c>
      <c r="DL6" s="6" t="s">
        <v>20</v>
      </c>
      <c r="DM6" s="24">
        <v>6</v>
      </c>
      <c r="DN6" s="6" t="s">
        <v>20</v>
      </c>
      <c r="DO6" s="5">
        <f t="shared" si="132"/>
        <v>12</v>
      </c>
      <c r="DP6" s="3"/>
      <c r="DQ6" s="7">
        <f t="shared" si="10"/>
        <v>0</v>
      </c>
      <c r="DR6" s="5">
        <v>1</v>
      </c>
      <c r="DS6" s="7">
        <f t="shared" si="133"/>
        <v>1</v>
      </c>
      <c r="DU6" s="24">
        <v>6</v>
      </c>
      <c r="DV6" s="6" t="s">
        <v>20</v>
      </c>
      <c r="DW6" s="24">
        <v>6</v>
      </c>
      <c r="DX6" s="6" t="s">
        <v>20</v>
      </c>
      <c r="DY6" s="5">
        <f t="shared" si="134"/>
        <v>12</v>
      </c>
      <c r="DZ6" s="3"/>
      <c r="EA6" s="7">
        <f t="shared" si="11"/>
        <v>0</v>
      </c>
      <c r="EB6" s="5"/>
      <c r="EC6" s="7" t="str">
        <f t="shared" si="135"/>
        <v/>
      </c>
      <c r="EE6" s="24">
        <v>0</v>
      </c>
      <c r="EF6" s="6" t="s">
        <v>20</v>
      </c>
      <c r="EG6" s="24">
        <v>8</v>
      </c>
      <c r="EH6" s="6" t="s">
        <v>20</v>
      </c>
      <c r="EI6" s="5">
        <f t="shared" si="136"/>
        <v>8</v>
      </c>
      <c r="EJ6" s="3"/>
      <c r="EK6" s="7">
        <f t="shared" si="12"/>
        <v>4</v>
      </c>
      <c r="EL6" s="5">
        <v>4</v>
      </c>
      <c r="EM6" s="7">
        <f t="shared" si="137"/>
        <v>0</v>
      </c>
      <c r="EO6" s="24">
        <v>0</v>
      </c>
      <c r="EP6" s="6" t="s">
        <v>20</v>
      </c>
      <c r="EQ6" s="24">
        <v>8</v>
      </c>
      <c r="ER6" s="6" t="s">
        <v>20</v>
      </c>
      <c r="ES6" s="5">
        <f t="shared" si="138"/>
        <v>8</v>
      </c>
      <c r="ET6" s="3">
        <v>1</v>
      </c>
      <c r="EU6" s="7">
        <f t="shared" si="13"/>
        <v>0</v>
      </c>
      <c r="EV6" s="5"/>
      <c r="EW6" s="7" t="str">
        <f t="shared" si="139"/>
        <v/>
      </c>
      <c r="EY6" s="24">
        <v>0</v>
      </c>
      <c r="EZ6" s="6" t="s">
        <v>20</v>
      </c>
      <c r="FA6" s="24">
        <v>8</v>
      </c>
      <c r="FB6" s="6" t="s">
        <v>20</v>
      </c>
      <c r="FC6" s="5">
        <f t="shared" si="140"/>
        <v>8</v>
      </c>
      <c r="FD6" s="3"/>
      <c r="FE6" s="7">
        <f t="shared" si="14"/>
        <v>24</v>
      </c>
      <c r="FF6" s="5"/>
      <c r="FG6" s="7" t="str">
        <f t="shared" si="141"/>
        <v/>
      </c>
      <c r="FI6" s="24">
        <v>0</v>
      </c>
      <c r="FJ6" s="6" t="s">
        <v>20</v>
      </c>
      <c r="FK6" s="24">
        <v>8</v>
      </c>
      <c r="FL6" s="6" t="s">
        <v>20</v>
      </c>
      <c r="FM6" s="5">
        <f t="shared" si="142"/>
        <v>8</v>
      </c>
      <c r="FN6" s="3"/>
      <c r="FO6" s="7">
        <f t="shared" si="15"/>
        <v>0</v>
      </c>
      <c r="FP6" s="5"/>
      <c r="FQ6" s="7" t="str">
        <f t="shared" si="143"/>
        <v/>
      </c>
      <c r="FS6" s="24">
        <v>0</v>
      </c>
      <c r="FT6" s="6" t="s">
        <v>20</v>
      </c>
      <c r="FU6" s="24">
        <v>6</v>
      </c>
      <c r="FV6" s="6" t="s">
        <v>20</v>
      </c>
      <c r="FW6" s="5">
        <f t="shared" si="144"/>
        <v>6</v>
      </c>
      <c r="FX6" s="3">
        <v>1</v>
      </c>
      <c r="FY6" s="7">
        <f t="shared" si="16"/>
        <v>2</v>
      </c>
      <c r="FZ6" s="5">
        <v>2</v>
      </c>
      <c r="GA6" s="7">
        <f t="shared" si="145"/>
        <v>0</v>
      </c>
      <c r="GC6" s="24">
        <v>24</v>
      </c>
      <c r="GD6" s="6" t="s">
        <v>20</v>
      </c>
      <c r="GE6" s="24">
        <v>5</v>
      </c>
      <c r="GF6" s="6" t="s">
        <v>20</v>
      </c>
      <c r="GG6" s="5">
        <f t="shared" si="146"/>
        <v>29</v>
      </c>
      <c r="GH6" s="3"/>
      <c r="GI6" s="7">
        <f t="shared" si="17"/>
        <v>1</v>
      </c>
      <c r="GJ6" s="5">
        <v>0</v>
      </c>
      <c r="GK6" s="7">
        <f t="shared" si="147"/>
        <v>-1</v>
      </c>
      <c r="GM6" s="24">
        <v>24</v>
      </c>
      <c r="GN6" s="6" t="s">
        <v>20</v>
      </c>
      <c r="GO6" s="24">
        <v>5</v>
      </c>
      <c r="GP6" s="6" t="s">
        <v>20</v>
      </c>
      <c r="GQ6" s="5">
        <f t="shared" si="148"/>
        <v>29</v>
      </c>
      <c r="GR6" s="3"/>
      <c r="GS6" s="7">
        <f t="shared" si="18"/>
        <v>0</v>
      </c>
      <c r="GT6" s="5">
        <v>1</v>
      </c>
      <c r="GU6" s="7">
        <f t="shared" si="149"/>
        <v>1</v>
      </c>
      <c r="GW6" s="24">
        <v>20</v>
      </c>
      <c r="GX6" s="6" t="s">
        <v>20</v>
      </c>
      <c r="GY6" s="24">
        <v>6</v>
      </c>
      <c r="GZ6" s="6" t="s">
        <v>20</v>
      </c>
      <c r="HA6" s="5">
        <f t="shared" si="150"/>
        <v>26</v>
      </c>
      <c r="HB6" s="3"/>
      <c r="HC6" s="7">
        <f t="shared" si="19"/>
        <v>3</v>
      </c>
      <c r="HD6" s="5">
        <v>3</v>
      </c>
      <c r="HE6" s="7">
        <f t="shared" si="151"/>
        <v>0</v>
      </c>
      <c r="HG6" s="24">
        <v>12</v>
      </c>
      <c r="HH6" s="6" t="s">
        <v>20</v>
      </c>
      <c r="HI6" s="24">
        <v>8</v>
      </c>
      <c r="HJ6" s="6" t="s">
        <v>20</v>
      </c>
      <c r="HK6" s="5">
        <f t="shared" si="152"/>
        <v>20</v>
      </c>
      <c r="HL6" s="3"/>
      <c r="HM6" s="7">
        <f t="shared" si="20"/>
        <v>6</v>
      </c>
      <c r="HN6" s="5">
        <v>6</v>
      </c>
      <c r="HO6" s="7">
        <f t="shared" si="153"/>
        <v>0</v>
      </c>
      <c r="HQ6" s="24">
        <v>6</v>
      </c>
      <c r="HR6" s="6" t="s">
        <v>20</v>
      </c>
      <c r="HS6" s="24">
        <v>6</v>
      </c>
      <c r="HT6" s="6" t="s">
        <v>20</v>
      </c>
      <c r="HU6" s="5">
        <f t="shared" si="154"/>
        <v>12</v>
      </c>
      <c r="HV6" s="3"/>
      <c r="HW6" s="7">
        <f t="shared" si="21"/>
        <v>8</v>
      </c>
      <c r="HX6" s="5">
        <v>8</v>
      </c>
      <c r="HY6" s="7">
        <f t="shared" si="155"/>
        <v>0</v>
      </c>
      <c r="IA6" s="24">
        <v>0</v>
      </c>
      <c r="IB6" s="6" t="s">
        <v>20</v>
      </c>
      <c r="IC6" s="24">
        <v>12</v>
      </c>
      <c r="ID6" s="6" t="s">
        <v>20</v>
      </c>
      <c r="IE6" s="5">
        <f t="shared" si="156"/>
        <v>12</v>
      </c>
      <c r="IF6" s="3"/>
      <c r="IG6" s="7">
        <f t="shared" si="22"/>
        <v>0</v>
      </c>
      <c r="IH6" s="5"/>
      <c r="II6" s="7" t="str">
        <f t="shared" si="157"/>
        <v/>
      </c>
      <c r="IK6" s="24">
        <v>0</v>
      </c>
      <c r="IL6" s="6" t="s">
        <v>20</v>
      </c>
      <c r="IM6" s="24">
        <v>11</v>
      </c>
      <c r="IN6" s="6" t="s">
        <v>20</v>
      </c>
      <c r="IO6" s="5">
        <f t="shared" si="158"/>
        <v>11</v>
      </c>
      <c r="IP6" s="3"/>
      <c r="IQ6" s="7">
        <f t="shared" si="23"/>
        <v>1</v>
      </c>
      <c r="IR6" s="5">
        <v>1</v>
      </c>
      <c r="IS6" s="7">
        <f t="shared" si="159"/>
        <v>0</v>
      </c>
      <c r="IU6" s="24">
        <v>0</v>
      </c>
      <c r="IV6" s="6" t="s">
        <v>20</v>
      </c>
      <c r="IW6" s="24">
        <v>11</v>
      </c>
      <c r="IX6" s="6" t="s">
        <v>20</v>
      </c>
      <c r="IY6" s="5">
        <f t="shared" si="160"/>
        <v>11</v>
      </c>
      <c r="IZ6" s="3"/>
      <c r="JA6" s="7">
        <f t="shared" si="24"/>
        <v>0</v>
      </c>
      <c r="JB6" s="5"/>
      <c r="JC6" s="7" t="str">
        <f t="shared" si="161"/>
        <v/>
      </c>
      <c r="JE6" s="24">
        <v>0</v>
      </c>
      <c r="JF6" s="6" t="s">
        <v>20</v>
      </c>
      <c r="JG6" s="24">
        <v>9</v>
      </c>
      <c r="JH6" s="6" t="s">
        <v>20</v>
      </c>
      <c r="JI6" s="5">
        <f t="shared" si="162"/>
        <v>9</v>
      </c>
      <c r="JJ6" s="3"/>
      <c r="JK6" s="7">
        <f t="shared" si="25"/>
        <v>2</v>
      </c>
      <c r="JL6" s="5">
        <v>2</v>
      </c>
      <c r="JM6" s="7">
        <f t="shared" si="163"/>
        <v>0</v>
      </c>
      <c r="JO6" s="24">
        <v>0</v>
      </c>
      <c r="JP6" s="6" t="s">
        <v>20</v>
      </c>
      <c r="JQ6" s="24">
        <v>8</v>
      </c>
      <c r="JR6" s="6" t="s">
        <v>20</v>
      </c>
      <c r="JS6" s="5">
        <f t="shared" si="164"/>
        <v>8</v>
      </c>
      <c r="JT6" s="3"/>
      <c r="JU6" s="7">
        <f t="shared" si="26"/>
        <v>1</v>
      </c>
      <c r="JV6" s="5">
        <v>1</v>
      </c>
      <c r="JW6" s="7">
        <f t="shared" si="165"/>
        <v>0</v>
      </c>
      <c r="JY6" s="24">
        <v>0</v>
      </c>
      <c r="JZ6" s="6" t="s">
        <v>20</v>
      </c>
      <c r="KA6" s="24">
        <v>7</v>
      </c>
      <c r="KB6" s="6" t="s">
        <v>20</v>
      </c>
      <c r="KC6" s="5">
        <f t="shared" si="166"/>
        <v>7</v>
      </c>
      <c r="KD6" s="3"/>
      <c r="KE6" s="7">
        <f t="shared" si="27"/>
        <v>1</v>
      </c>
      <c r="KF6" s="5"/>
      <c r="KG6" s="7" t="str">
        <f t="shared" si="167"/>
        <v/>
      </c>
      <c r="KI6" s="24">
        <v>0</v>
      </c>
      <c r="KJ6" s="6" t="s">
        <v>20</v>
      </c>
      <c r="KK6" s="24">
        <v>7</v>
      </c>
      <c r="KL6" s="6" t="s">
        <v>20</v>
      </c>
      <c r="KM6" s="5">
        <f t="shared" si="168"/>
        <v>7</v>
      </c>
      <c r="KN6" s="3"/>
      <c r="KO6" s="7">
        <f t="shared" si="28"/>
        <v>0</v>
      </c>
      <c r="KP6" s="5">
        <v>1</v>
      </c>
      <c r="KQ6" s="7">
        <f t="shared" si="169"/>
        <v>1</v>
      </c>
      <c r="KS6" s="24">
        <v>0</v>
      </c>
      <c r="KT6" s="6" t="s">
        <v>20</v>
      </c>
      <c r="KU6" s="24">
        <v>6</v>
      </c>
      <c r="KV6" s="6" t="s">
        <v>20</v>
      </c>
      <c r="KW6" s="5">
        <f t="shared" si="170"/>
        <v>6</v>
      </c>
      <c r="KX6" s="3">
        <v>1</v>
      </c>
      <c r="KY6" s="7">
        <f t="shared" si="29"/>
        <v>1</v>
      </c>
      <c r="KZ6" s="5">
        <v>1</v>
      </c>
      <c r="LA6" s="7">
        <f t="shared" si="171"/>
        <v>0</v>
      </c>
      <c r="LC6" s="24">
        <v>24</v>
      </c>
      <c r="LD6" s="6" t="s">
        <v>20</v>
      </c>
      <c r="LE6" s="24">
        <v>3</v>
      </c>
      <c r="LF6" s="6" t="s">
        <v>20</v>
      </c>
      <c r="LG6" s="5">
        <f t="shared" si="172"/>
        <v>27</v>
      </c>
      <c r="LH6" s="3"/>
      <c r="LI6" s="7">
        <f t="shared" si="30"/>
        <v>3</v>
      </c>
      <c r="LJ6" s="5">
        <v>3</v>
      </c>
      <c r="LK6" s="7">
        <f t="shared" si="173"/>
        <v>0</v>
      </c>
      <c r="LM6" s="24">
        <v>12</v>
      </c>
      <c r="LN6" s="6" t="s">
        <v>20</v>
      </c>
      <c r="LO6" s="24">
        <v>15</v>
      </c>
      <c r="LP6" s="6" t="s">
        <v>20</v>
      </c>
      <c r="LQ6" s="5">
        <f t="shared" si="174"/>
        <v>27</v>
      </c>
      <c r="LR6" s="3"/>
      <c r="LS6" s="7">
        <f t="shared" si="31"/>
        <v>0</v>
      </c>
      <c r="LT6" s="5"/>
      <c r="LU6" s="7" t="str">
        <f t="shared" si="175"/>
        <v/>
      </c>
      <c r="LW6" s="24">
        <v>12</v>
      </c>
      <c r="LX6" s="6" t="s">
        <v>20</v>
      </c>
      <c r="LY6" s="24">
        <v>15</v>
      </c>
      <c r="LZ6" s="6" t="s">
        <v>20</v>
      </c>
      <c r="MA6" s="5">
        <f t="shared" si="176"/>
        <v>27</v>
      </c>
      <c r="MB6" s="3"/>
      <c r="MC6" s="7">
        <f t="shared" si="32"/>
        <v>0</v>
      </c>
      <c r="MD6" s="5"/>
      <c r="ME6" s="7" t="str">
        <f t="shared" si="177"/>
        <v/>
      </c>
      <c r="MG6" s="24">
        <v>12</v>
      </c>
      <c r="MH6" s="6" t="s">
        <v>20</v>
      </c>
      <c r="MI6" s="24">
        <v>15</v>
      </c>
      <c r="MJ6" s="6" t="s">
        <v>20</v>
      </c>
      <c r="MK6" s="5">
        <f t="shared" si="178"/>
        <v>27</v>
      </c>
      <c r="ML6" s="3"/>
      <c r="MM6" s="7">
        <f t="shared" si="33"/>
        <v>0</v>
      </c>
      <c r="MN6" s="5"/>
      <c r="MO6" s="7" t="str">
        <f t="shared" si="179"/>
        <v/>
      </c>
      <c r="MQ6" s="2">
        <v>12</v>
      </c>
      <c r="MR6" s="6" t="s">
        <v>20</v>
      </c>
      <c r="MS6" s="2">
        <v>15</v>
      </c>
      <c r="MT6" s="6" t="s">
        <v>20</v>
      </c>
      <c r="MU6" s="5">
        <f t="shared" si="180"/>
        <v>27</v>
      </c>
      <c r="MV6" s="3"/>
      <c r="MW6" s="7">
        <f t="shared" si="34"/>
        <v>0</v>
      </c>
      <c r="MX6" s="5">
        <v>1</v>
      </c>
      <c r="MY6" s="7">
        <f t="shared" si="181"/>
        <v>1</v>
      </c>
      <c r="NA6" s="24">
        <v>12</v>
      </c>
      <c r="NB6" s="6" t="s">
        <v>20</v>
      </c>
      <c r="NC6" s="24">
        <v>13</v>
      </c>
      <c r="ND6" s="6" t="s">
        <v>20</v>
      </c>
      <c r="NE6" s="5">
        <f t="shared" si="182"/>
        <v>25</v>
      </c>
      <c r="NF6" s="3"/>
      <c r="NG6" s="7">
        <f t="shared" si="35"/>
        <v>2</v>
      </c>
      <c r="NH6" s="5">
        <v>1</v>
      </c>
      <c r="NI6" s="7">
        <f t="shared" si="183"/>
        <v>-1</v>
      </c>
      <c r="NK6" s="24">
        <v>12</v>
      </c>
      <c r="NL6" s="6" t="s">
        <v>20</v>
      </c>
      <c r="NM6" s="24">
        <v>13</v>
      </c>
      <c r="NN6" s="6" t="s">
        <v>20</v>
      </c>
      <c r="NO6" s="5">
        <f t="shared" si="184"/>
        <v>25</v>
      </c>
      <c r="NP6" s="3"/>
      <c r="NQ6" s="7">
        <f t="shared" si="36"/>
        <v>0</v>
      </c>
      <c r="NR6" s="5"/>
      <c r="NS6" s="7" t="str">
        <f t="shared" si="185"/>
        <v/>
      </c>
      <c r="NU6" s="24">
        <v>12</v>
      </c>
      <c r="NV6" s="6" t="s">
        <v>20</v>
      </c>
      <c r="NW6" s="24">
        <v>8</v>
      </c>
      <c r="NX6" s="6" t="s">
        <v>20</v>
      </c>
      <c r="NY6" s="5">
        <f t="shared" si="186"/>
        <v>20</v>
      </c>
      <c r="NZ6" s="3"/>
      <c r="OA6" s="7">
        <f t="shared" si="37"/>
        <v>5</v>
      </c>
      <c r="OB6" s="5">
        <v>5</v>
      </c>
      <c r="OC6" s="7">
        <f t="shared" si="187"/>
        <v>0</v>
      </c>
      <c r="OE6" s="2">
        <v>12</v>
      </c>
      <c r="OF6" s="6" t="s">
        <v>20</v>
      </c>
      <c r="OG6" s="2">
        <v>7</v>
      </c>
      <c r="OH6" s="6" t="s">
        <v>20</v>
      </c>
      <c r="OI6" s="5">
        <f t="shared" si="188"/>
        <v>19</v>
      </c>
      <c r="OJ6" s="3"/>
      <c r="OK6" s="7">
        <f t="shared" si="38"/>
        <v>1</v>
      </c>
      <c r="OL6" s="5">
        <v>1</v>
      </c>
      <c r="OM6" s="7">
        <f t="shared" si="189"/>
        <v>0</v>
      </c>
      <c r="OO6" s="24">
        <v>12</v>
      </c>
      <c r="OP6" s="6" t="s">
        <v>20</v>
      </c>
      <c r="OQ6" s="24">
        <v>6</v>
      </c>
      <c r="OR6" s="6" t="s">
        <v>20</v>
      </c>
      <c r="OS6" s="5">
        <f t="shared" si="190"/>
        <v>18</v>
      </c>
      <c r="OT6" s="3"/>
      <c r="OU6" s="7">
        <f t="shared" si="39"/>
        <v>1</v>
      </c>
      <c r="OV6" s="5">
        <v>1</v>
      </c>
      <c r="OW6" s="7">
        <f t="shared" si="191"/>
        <v>0</v>
      </c>
      <c r="OY6" s="24">
        <v>12</v>
      </c>
      <c r="OZ6" s="6" t="s">
        <v>20</v>
      </c>
      <c r="PA6" s="24">
        <v>6</v>
      </c>
      <c r="PB6" s="6" t="s">
        <v>20</v>
      </c>
      <c r="PC6" s="5">
        <f t="shared" si="192"/>
        <v>18</v>
      </c>
      <c r="PD6" s="3"/>
      <c r="PE6" s="7">
        <f t="shared" si="40"/>
        <v>0</v>
      </c>
      <c r="PF6" s="5"/>
      <c r="PG6" s="7" t="str">
        <f t="shared" si="193"/>
        <v/>
      </c>
      <c r="PI6" s="24">
        <v>12</v>
      </c>
      <c r="PJ6" s="6" t="s">
        <v>20</v>
      </c>
      <c r="PK6" s="24">
        <v>4</v>
      </c>
      <c r="PL6" s="6" t="s">
        <v>20</v>
      </c>
      <c r="PM6" s="5">
        <f t="shared" si="194"/>
        <v>16</v>
      </c>
      <c r="PN6" s="3"/>
      <c r="PO6" s="7">
        <f t="shared" si="41"/>
        <v>2</v>
      </c>
      <c r="PP6" s="5">
        <v>2</v>
      </c>
      <c r="PQ6" s="7">
        <f t="shared" si="195"/>
        <v>0</v>
      </c>
      <c r="PS6" s="2">
        <v>0</v>
      </c>
      <c r="PT6" s="6" t="s">
        <v>20</v>
      </c>
      <c r="PU6" s="2">
        <v>15</v>
      </c>
      <c r="PV6" s="6" t="s">
        <v>20</v>
      </c>
      <c r="PW6" s="5">
        <f t="shared" si="196"/>
        <v>15</v>
      </c>
      <c r="PX6" s="3"/>
      <c r="PY6" s="7">
        <f t="shared" si="42"/>
        <v>1</v>
      </c>
      <c r="PZ6" s="5"/>
      <c r="QA6" s="7" t="str">
        <f t="shared" si="197"/>
        <v/>
      </c>
      <c r="QC6" s="24">
        <v>0</v>
      </c>
      <c r="QD6" s="6" t="s">
        <v>20</v>
      </c>
      <c r="QE6" s="24">
        <v>9</v>
      </c>
      <c r="QF6" s="6" t="s">
        <v>20</v>
      </c>
      <c r="QG6" s="5">
        <f t="shared" si="198"/>
        <v>9</v>
      </c>
      <c r="QH6" s="3">
        <v>1</v>
      </c>
      <c r="QI6" s="7">
        <f t="shared" si="43"/>
        <v>6</v>
      </c>
      <c r="QJ6" s="5">
        <v>6</v>
      </c>
      <c r="QK6" s="7">
        <f t="shared" si="199"/>
        <v>0</v>
      </c>
      <c r="QM6" s="24">
        <v>24</v>
      </c>
      <c r="QN6" s="6" t="s">
        <v>20</v>
      </c>
      <c r="QO6" s="24">
        <v>5</v>
      </c>
      <c r="QP6" s="6" t="s">
        <v>20</v>
      </c>
      <c r="QQ6" s="5">
        <f t="shared" si="200"/>
        <v>29</v>
      </c>
      <c r="QR6" s="3"/>
      <c r="QS6" s="7">
        <f t="shared" si="44"/>
        <v>4</v>
      </c>
      <c r="QT6" s="5">
        <v>5</v>
      </c>
      <c r="QU6" s="7">
        <f t="shared" si="201"/>
        <v>1</v>
      </c>
      <c r="QW6" s="24">
        <v>24</v>
      </c>
      <c r="QX6" s="6" t="s">
        <v>20</v>
      </c>
      <c r="QY6" s="24">
        <v>4</v>
      </c>
      <c r="QZ6" s="6" t="s">
        <v>20</v>
      </c>
      <c r="RA6" s="5">
        <f t="shared" si="202"/>
        <v>28</v>
      </c>
      <c r="RB6" s="3"/>
      <c r="RC6" s="7">
        <f t="shared" si="45"/>
        <v>1</v>
      </c>
      <c r="RD6" s="5">
        <v>1</v>
      </c>
      <c r="RE6" s="7">
        <f t="shared" si="203"/>
        <v>0</v>
      </c>
      <c r="RG6" s="24">
        <v>24</v>
      </c>
      <c r="RH6" s="6" t="s">
        <v>20</v>
      </c>
      <c r="RI6" s="24">
        <v>0</v>
      </c>
      <c r="RJ6" s="6" t="s">
        <v>20</v>
      </c>
      <c r="RK6" s="36">
        <f t="shared" si="204"/>
        <v>24</v>
      </c>
      <c r="RL6" s="3"/>
      <c r="RM6" s="7">
        <f t="shared" si="46"/>
        <v>4</v>
      </c>
      <c r="RN6" s="5">
        <v>4</v>
      </c>
      <c r="RO6" s="7">
        <f t="shared" si="205"/>
        <v>0</v>
      </c>
      <c r="RQ6" s="24">
        <v>12</v>
      </c>
      <c r="RR6" s="6" t="s">
        <v>20</v>
      </c>
      <c r="RS6" s="24">
        <v>9</v>
      </c>
      <c r="RT6" s="6" t="s">
        <v>20</v>
      </c>
      <c r="RU6" s="5">
        <f t="shared" si="206"/>
        <v>21</v>
      </c>
      <c r="RV6" s="3"/>
      <c r="RW6" s="7">
        <f t="shared" si="47"/>
        <v>3</v>
      </c>
      <c r="RX6" s="5">
        <v>2</v>
      </c>
      <c r="RY6" s="7">
        <f t="shared" si="207"/>
        <v>-1</v>
      </c>
      <c r="SA6" s="2">
        <v>12</v>
      </c>
      <c r="SB6" s="6" t="s">
        <v>20</v>
      </c>
      <c r="SC6" s="2">
        <v>8</v>
      </c>
      <c r="SD6" s="6" t="s">
        <v>20</v>
      </c>
      <c r="SE6" s="5">
        <f t="shared" si="208"/>
        <v>20</v>
      </c>
      <c r="SF6" s="3"/>
      <c r="SG6" s="7">
        <f t="shared" si="48"/>
        <v>1</v>
      </c>
      <c r="SH6" s="5">
        <v>1</v>
      </c>
      <c r="SI6" s="7">
        <f t="shared" si="209"/>
        <v>0</v>
      </c>
      <c r="SK6" s="24">
        <v>12</v>
      </c>
      <c r="SL6" s="6" t="s">
        <v>20</v>
      </c>
      <c r="SM6" s="24">
        <v>2</v>
      </c>
      <c r="SN6" s="6" t="s">
        <v>20</v>
      </c>
      <c r="SO6" s="5">
        <f t="shared" si="210"/>
        <v>14</v>
      </c>
      <c r="SP6" s="3"/>
      <c r="SQ6" s="7">
        <f t="shared" si="49"/>
        <v>6</v>
      </c>
      <c r="SR6" s="5">
        <v>6</v>
      </c>
      <c r="SS6" s="7">
        <f t="shared" si="211"/>
        <v>0</v>
      </c>
      <c r="SU6" s="24">
        <v>0</v>
      </c>
      <c r="SV6" s="6" t="s">
        <v>20</v>
      </c>
      <c r="SW6" s="24">
        <v>13</v>
      </c>
      <c r="SX6" s="6" t="s">
        <v>20</v>
      </c>
      <c r="SY6" s="5">
        <f t="shared" si="212"/>
        <v>13</v>
      </c>
      <c r="SZ6" s="3"/>
      <c r="TA6" s="7">
        <f t="shared" si="50"/>
        <v>1</v>
      </c>
      <c r="TB6" s="5">
        <v>1</v>
      </c>
      <c r="TC6" s="7">
        <f t="shared" si="213"/>
        <v>0</v>
      </c>
      <c r="TE6" s="24">
        <v>0</v>
      </c>
      <c r="TF6" s="6" t="s">
        <v>20</v>
      </c>
      <c r="TG6" s="24">
        <v>13</v>
      </c>
      <c r="TH6" s="6" t="s">
        <v>20</v>
      </c>
      <c r="TI6" s="5">
        <f t="shared" si="214"/>
        <v>13</v>
      </c>
      <c r="TJ6" s="3"/>
      <c r="TK6" s="7">
        <f t="shared" si="51"/>
        <v>0</v>
      </c>
      <c r="TL6" s="5"/>
      <c r="TM6" s="7" t="str">
        <f t="shared" si="215"/>
        <v/>
      </c>
      <c r="TO6" s="24">
        <v>0</v>
      </c>
      <c r="TP6" s="6" t="s">
        <v>20</v>
      </c>
      <c r="TQ6" s="24">
        <v>12</v>
      </c>
      <c r="TR6" s="6" t="s">
        <v>20</v>
      </c>
      <c r="TS6" s="5">
        <f t="shared" si="216"/>
        <v>12</v>
      </c>
      <c r="TT6" s="3"/>
      <c r="TU6" s="7">
        <f t="shared" si="52"/>
        <v>1</v>
      </c>
      <c r="TV6" s="5">
        <v>1</v>
      </c>
      <c r="TW6" s="7">
        <f t="shared" si="217"/>
        <v>0</v>
      </c>
      <c r="TY6" s="24">
        <v>0</v>
      </c>
      <c r="TZ6" s="6" t="s">
        <v>20</v>
      </c>
      <c r="UA6" s="24">
        <v>11</v>
      </c>
      <c r="UB6" s="6" t="s">
        <v>20</v>
      </c>
      <c r="UC6" s="5">
        <f t="shared" si="218"/>
        <v>11</v>
      </c>
      <c r="UD6" s="3"/>
      <c r="UE6" s="7">
        <f t="shared" si="53"/>
        <v>1</v>
      </c>
      <c r="UF6" s="5">
        <v>1</v>
      </c>
      <c r="UG6" s="7">
        <f t="shared" si="219"/>
        <v>0</v>
      </c>
      <c r="UI6" s="2">
        <v>0</v>
      </c>
      <c r="UJ6" s="6" t="s">
        <v>20</v>
      </c>
      <c r="UK6" s="2">
        <v>9</v>
      </c>
      <c r="UL6" s="6" t="s">
        <v>20</v>
      </c>
      <c r="UM6" s="5">
        <f t="shared" si="220"/>
        <v>9</v>
      </c>
      <c r="UN6" s="3"/>
      <c r="UO6" s="7">
        <f t="shared" si="54"/>
        <v>2</v>
      </c>
      <c r="UP6" s="5"/>
      <c r="UQ6" s="7" t="str">
        <f t="shared" si="221"/>
        <v/>
      </c>
      <c r="US6" s="24">
        <v>0</v>
      </c>
      <c r="UT6" s="6" t="s">
        <v>20</v>
      </c>
      <c r="UU6" s="24">
        <v>11</v>
      </c>
      <c r="UV6" s="6" t="s">
        <v>20</v>
      </c>
      <c r="UW6" s="5">
        <f t="shared" si="222"/>
        <v>11</v>
      </c>
      <c r="UX6" s="3"/>
      <c r="UY6" s="7">
        <f t="shared" si="55"/>
        <v>-2</v>
      </c>
      <c r="UZ6" s="5"/>
      <c r="VA6" s="7" t="str">
        <f t="shared" si="223"/>
        <v/>
      </c>
      <c r="VC6" s="2">
        <v>0</v>
      </c>
      <c r="VD6" s="6" t="s">
        <v>20</v>
      </c>
      <c r="VE6" s="2">
        <v>10</v>
      </c>
      <c r="VF6" s="6" t="s">
        <v>20</v>
      </c>
      <c r="VG6" s="5">
        <f t="shared" si="224"/>
        <v>10</v>
      </c>
      <c r="VH6" s="3"/>
      <c r="VI6" s="7">
        <f t="shared" si="56"/>
        <v>1</v>
      </c>
      <c r="VJ6" s="5">
        <v>1</v>
      </c>
      <c r="VK6" s="7">
        <f t="shared" si="225"/>
        <v>0</v>
      </c>
      <c r="VM6" s="24">
        <v>0</v>
      </c>
      <c r="VN6" s="6" t="s">
        <v>20</v>
      </c>
      <c r="VO6" s="24">
        <v>6</v>
      </c>
      <c r="VP6" s="6" t="s">
        <v>20</v>
      </c>
      <c r="VQ6" s="5">
        <f t="shared" si="226"/>
        <v>6</v>
      </c>
      <c r="VR6" s="3">
        <v>1</v>
      </c>
      <c r="VS6" s="7">
        <f t="shared" si="57"/>
        <v>4</v>
      </c>
      <c r="VT6" s="5">
        <v>4</v>
      </c>
      <c r="VU6" s="7">
        <f t="shared" si="227"/>
        <v>0</v>
      </c>
      <c r="VW6" s="2"/>
      <c r="VX6" s="6" t="s">
        <v>20</v>
      </c>
      <c r="VY6" s="2">
        <v>27</v>
      </c>
      <c r="VZ6" s="6" t="s">
        <v>20</v>
      </c>
      <c r="WA6" s="5">
        <f t="shared" si="228"/>
        <v>27</v>
      </c>
      <c r="WB6" s="3"/>
      <c r="WC6" s="7">
        <f t="shared" si="58"/>
        <v>3</v>
      </c>
      <c r="WD6" s="5">
        <v>2</v>
      </c>
      <c r="WE6" s="7">
        <f t="shared" si="229"/>
        <v>-1</v>
      </c>
      <c r="WG6" s="2">
        <v>12</v>
      </c>
      <c r="WH6" s="6" t="s">
        <v>20</v>
      </c>
      <c r="WI6" s="2">
        <v>1</v>
      </c>
      <c r="WJ6" s="6" t="s">
        <v>20</v>
      </c>
      <c r="WK6" s="36">
        <f t="shared" si="230"/>
        <v>13</v>
      </c>
      <c r="WL6" s="3"/>
      <c r="WM6" s="7">
        <f t="shared" si="59"/>
        <v>14</v>
      </c>
      <c r="WN6" s="5">
        <v>3</v>
      </c>
      <c r="WO6" s="7">
        <f t="shared" si="231"/>
        <v>-11</v>
      </c>
      <c r="WQ6" s="2">
        <v>24</v>
      </c>
      <c r="WR6" s="6" t="s">
        <v>20</v>
      </c>
      <c r="WS6" s="2">
        <v>1</v>
      </c>
      <c r="WT6" s="6" t="s">
        <v>20</v>
      </c>
      <c r="WU6" s="5">
        <f t="shared" si="232"/>
        <v>25</v>
      </c>
      <c r="WV6" s="3"/>
      <c r="WW6" s="7">
        <f t="shared" si="60"/>
        <v>-12</v>
      </c>
      <c r="WX6" s="5">
        <v>0</v>
      </c>
      <c r="WY6" s="7">
        <f t="shared" si="233"/>
        <v>12</v>
      </c>
      <c r="XA6" s="24">
        <v>24</v>
      </c>
      <c r="XB6" s="6" t="s">
        <v>20</v>
      </c>
      <c r="XC6" s="24">
        <v>1</v>
      </c>
      <c r="XD6" s="6" t="s">
        <v>20</v>
      </c>
      <c r="XE6" s="5">
        <f t="shared" si="234"/>
        <v>25</v>
      </c>
      <c r="XF6" s="3"/>
      <c r="XG6" s="7">
        <f t="shared" si="61"/>
        <v>0</v>
      </c>
      <c r="XH6" s="5"/>
      <c r="XI6" s="7" t="str">
        <f t="shared" si="235"/>
        <v/>
      </c>
      <c r="XK6" s="24">
        <v>12</v>
      </c>
      <c r="XL6" s="6" t="s">
        <v>20</v>
      </c>
      <c r="XM6" s="24">
        <v>10</v>
      </c>
      <c r="XN6" s="6" t="s">
        <v>20</v>
      </c>
      <c r="XO6" s="5">
        <f t="shared" si="236"/>
        <v>22</v>
      </c>
      <c r="XP6" s="3"/>
      <c r="XQ6" s="7">
        <f t="shared" si="62"/>
        <v>3</v>
      </c>
      <c r="XR6" s="5">
        <v>3</v>
      </c>
      <c r="XS6" s="7">
        <f t="shared" si="237"/>
        <v>0</v>
      </c>
      <c r="XU6" s="24">
        <v>12</v>
      </c>
      <c r="XV6" s="6" t="s">
        <v>20</v>
      </c>
      <c r="XW6" s="24">
        <v>8</v>
      </c>
      <c r="XX6" s="6" t="s">
        <v>20</v>
      </c>
      <c r="XY6" s="5">
        <f t="shared" si="238"/>
        <v>20</v>
      </c>
      <c r="XZ6" s="3"/>
      <c r="YA6" s="7">
        <f t="shared" si="63"/>
        <v>2</v>
      </c>
      <c r="YB6" s="5">
        <v>2</v>
      </c>
      <c r="YC6" s="7">
        <f t="shared" si="239"/>
        <v>0</v>
      </c>
      <c r="YE6" s="24">
        <v>12</v>
      </c>
      <c r="YF6" s="6" t="s">
        <v>20</v>
      </c>
      <c r="YG6" s="24">
        <v>7</v>
      </c>
      <c r="YH6" s="6" t="s">
        <v>20</v>
      </c>
      <c r="YI6" s="5">
        <f t="shared" si="240"/>
        <v>19</v>
      </c>
      <c r="YJ6" s="3"/>
      <c r="YK6" s="7">
        <f t="shared" si="64"/>
        <v>1</v>
      </c>
      <c r="YL6" s="5"/>
      <c r="YM6" s="7" t="str">
        <f t="shared" si="241"/>
        <v/>
      </c>
      <c r="YO6" s="24">
        <v>12</v>
      </c>
      <c r="YP6" s="6" t="s">
        <v>20</v>
      </c>
      <c r="YQ6" s="24">
        <v>5</v>
      </c>
      <c r="YR6" s="6" t="s">
        <v>20</v>
      </c>
      <c r="YS6" s="5">
        <f t="shared" si="242"/>
        <v>17</v>
      </c>
      <c r="YT6" s="3"/>
      <c r="YU6" s="7">
        <f t="shared" si="65"/>
        <v>2</v>
      </c>
      <c r="YV6" s="5">
        <v>2</v>
      </c>
      <c r="YW6" s="7">
        <f t="shared" si="243"/>
        <v>0</v>
      </c>
      <c r="YY6" s="24">
        <v>6</v>
      </c>
      <c r="YZ6" s="6" t="s">
        <v>20</v>
      </c>
      <c r="ZA6" s="24">
        <v>7</v>
      </c>
      <c r="ZB6" s="6" t="s">
        <v>20</v>
      </c>
      <c r="ZC6" s="5">
        <f t="shared" si="244"/>
        <v>13</v>
      </c>
      <c r="ZD6" s="3"/>
      <c r="ZE6" s="7">
        <f t="shared" si="66"/>
        <v>4</v>
      </c>
      <c r="ZF6" s="5">
        <v>4</v>
      </c>
      <c r="ZG6" s="7">
        <f t="shared" si="245"/>
        <v>0</v>
      </c>
      <c r="ZI6" s="24">
        <v>12</v>
      </c>
      <c r="ZJ6" s="6" t="s">
        <v>20</v>
      </c>
      <c r="ZK6" s="24">
        <v>1</v>
      </c>
      <c r="ZL6" s="6" t="s">
        <v>20</v>
      </c>
      <c r="ZM6" s="5">
        <f t="shared" si="246"/>
        <v>13</v>
      </c>
      <c r="ZN6" s="3"/>
      <c r="ZO6" s="7">
        <f t="shared" si="67"/>
        <v>0</v>
      </c>
      <c r="ZP6" s="5"/>
      <c r="ZQ6" s="7" t="str">
        <f t="shared" si="247"/>
        <v/>
      </c>
      <c r="ZS6" s="24">
        <v>12</v>
      </c>
      <c r="ZT6" s="6" t="s">
        <v>20</v>
      </c>
      <c r="ZU6" s="24">
        <v>1</v>
      </c>
      <c r="ZV6" s="6" t="s">
        <v>20</v>
      </c>
      <c r="ZW6" s="5">
        <f t="shared" si="248"/>
        <v>13</v>
      </c>
      <c r="ZX6" s="3"/>
      <c r="ZY6" s="7">
        <f t="shared" si="68"/>
        <v>0</v>
      </c>
      <c r="ZZ6" s="5"/>
      <c r="AAA6" s="7" t="str">
        <f t="shared" si="249"/>
        <v/>
      </c>
      <c r="AAC6" s="24"/>
      <c r="AAD6" s="6" t="s">
        <v>20</v>
      </c>
      <c r="AAE6" s="24">
        <v>10</v>
      </c>
      <c r="AAF6" s="6" t="s">
        <v>20</v>
      </c>
      <c r="AAG6" s="5">
        <f t="shared" si="250"/>
        <v>10</v>
      </c>
      <c r="AAH6" s="3"/>
      <c r="AAI6" s="7">
        <f t="shared" si="69"/>
        <v>3</v>
      </c>
      <c r="AAJ6" s="5">
        <v>3</v>
      </c>
      <c r="AAK6" s="7">
        <f t="shared" si="251"/>
        <v>0</v>
      </c>
      <c r="AAM6" s="2">
        <v>0</v>
      </c>
      <c r="AAN6" s="6" t="s">
        <v>20</v>
      </c>
      <c r="AAO6" s="2">
        <v>10</v>
      </c>
      <c r="AAP6" s="6" t="s">
        <v>20</v>
      </c>
      <c r="AAQ6" s="5">
        <f t="shared" si="252"/>
        <v>10</v>
      </c>
      <c r="AAR6" s="3"/>
      <c r="AAS6" s="7">
        <f t="shared" si="70"/>
        <v>0</v>
      </c>
      <c r="AAT6" s="5"/>
      <c r="AAU6" s="7" t="str">
        <f t="shared" si="253"/>
        <v/>
      </c>
      <c r="AAW6" s="2">
        <v>0</v>
      </c>
      <c r="AAX6" s="6" t="s">
        <v>20</v>
      </c>
      <c r="AAY6" s="2">
        <v>6</v>
      </c>
      <c r="AAZ6" s="6" t="s">
        <v>20</v>
      </c>
      <c r="ABA6" s="5">
        <f t="shared" si="254"/>
        <v>6</v>
      </c>
      <c r="ABB6" s="3">
        <v>1</v>
      </c>
      <c r="ABC6" s="7">
        <f t="shared" si="71"/>
        <v>4</v>
      </c>
      <c r="ABD6" s="5">
        <v>3</v>
      </c>
      <c r="ABE6" s="7">
        <f t="shared" si="255"/>
        <v>-1</v>
      </c>
      <c r="ABG6" s="24">
        <v>24</v>
      </c>
      <c r="ABH6" s="6" t="s">
        <v>20</v>
      </c>
      <c r="ABI6" s="24">
        <v>6</v>
      </c>
      <c r="ABJ6" s="6" t="s">
        <v>20</v>
      </c>
      <c r="ABK6" s="5">
        <f t="shared" si="256"/>
        <v>30</v>
      </c>
      <c r="ABL6" s="3"/>
      <c r="ABM6" s="7">
        <f t="shared" si="72"/>
        <v>0</v>
      </c>
      <c r="ABN6" s="5"/>
      <c r="ABO6" s="7" t="str">
        <f t="shared" si="257"/>
        <v/>
      </c>
      <c r="ABQ6" s="2">
        <v>24</v>
      </c>
      <c r="ABR6" s="6" t="s">
        <v>20</v>
      </c>
      <c r="ABS6" s="2">
        <v>6</v>
      </c>
      <c r="ABT6" s="6" t="s">
        <v>20</v>
      </c>
      <c r="ABU6" s="5">
        <f t="shared" si="258"/>
        <v>30</v>
      </c>
      <c r="ABV6" s="3"/>
      <c r="ABW6" s="7">
        <f t="shared" si="73"/>
        <v>0</v>
      </c>
      <c r="ABX6" s="5"/>
      <c r="ABY6" s="7" t="str">
        <f t="shared" si="259"/>
        <v/>
      </c>
      <c r="ACA6" s="24">
        <v>24</v>
      </c>
      <c r="ACB6" s="6" t="s">
        <v>20</v>
      </c>
      <c r="ACC6" s="24">
        <v>6</v>
      </c>
      <c r="ACD6" s="6" t="s">
        <v>20</v>
      </c>
      <c r="ACE6" s="5">
        <f t="shared" si="74"/>
        <v>30</v>
      </c>
      <c r="ACF6" s="3"/>
      <c r="ACG6" s="7">
        <f t="shared" si="75"/>
        <v>0</v>
      </c>
      <c r="ACH6" s="5"/>
      <c r="ACI6" s="7" t="str">
        <f t="shared" si="76"/>
        <v/>
      </c>
      <c r="ACK6" s="24">
        <v>24</v>
      </c>
      <c r="ACL6" s="6" t="s">
        <v>20</v>
      </c>
      <c r="ACM6" s="24">
        <v>5</v>
      </c>
      <c r="ACN6" s="6" t="s">
        <v>20</v>
      </c>
      <c r="ACO6" s="5">
        <f t="shared" si="260"/>
        <v>29</v>
      </c>
      <c r="ACP6" s="3"/>
      <c r="ACQ6" s="7">
        <f t="shared" si="77"/>
        <v>1</v>
      </c>
      <c r="ACR6" s="5">
        <v>1</v>
      </c>
      <c r="ACS6" s="7">
        <f t="shared" si="261"/>
        <v>0</v>
      </c>
      <c r="ACU6" s="24">
        <v>12</v>
      </c>
      <c r="ACV6" s="6" t="s">
        <v>20</v>
      </c>
      <c r="ACW6" s="24">
        <v>16</v>
      </c>
      <c r="ACX6" s="6" t="s">
        <v>20</v>
      </c>
      <c r="ACY6" s="5">
        <f t="shared" si="262"/>
        <v>28</v>
      </c>
      <c r="ACZ6" s="3"/>
      <c r="ADA6" s="7">
        <f t="shared" si="78"/>
        <v>1</v>
      </c>
      <c r="ADB6" s="5">
        <v>1</v>
      </c>
      <c r="ADC6" s="7">
        <f t="shared" si="263"/>
        <v>0</v>
      </c>
      <c r="ADE6" s="24">
        <v>12</v>
      </c>
      <c r="ADF6" s="6" t="s">
        <v>20</v>
      </c>
      <c r="ADG6" s="24">
        <v>16</v>
      </c>
      <c r="ADH6" s="6" t="s">
        <v>20</v>
      </c>
      <c r="ADI6" s="5">
        <f t="shared" si="264"/>
        <v>28</v>
      </c>
      <c r="ADJ6" s="3"/>
      <c r="ADK6" s="7">
        <f t="shared" si="79"/>
        <v>0</v>
      </c>
      <c r="ADL6" s="5"/>
      <c r="ADM6" s="7" t="str">
        <f t="shared" si="265"/>
        <v/>
      </c>
      <c r="ADO6" s="24">
        <v>12</v>
      </c>
      <c r="ADP6" s="6" t="s">
        <v>20</v>
      </c>
      <c r="ADQ6" s="24">
        <v>15</v>
      </c>
      <c r="ADR6" s="6" t="s">
        <v>20</v>
      </c>
      <c r="ADS6" s="5">
        <f t="shared" si="266"/>
        <v>27</v>
      </c>
      <c r="ADT6" s="3"/>
      <c r="ADU6" s="7">
        <f t="shared" si="80"/>
        <v>1</v>
      </c>
      <c r="ADV6" s="5">
        <v>1</v>
      </c>
      <c r="ADW6" s="7">
        <f t="shared" si="267"/>
        <v>0</v>
      </c>
      <c r="ADY6" s="24">
        <v>12</v>
      </c>
      <c r="ADZ6" s="6" t="s">
        <v>20</v>
      </c>
      <c r="AEA6" s="24">
        <v>12</v>
      </c>
      <c r="AEB6" s="6" t="s">
        <v>20</v>
      </c>
      <c r="AEC6" s="5">
        <f t="shared" si="268"/>
        <v>24</v>
      </c>
      <c r="AED6" s="3"/>
      <c r="AEE6" s="7">
        <f t="shared" si="81"/>
        <v>3</v>
      </c>
      <c r="AEF6" s="5">
        <v>3</v>
      </c>
      <c r="AEG6" s="7">
        <f t="shared" si="269"/>
        <v>0</v>
      </c>
      <c r="AEI6" s="2">
        <v>12</v>
      </c>
      <c r="AEJ6" s="6" t="s">
        <v>20</v>
      </c>
      <c r="AEK6" s="2">
        <v>11</v>
      </c>
      <c r="AEL6" s="6" t="s">
        <v>20</v>
      </c>
      <c r="AEM6" s="5">
        <f t="shared" si="270"/>
        <v>23</v>
      </c>
      <c r="AEN6" s="3"/>
      <c r="AEO6" s="7">
        <f t="shared" si="82"/>
        <v>1</v>
      </c>
      <c r="AEP6" s="5">
        <v>1</v>
      </c>
      <c r="AEQ6" s="7">
        <f t="shared" si="271"/>
        <v>0</v>
      </c>
      <c r="AES6" s="24">
        <v>12</v>
      </c>
      <c r="AET6" s="6" t="s">
        <v>20</v>
      </c>
      <c r="AEU6" s="24">
        <v>11</v>
      </c>
      <c r="AEV6" s="6" t="s">
        <v>20</v>
      </c>
      <c r="AEW6" s="5">
        <f t="shared" si="272"/>
        <v>23</v>
      </c>
      <c r="AEX6" s="3"/>
      <c r="AEY6" s="7">
        <f t="shared" si="83"/>
        <v>0</v>
      </c>
      <c r="AEZ6" s="5"/>
      <c r="AFA6" s="7" t="str">
        <f t="shared" si="273"/>
        <v/>
      </c>
      <c r="AFC6" s="2">
        <v>12</v>
      </c>
      <c r="AFD6" s="6" t="s">
        <v>20</v>
      </c>
      <c r="AFE6" s="2">
        <v>9</v>
      </c>
      <c r="AFF6" s="6" t="s">
        <v>20</v>
      </c>
      <c r="AFG6" s="5">
        <f t="shared" si="274"/>
        <v>21</v>
      </c>
      <c r="AFH6" s="3"/>
      <c r="AFI6" s="7">
        <f t="shared" si="84"/>
        <v>2</v>
      </c>
      <c r="AFJ6" s="5">
        <v>2</v>
      </c>
      <c r="AFK6" s="7">
        <f t="shared" si="275"/>
        <v>0</v>
      </c>
      <c r="AFM6" s="2">
        <v>12</v>
      </c>
      <c r="AFN6" s="6" t="s">
        <v>20</v>
      </c>
      <c r="AFO6" s="2">
        <v>9</v>
      </c>
      <c r="AFP6" s="6" t="s">
        <v>20</v>
      </c>
      <c r="AFQ6" s="5">
        <f t="shared" si="276"/>
        <v>21</v>
      </c>
      <c r="AFR6" s="3"/>
      <c r="AFS6" s="7">
        <f t="shared" si="85"/>
        <v>0</v>
      </c>
      <c r="AFT6" s="5"/>
      <c r="AFU6" s="7" t="str">
        <f t="shared" si="277"/>
        <v/>
      </c>
      <c r="AFW6" s="24">
        <v>12</v>
      </c>
      <c r="AFX6" s="6" t="s">
        <v>20</v>
      </c>
      <c r="AFY6" s="24">
        <v>9</v>
      </c>
      <c r="AFZ6" s="6" t="s">
        <v>20</v>
      </c>
      <c r="AGA6" s="5">
        <f t="shared" si="278"/>
        <v>21</v>
      </c>
      <c r="AGB6" s="3"/>
      <c r="AGC6" s="7">
        <f t="shared" si="86"/>
        <v>0</v>
      </c>
      <c r="AGD6" s="5"/>
      <c r="AGE6" s="7" t="str">
        <f t="shared" si="279"/>
        <v/>
      </c>
      <c r="AGG6" s="24">
        <v>12</v>
      </c>
      <c r="AGH6" s="6" t="s">
        <v>20</v>
      </c>
      <c r="AGI6" s="24">
        <v>5</v>
      </c>
      <c r="AGJ6" s="6" t="s">
        <v>20</v>
      </c>
      <c r="AGK6" s="5">
        <f t="shared" si="280"/>
        <v>17</v>
      </c>
      <c r="AGL6" s="3"/>
      <c r="AGM6" s="7">
        <f t="shared" si="87"/>
        <v>4</v>
      </c>
      <c r="AGN6" s="5">
        <v>4</v>
      </c>
      <c r="AGO6" s="7">
        <f t="shared" si="281"/>
        <v>0</v>
      </c>
      <c r="AGQ6" s="24">
        <v>12</v>
      </c>
      <c r="AGR6" s="6" t="s">
        <v>20</v>
      </c>
      <c r="AGS6" s="24">
        <v>5</v>
      </c>
      <c r="AGT6" s="6" t="s">
        <v>20</v>
      </c>
      <c r="AGU6" s="5">
        <f t="shared" si="282"/>
        <v>17</v>
      </c>
      <c r="AGV6" s="3"/>
      <c r="AGW6" s="7">
        <f t="shared" si="88"/>
        <v>0</v>
      </c>
      <c r="AGX6" s="5"/>
      <c r="AGY6" s="7" t="str">
        <f t="shared" si="283"/>
        <v/>
      </c>
      <c r="AHA6" s="24">
        <v>12</v>
      </c>
      <c r="AHB6" s="6" t="s">
        <v>20</v>
      </c>
      <c r="AHC6" s="24">
        <v>3</v>
      </c>
      <c r="AHD6" s="6" t="s">
        <v>20</v>
      </c>
      <c r="AHE6" s="5">
        <f t="shared" si="284"/>
        <v>15</v>
      </c>
      <c r="AHF6" s="3">
        <v>1</v>
      </c>
      <c r="AHG6" s="7">
        <f t="shared" si="89"/>
        <v>2</v>
      </c>
      <c r="AHH6" s="5">
        <v>2</v>
      </c>
      <c r="AHI6" s="7">
        <f t="shared" si="285"/>
        <v>0</v>
      </c>
      <c r="AHK6" s="2">
        <v>24</v>
      </c>
      <c r="AHL6" s="6" t="s">
        <v>20</v>
      </c>
      <c r="AHM6" s="2">
        <v>15</v>
      </c>
      <c r="AHN6" s="6" t="s">
        <v>20</v>
      </c>
      <c r="AHO6" s="5">
        <f t="shared" si="286"/>
        <v>39</v>
      </c>
      <c r="AHP6" s="3"/>
      <c r="AHQ6" s="7">
        <f t="shared" si="90"/>
        <v>0</v>
      </c>
      <c r="AHR6" s="5"/>
      <c r="AHS6" s="7" t="str">
        <f t="shared" si="287"/>
        <v/>
      </c>
      <c r="AHU6" s="2">
        <v>24</v>
      </c>
      <c r="AHV6" s="6" t="s">
        <v>20</v>
      </c>
      <c r="AHW6" s="2">
        <v>11</v>
      </c>
      <c r="AHX6" s="6" t="s">
        <v>20</v>
      </c>
      <c r="AHY6" s="5">
        <f t="shared" si="288"/>
        <v>35</v>
      </c>
      <c r="AHZ6" s="3"/>
      <c r="AIA6" s="7">
        <f t="shared" si="91"/>
        <v>4</v>
      </c>
      <c r="AIB6" s="5">
        <v>4</v>
      </c>
      <c r="AIC6" s="7">
        <f t="shared" si="289"/>
        <v>0</v>
      </c>
      <c r="AIE6" s="24">
        <v>24</v>
      </c>
      <c r="AIF6" s="6" t="s">
        <v>20</v>
      </c>
      <c r="AIG6" s="24">
        <v>10</v>
      </c>
      <c r="AIH6" s="6" t="s">
        <v>20</v>
      </c>
      <c r="AII6" s="5">
        <f t="shared" si="290"/>
        <v>34</v>
      </c>
      <c r="AIJ6" s="3"/>
      <c r="AIK6" s="7">
        <f t="shared" si="92"/>
        <v>1</v>
      </c>
      <c r="AIL6" s="5">
        <v>1</v>
      </c>
      <c r="AIM6" s="7">
        <f t="shared" si="291"/>
        <v>0</v>
      </c>
      <c r="AIO6" s="24">
        <v>24</v>
      </c>
      <c r="AIP6" s="6" t="s">
        <v>20</v>
      </c>
      <c r="AIQ6" s="24">
        <v>9</v>
      </c>
      <c r="AIR6" s="6" t="s">
        <v>20</v>
      </c>
      <c r="AIS6" s="5">
        <f t="shared" si="292"/>
        <v>33</v>
      </c>
      <c r="AIT6" s="3"/>
      <c r="AIU6" s="7">
        <f t="shared" si="93"/>
        <v>1</v>
      </c>
      <c r="AIV6" s="5">
        <v>1</v>
      </c>
      <c r="AIW6" s="7">
        <f t="shared" si="293"/>
        <v>0</v>
      </c>
      <c r="AIY6" s="24">
        <v>24</v>
      </c>
      <c r="AIZ6" s="6" t="s">
        <v>20</v>
      </c>
      <c r="AJA6" s="24">
        <v>9</v>
      </c>
      <c r="AJB6" s="6" t="s">
        <v>20</v>
      </c>
      <c r="AJC6" s="5">
        <f t="shared" si="294"/>
        <v>33</v>
      </c>
      <c r="AJD6" s="3"/>
      <c r="AJE6" s="7">
        <f t="shared" si="94"/>
        <v>0</v>
      </c>
      <c r="AJF6" s="5"/>
      <c r="AJG6" s="7" t="str">
        <f t="shared" si="295"/>
        <v/>
      </c>
      <c r="AJI6" s="2">
        <v>24</v>
      </c>
      <c r="AJJ6" s="6" t="s">
        <v>20</v>
      </c>
      <c r="AJK6" s="2">
        <v>9</v>
      </c>
      <c r="AJL6" s="6" t="s">
        <v>20</v>
      </c>
      <c r="AJM6" s="5">
        <f t="shared" si="296"/>
        <v>33</v>
      </c>
      <c r="AJN6" s="3">
        <v>-1</v>
      </c>
      <c r="AJO6" s="7">
        <f t="shared" si="95"/>
        <v>0</v>
      </c>
      <c r="AJP6" s="5"/>
      <c r="AJQ6" s="7" t="str">
        <f t="shared" si="297"/>
        <v/>
      </c>
      <c r="AJS6" s="24"/>
      <c r="AJT6" s="6" t="s">
        <v>20</v>
      </c>
      <c r="AJU6" s="24">
        <v>9</v>
      </c>
      <c r="AJV6" s="6" t="s">
        <v>20</v>
      </c>
      <c r="AJW6" s="5">
        <f t="shared" si="298"/>
        <v>9</v>
      </c>
      <c r="AJX6" s="3"/>
      <c r="AJY6" s="7">
        <f t="shared" si="96"/>
        <v>0</v>
      </c>
      <c r="AJZ6" s="5"/>
      <c r="AKA6" s="7" t="str">
        <f t="shared" si="299"/>
        <v/>
      </c>
      <c r="AKC6" s="2"/>
      <c r="AKD6" s="6" t="s">
        <v>20</v>
      </c>
      <c r="AKE6" s="2">
        <v>7</v>
      </c>
      <c r="AKF6" s="6" t="s">
        <v>20</v>
      </c>
      <c r="AKG6" s="5">
        <f t="shared" si="300"/>
        <v>7</v>
      </c>
      <c r="AKH6" s="3"/>
      <c r="AKI6" s="7">
        <f t="shared" si="97"/>
        <v>2</v>
      </c>
      <c r="AKJ6" s="5">
        <v>2</v>
      </c>
      <c r="AKK6" s="7">
        <f t="shared" si="301"/>
        <v>0</v>
      </c>
      <c r="AKM6" s="24"/>
      <c r="AKN6" s="6" t="s">
        <v>20</v>
      </c>
      <c r="AKO6" s="24">
        <v>7</v>
      </c>
      <c r="AKP6" s="6" t="s">
        <v>20</v>
      </c>
      <c r="AKQ6" s="5">
        <f t="shared" si="302"/>
        <v>7</v>
      </c>
      <c r="AKR6" s="3"/>
      <c r="AKS6" s="7">
        <f t="shared" si="98"/>
        <v>0</v>
      </c>
      <c r="AKT6" s="5"/>
      <c r="AKU6" s="7" t="str">
        <f t="shared" si="303"/>
        <v/>
      </c>
      <c r="AKW6" s="2"/>
      <c r="AKX6" s="6" t="s">
        <v>20</v>
      </c>
      <c r="AKY6" s="2">
        <v>6</v>
      </c>
      <c r="AKZ6" s="6" t="s">
        <v>20</v>
      </c>
      <c r="ALA6" s="5">
        <f t="shared" si="304"/>
        <v>6</v>
      </c>
      <c r="ALB6" s="3"/>
      <c r="ALC6" s="7">
        <f t="shared" si="99"/>
        <v>1</v>
      </c>
      <c r="ALD6" s="5">
        <v>1</v>
      </c>
      <c r="ALE6" s="7">
        <f t="shared" si="305"/>
        <v>0</v>
      </c>
      <c r="ALG6" s="2"/>
      <c r="ALH6" s="6" t="s">
        <v>20</v>
      </c>
      <c r="ALI6" s="2">
        <v>6</v>
      </c>
      <c r="ALJ6" s="6" t="s">
        <v>20</v>
      </c>
      <c r="ALK6" s="5">
        <f t="shared" si="306"/>
        <v>6</v>
      </c>
      <c r="ALL6" s="3"/>
      <c r="ALM6" s="7">
        <f t="shared" si="100"/>
        <v>0</v>
      </c>
      <c r="ALN6" s="5"/>
      <c r="ALO6" s="7" t="str">
        <f t="shared" si="307"/>
        <v/>
      </c>
      <c r="ALQ6" s="24"/>
      <c r="ALR6" s="6" t="s">
        <v>20</v>
      </c>
      <c r="ALS6" s="24">
        <v>1</v>
      </c>
      <c r="ALT6" s="6" t="s">
        <v>20</v>
      </c>
      <c r="ALU6" s="5">
        <f t="shared" si="308"/>
        <v>1</v>
      </c>
      <c r="ALV6" s="3"/>
      <c r="ALW6" s="7">
        <f t="shared" si="101"/>
        <v>5</v>
      </c>
      <c r="ALX6" s="5">
        <v>5</v>
      </c>
      <c r="ALY6" s="7">
        <f t="shared" si="309"/>
        <v>0</v>
      </c>
      <c r="AMA6" s="24" t="s">
        <v>88</v>
      </c>
      <c r="AMB6" s="6" t="s">
        <v>20</v>
      </c>
      <c r="AMC6" s="24">
        <v>1</v>
      </c>
      <c r="AMD6" s="6" t="s">
        <v>20</v>
      </c>
      <c r="AME6" s="5">
        <f t="shared" si="310"/>
        <v>1</v>
      </c>
      <c r="AMF6" s="3">
        <v>1</v>
      </c>
      <c r="AMG6" s="7">
        <f t="shared" si="102"/>
        <v>0</v>
      </c>
      <c r="AMH6" s="5"/>
      <c r="AMI6" s="7" t="str">
        <f t="shared" si="311"/>
        <v/>
      </c>
      <c r="AMK6" s="24">
        <v>24</v>
      </c>
      <c r="AML6" s="6" t="s">
        <v>20</v>
      </c>
      <c r="AMM6" s="24">
        <v>1</v>
      </c>
      <c r="AMN6" s="6" t="s">
        <v>20</v>
      </c>
      <c r="AMO6" s="5">
        <f t="shared" si="312"/>
        <v>25</v>
      </c>
      <c r="AMP6" s="3"/>
      <c r="AMQ6" s="7">
        <f t="shared" si="103"/>
        <v>0</v>
      </c>
      <c r="AMR6" s="5"/>
      <c r="AMS6" s="7" t="str">
        <f t="shared" si="313"/>
        <v/>
      </c>
      <c r="AMU6" s="2">
        <v>24</v>
      </c>
      <c r="AMV6" s="6" t="s">
        <v>20</v>
      </c>
      <c r="AMW6" s="2">
        <v>0</v>
      </c>
      <c r="AMX6" s="6" t="s">
        <v>20</v>
      </c>
      <c r="AMY6" s="5">
        <f t="shared" si="314"/>
        <v>24</v>
      </c>
      <c r="AMZ6" s="3"/>
      <c r="ANA6" s="7">
        <f t="shared" si="104"/>
        <v>1</v>
      </c>
      <c r="ANB6" s="5">
        <v>1</v>
      </c>
      <c r="ANC6" s="7">
        <f t="shared" si="315"/>
        <v>0</v>
      </c>
      <c r="ANE6" s="2">
        <v>19</v>
      </c>
      <c r="ANF6" s="6" t="s">
        <v>20</v>
      </c>
      <c r="ANG6" s="2">
        <v>4</v>
      </c>
      <c r="ANH6" s="6" t="s">
        <v>20</v>
      </c>
      <c r="ANI6" s="5">
        <f t="shared" si="316"/>
        <v>23</v>
      </c>
      <c r="ANJ6" s="3"/>
      <c r="ANK6" s="7">
        <f t="shared" si="105"/>
        <v>1</v>
      </c>
      <c r="ANL6" s="5">
        <v>1</v>
      </c>
      <c r="ANM6" s="7">
        <f t="shared" si="317"/>
        <v>0</v>
      </c>
      <c r="ANO6" s="24">
        <v>19</v>
      </c>
      <c r="ANP6" s="6" t="s">
        <v>20</v>
      </c>
      <c r="ANQ6" s="24">
        <v>4</v>
      </c>
      <c r="ANR6" s="6" t="s">
        <v>20</v>
      </c>
      <c r="ANS6" s="5">
        <f t="shared" si="318"/>
        <v>23</v>
      </c>
      <c r="ANT6" s="3"/>
      <c r="ANU6" s="7">
        <f t="shared" si="106"/>
        <v>0</v>
      </c>
      <c r="ANV6" s="5"/>
      <c r="ANW6" s="7" t="str">
        <f t="shared" si="319"/>
        <v/>
      </c>
      <c r="ANY6" s="24">
        <v>12</v>
      </c>
      <c r="ANZ6" s="6" t="s">
        <v>20</v>
      </c>
      <c r="AOA6" s="24">
        <v>11</v>
      </c>
      <c r="AOB6" s="6" t="s">
        <v>20</v>
      </c>
      <c r="AOC6" s="5">
        <f t="shared" si="320"/>
        <v>23</v>
      </c>
      <c r="AOD6" s="3"/>
      <c r="AOE6" s="7">
        <f t="shared" si="107"/>
        <v>0</v>
      </c>
      <c r="AOF6" s="5"/>
      <c r="AOG6" s="7" t="str">
        <f t="shared" si="321"/>
        <v/>
      </c>
      <c r="AOI6" s="24">
        <v>12</v>
      </c>
      <c r="AOJ6" s="6" t="s">
        <v>20</v>
      </c>
      <c r="AOK6" s="24">
        <v>11</v>
      </c>
      <c r="AOL6" s="6" t="s">
        <v>20</v>
      </c>
      <c r="AOM6" s="5">
        <f t="shared" si="322"/>
        <v>23</v>
      </c>
      <c r="AON6" s="3"/>
      <c r="AOO6" s="7">
        <f t="shared" si="108"/>
        <v>0</v>
      </c>
      <c r="AOP6" s="5"/>
      <c r="AOQ6" s="7" t="str">
        <f t="shared" si="323"/>
        <v/>
      </c>
      <c r="AOS6" s="2"/>
      <c r="AOT6" s="6" t="s">
        <v>20</v>
      </c>
      <c r="AOU6" s="2">
        <v>23</v>
      </c>
      <c r="AOV6" s="6" t="s">
        <v>20</v>
      </c>
      <c r="AOW6" s="5">
        <f t="shared" si="324"/>
        <v>23</v>
      </c>
      <c r="AOX6" s="3"/>
      <c r="AOY6" s="7">
        <f t="shared" si="109"/>
        <v>0</v>
      </c>
      <c r="AOZ6" s="5"/>
      <c r="APA6" s="7" t="str">
        <f t="shared" si="325"/>
        <v/>
      </c>
    </row>
    <row r="7" spans="1:1093" ht="12.75" customHeight="1" x14ac:dyDescent="0.2">
      <c r="A7" s="22" t="s">
        <v>24</v>
      </c>
      <c r="B7" s="13" t="s">
        <v>19</v>
      </c>
      <c r="C7" s="13">
        <v>0</v>
      </c>
      <c r="E7" s="24"/>
      <c r="F7" s="6" t="s">
        <v>20</v>
      </c>
      <c r="G7" s="24">
        <v>12</v>
      </c>
      <c r="H7" s="6" t="s">
        <v>20</v>
      </c>
      <c r="I7" s="5">
        <f t="shared" si="110"/>
        <v>12</v>
      </c>
      <c r="J7" s="3"/>
      <c r="K7" s="7"/>
      <c r="L7" s="5"/>
      <c r="M7" s="7" t="str">
        <f t="shared" si="111"/>
        <v/>
      </c>
      <c r="O7" s="24"/>
      <c r="P7" s="6" t="s">
        <v>20</v>
      </c>
      <c r="Q7" s="24">
        <v>8</v>
      </c>
      <c r="R7" s="6" t="s">
        <v>20</v>
      </c>
      <c r="S7" s="5">
        <f t="shared" si="112"/>
        <v>8</v>
      </c>
      <c r="T7" s="3"/>
      <c r="U7" s="7">
        <f t="shared" si="0"/>
        <v>4</v>
      </c>
      <c r="V7" s="5">
        <v>5</v>
      </c>
      <c r="W7" s="7">
        <f t="shared" si="113"/>
        <v>1</v>
      </c>
      <c r="Y7" s="24"/>
      <c r="Z7" s="6" t="s">
        <v>20</v>
      </c>
      <c r="AA7" s="24">
        <v>8</v>
      </c>
      <c r="AB7" s="6" t="s">
        <v>20</v>
      </c>
      <c r="AC7" s="5">
        <f t="shared" si="114"/>
        <v>8</v>
      </c>
      <c r="AD7" s="3"/>
      <c r="AE7" s="7">
        <f t="shared" si="1"/>
        <v>0</v>
      </c>
      <c r="AF7" s="5"/>
      <c r="AG7" s="7" t="str">
        <f t="shared" si="115"/>
        <v/>
      </c>
      <c r="AI7" s="24">
        <v>1</v>
      </c>
      <c r="AJ7" s="6" t="s">
        <v>20</v>
      </c>
      <c r="AK7" s="24">
        <v>5</v>
      </c>
      <c r="AL7" s="6" t="s">
        <v>20</v>
      </c>
      <c r="AM7" s="5">
        <f t="shared" si="116"/>
        <v>6</v>
      </c>
      <c r="AN7" s="3">
        <v>2</v>
      </c>
      <c r="AO7" s="7">
        <f t="shared" si="2"/>
        <v>2</v>
      </c>
      <c r="AP7" s="5">
        <v>4</v>
      </c>
      <c r="AQ7" s="7">
        <f t="shared" si="117"/>
        <v>2</v>
      </c>
      <c r="AS7" s="24">
        <v>13</v>
      </c>
      <c r="AT7" s="6" t="s">
        <v>20</v>
      </c>
      <c r="AU7" s="24">
        <v>11</v>
      </c>
      <c r="AV7" s="6" t="s">
        <v>20</v>
      </c>
      <c r="AW7" s="5">
        <f t="shared" si="118"/>
        <v>24</v>
      </c>
      <c r="AX7" s="3"/>
      <c r="AY7" s="7">
        <f t="shared" si="3"/>
        <v>30</v>
      </c>
      <c r="AZ7" s="5">
        <v>3</v>
      </c>
      <c r="BA7" s="7">
        <f t="shared" si="119"/>
        <v>-27</v>
      </c>
      <c r="BC7" s="2">
        <v>13</v>
      </c>
      <c r="BD7" s="6" t="s">
        <v>20</v>
      </c>
      <c r="BE7" s="2">
        <v>8</v>
      </c>
      <c r="BF7" s="6" t="s">
        <v>20</v>
      </c>
      <c r="BG7" s="5">
        <f t="shared" si="120"/>
        <v>21</v>
      </c>
      <c r="BH7" s="3"/>
      <c r="BI7" s="7">
        <f t="shared" si="4"/>
        <v>3</v>
      </c>
      <c r="BJ7" s="5">
        <v>4</v>
      </c>
      <c r="BK7" s="7">
        <f t="shared" si="121"/>
        <v>1</v>
      </c>
      <c r="BM7" s="2">
        <v>13</v>
      </c>
      <c r="BN7" s="6" t="s">
        <v>20</v>
      </c>
      <c r="BO7" s="2">
        <v>7</v>
      </c>
      <c r="BP7" s="6" t="s">
        <v>20</v>
      </c>
      <c r="BQ7" s="5">
        <f t="shared" si="122"/>
        <v>20</v>
      </c>
      <c r="BR7" s="3"/>
      <c r="BS7" s="7"/>
      <c r="BT7" s="5"/>
      <c r="BU7" s="7" t="str">
        <f t="shared" si="123"/>
        <v/>
      </c>
      <c r="BW7" s="24">
        <v>13</v>
      </c>
      <c r="BX7" s="6" t="s">
        <v>20</v>
      </c>
      <c r="BY7" s="24">
        <v>6</v>
      </c>
      <c r="BZ7" s="6" t="s">
        <v>20</v>
      </c>
      <c r="CA7" s="5">
        <f t="shared" si="124"/>
        <v>19</v>
      </c>
      <c r="CB7" s="3"/>
      <c r="CC7" s="7">
        <f t="shared" si="6"/>
        <v>1</v>
      </c>
      <c r="CD7" s="5">
        <v>3</v>
      </c>
      <c r="CE7" s="7">
        <f t="shared" si="125"/>
        <v>2</v>
      </c>
      <c r="CG7" s="24">
        <v>9</v>
      </c>
      <c r="CH7" s="6" t="s">
        <v>20</v>
      </c>
      <c r="CI7" s="24">
        <v>10</v>
      </c>
      <c r="CJ7" s="6" t="s">
        <v>20</v>
      </c>
      <c r="CK7" s="5">
        <f t="shared" si="126"/>
        <v>19</v>
      </c>
      <c r="CL7" s="3"/>
      <c r="CM7" s="7">
        <f t="shared" si="7"/>
        <v>0</v>
      </c>
      <c r="CN7" s="5"/>
      <c r="CO7" s="7" t="str">
        <f t="shared" si="127"/>
        <v/>
      </c>
      <c r="CQ7" s="24">
        <v>7</v>
      </c>
      <c r="CR7" s="6" t="s">
        <v>20</v>
      </c>
      <c r="CS7" s="24">
        <v>8</v>
      </c>
      <c r="CT7" s="6" t="s">
        <v>20</v>
      </c>
      <c r="CU7" s="5">
        <f t="shared" si="128"/>
        <v>15</v>
      </c>
      <c r="CV7" s="3"/>
      <c r="CW7" s="7">
        <f t="shared" si="8"/>
        <v>4</v>
      </c>
      <c r="CX7" s="5">
        <v>3</v>
      </c>
      <c r="CY7" s="7">
        <f t="shared" si="129"/>
        <v>-1</v>
      </c>
      <c r="DA7" s="24">
        <v>7</v>
      </c>
      <c r="DB7" s="6" t="s">
        <v>20</v>
      </c>
      <c r="DC7" s="24">
        <v>7</v>
      </c>
      <c r="DD7" s="6" t="s">
        <v>20</v>
      </c>
      <c r="DE7" s="5">
        <f t="shared" si="130"/>
        <v>14</v>
      </c>
      <c r="DF7" s="3"/>
      <c r="DG7" s="7">
        <f t="shared" si="9"/>
        <v>1</v>
      </c>
      <c r="DH7" s="5">
        <v>2</v>
      </c>
      <c r="DI7" s="7">
        <f t="shared" si="131"/>
        <v>1</v>
      </c>
      <c r="DK7" s="24">
        <v>7</v>
      </c>
      <c r="DL7" s="6" t="s">
        <v>20</v>
      </c>
      <c r="DM7" s="24">
        <v>7</v>
      </c>
      <c r="DN7" s="6" t="s">
        <v>20</v>
      </c>
      <c r="DO7" s="5">
        <f t="shared" si="132"/>
        <v>14</v>
      </c>
      <c r="DP7" s="3"/>
      <c r="DQ7" s="7">
        <f t="shared" si="10"/>
        <v>0</v>
      </c>
      <c r="DR7" s="5">
        <v>2</v>
      </c>
      <c r="DS7" s="7">
        <f t="shared" si="133"/>
        <v>2</v>
      </c>
      <c r="DU7" s="24">
        <v>7</v>
      </c>
      <c r="DV7" s="6" t="s">
        <v>20</v>
      </c>
      <c r="DW7" s="24">
        <v>7</v>
      </c>
      <c r="DX7" s="6" t="s">
        <v>20</v>
      </c>
      <c r="DY7" s="5">
        <f t="shared" si="134"/>
        <v>14</v>
      </c>
      <c r="DZ7" s="3"/>
      <c r="EA7" s="7">
        <f t="shared" si="11"/>
        <v>0</v>
      </c>
      <c r="EB7" s="5"/>
      <c r="EC7" s="7" t="str">
        <f t="shared" si="135"/>
        <v/>
      </c>
      <c r="EE7" s="24">
        <v>1</v>
      </c>
      <c r="EF7" s="6" t="s">
        <v>20</v>
      </c>
      <c r="EG7" s="24">
        <v>9</v>
      </c>
      <c r="EH7" s="6" t="s">
        <v>20</v>
      </c>
      <c r="EI7" s="5">
        <f t="shared" si="136"/>
        <v>10</v>
      </c>
      <c r="EJ7" s="3"/>
      <c r="EK7" s="7">
        <f t="shared" si="12"/>
        <v>4</v>
      </c>
      <c r="EL7" s="5">
        <v>5</v>
      </c>
      <c r="EM7" s="7">
        <f t="shared" si="137"/>
        <v>1</v>
      </c>
      <c r="EO7" s="24">
        <v>1</v>
      </c>
      <c r="EP7" s="6" t="s">
        <v>20</v>
      </c>
      <c r="EQ7" s="24">
        <v>9</v>
      </c>
      <c r="ER7" s="6" t="s">
        <v>20</v>
      </c>
      <c r="ES7" s="5">
        <f t="shared" si="138"/>
        <v>10</v>
      </c>
      <c r="ET7" s="3">
        <v>2</v>
      </c>
      <c r="EU7" s="7">
        <f t="shared" si="13"/>
        <v>0</v>
      </c>
      <c r="EV7" s="5"/>
      <c r="EW7" s="7" t="str">
        <f t="shared" si="139"/>
        <v/>
      </c>
      <c r="EY7" s="24">
        <v>1</v>
      </c>
      <c r="EZ7" s="6" t="s">
        <v>20</v>
      </c>
      <c r="FA7" s="24">
        <v>9</v>
      </c>
      <c r="FB7" s="6" t="s">
        <v>20</v>
      </c>
      <c r="FC7" s="5">
        <f t="shared" si="140"/>
        <v>10</v>
      </c>
      <c r="FD7" s="3"/>
      <c r="FE7" s="7">
        <f t="shared" si="14"/>
        <v>48</v>
      </c>
      <c r="FF7" s="5"/>
      <c r="FG7" s="7" t="str">
        <f t="shared" si="141"/>
        <v/>
      </c>
      <c r="FI7" s="24">
        <v>1</v>
      </c>
      <c r="FJ7" s="6" t="s">
        <v>20</v>
      </c>
      <c r="FK7" s="24">
        <v>9</v>
      </c>
      <c r="FL7" s="6" t="s">
        <v>20</v>
      </c>
      <c r="FM7" s="5">
        <f t="shared" si="142"/>
        <v>10</v>
      </c>
      <c r="FN7" s="3"/>
      <c r="FO7" s="7">
        <f t="shared" si="15"/>
        <v>0</v>
      </c>
      <c r="FP7" s="5"/>
      <c r="FQ7" s="7" t="str">
        <f t="shared" si="143"/>
        <v/>
      </c>
      <c r="FS7" s="24">
        <v>1</v>
      </c>
      <c r="FT7" s="6" t="s">
        <v>20</v>
      </c>
      <c r="FU7" s="24">
        <v>7</v>
      </c>
      <c r="FV7" s="6" t="s">
        <v>20</v>
      </c>
      <c r="FW7" s="5">
        <f t="shared" si="144"/>
        <v>8</v>
      </c>
      <c r="FX7" s="3">
        <v>2</v>
      </c>
      <c r="FY7" s="7">
        <f t="shared" si="16"/>
        <v>2</v>
      </c>
      <c r="FZ7" s="5">
        <v>3</v>
      </c>
      <c r="GA7" s="7">
        <f t="shared" si="145"/>
        <v>1</v>
      </c>
      <c r="GC7" s="24">
        <v>25</v>
      </c>
      <c r="GD7" s="6" t="s">
        <v>20</v>
      </c>
      <c r="GE7" s="24">
        <v>6</v>
      </c>
      <c r="GF7" s="6" t="s">
        <v>20</v>
      </c>
      <c r="GG7" s="5">
        <f t="shared" si="146"/>
        <v>31</v>
      </c>
      <c r="GH7" s="3"/>
      <c r="GI7" s="7">
        <f t="shared" si="17"/>
        <v>25</v>
      </c>
      <c r="GJ7" s="5">
        <v>1</v>
      </c>
      <c r="GK7" s="7">
        <f t="shared" si="147"/>
        <v>-24</v>
      </c>
      <c r="GM7" s="24">
        <v>25</v>
      </c>
      <c r="GN7" s="6" t="s">
        <v>20</v>
      </c>
      <c r="GO7" s="24">
        <v>6</v>
      </c>
      <c r="GP7" s="6" t="s">
        <v>20</v>
      </c>
      <c r="GQ7" s="5">
        <f t="shared" si="148"/>
        <v>31</v>
      </c>
      <c r="GR7" s="3"/>
      <c r="GS7" s="7">
        <f t="shared" si="18"/>
        <v>0</v>
      </c>
      <c r="GT7" s="5">
        <v>2</v>
      </c>
      <c r="GU7" s="7">
        <f t="shared" si="149"/>
        <v>2</v>
      </c>
      <c r="GW7" s="24">
        <v>21</v>
      </c>
      <c r="GX7" s="6" t="s">
        <v>20</v>
      </c>
      <c r="GY7" s="24">
        <v>7</v>
      </c>
      <c r="GZ7" s="6" t="s">
        <v>20</v>
      </c>
      <c r="HA7" s="5">
        <f t="shared" si="150"/>
        <v>28</v>
      </c>
      <c r="HB7" s="3"/>
      <c r="HC7" s="7">
        <f t="shared" si="19"/>
        <v>3</v>
      </c>
      <c r="HD7" s="5">
        <v>4</v>
      </c>
      <c r="HE7" s="7">
        <f t="shared" si="151"/>
        <v>1</v>
      </c>
      <c r="HG7" s="24">
        <v>13</v>
      </c>
      <c r="HH7" s="6" t="s">
        <v>20</v>
      </c>
      <c r="HI7" s="24">
        <v>9</v>
      </c>
      <c r="HJ7" s="6" t="s">
        <v>20</v>
      </c>
      <c r="HK7" s="5">
        <f t="shared" si="152"/>
        <v>22</v>
      </c>
      <c r="HL7" s="3"/>
      <c r="HM7" s="7">
        <f t="shared" si="20"/>
        <v>6</v>
      </c>
      <c r="HN7" s="5">
        <v>7</v>
      </c>
      <c r="HO7" s="7">
        <f t="shared" si="153"/>
        <v>1</v>
      </c>
      <c r="HQ7" s="24">
        <v>7</v>
      </c>
      <c r="HR7" s="6" t="s">
        <v>20</v>
      </c>
      <c r="HS7" s="24">
        <v>7</v>
      </c>
      <c r="HT7" s="6" t="s">
        <v>20</v>
      </c>
      <c r="HU7" s="5">
        <f t="shared" si="154"/>
        <v>14</v>
      </c>
      <c r="HV7" s="3"/>
      <c r="HW7" s="7">
        <f t="shared" si="21"/>
        <v>8</v>
      </c>
      <c r="HX7" s="5">
        <v>9</v>
      </c>
      <c r="HY7" s="7">
        <f t="shared" si="155"/>
        <v>1</v>
      </c>
      <c r="IA7" s="24">
        <v>1</v>
      </c>
      <c r="IB7" s="6" t="s">
        <v>20</v>
      </c>
      <c r="IC7" s="24">
        <v>13</v>
      </c>
      <c r="ID7" s="6" t="s">
        <v>20</v>
      </c>
      <c r="IE7" s="5">
        <f t="shared" si="156"/>
        <v>14</v>
      </c>
      <c r="IF7" s="3"/>
      <c r="IG7" s="7">
        <f t="shared" si="22"/>
        <v>0</v>
      </c>
      <c r="IH7" s="5"/>
      <c r="II7" s="7" t="str">
        <f t="shared" si="157"/>
        <v/>
      </c>
      <c r="IK7" s="24">
        <v>1</v>
      </c>
      <c r="IL7" s="6" t="s">
        <v>20</v>
      </c>
      <c r="IM7" s="24">
        <v>12</v>
      </c>
      <c r="IN7" s="6" t="s">
        <v>20</v>
      </c>
      <c r="IO7" s="5">
        <f t="shared" si="158"/>
        <v>13</v>
      </c>
      <c r="IP7" s="3"/>
      <c r="IQ7" s="7">
        <f t="shared" si="23"/>
        <v>1</v>
      </c>
      <c r="IR7" s="5">
        <v>2</v>
      </c>
      <c r="IS7" s="7">
        <f t="shared" si="159"/>
        <v>1</v>
      </c>
      <c r="IU7" s="24">
        <v>1</v>
      </c>
      <c r="IV7" s="6" t="s">
        <v>20</v>
      </c>
      <c r="IW7" s="24">
        <v>12</v>
      </c>
      <c r="IX7" s="6" t="s">
        <v>20</v>
      </c>
      <c r="IY7" s="5">
        <f t="shared" si="160"/>
        <v>13</v>
      </c>
      <c r="IZ7" s="3"/>
      <c r="JA7" s="7">
        <f t="shared" si="24"/>
        <v>0</v>
      </c>
      <c r="JB7" s="5"/>
      <c r="JC7" s="7" t="str">
        <f t="shared" si="161"/>
        <v/>
      </c>
      <c r="JE7" s="24">
        <v>1</v>
      </c>
      <c r="JF7" s="6" t="s">
        <v>20</v>
      </c>
      <c r="JG7" s="24">
        <v>10</v>
      </c>
      <c r="JH7" s="6" t="s">
        <v>20</v>
      </c>
      <c r="JI7" s="5">
        <f t="shared" si="162"/>
        <v>11</v>
      </c>
      <c r="JJ7" s="3"/>
      <c r="JK7" s="7">
        <f t="shared" si="25"/>
        <v>2</v>
      </c>
      <c r="JL7" s="5">
        <v>3</v>
      </c>
      <c r="JM7" s="7">
        <f t="shared" si="163"/>
        <v>1</v>
      </c>
      <c r="JO7" s="24">
        <v>1</v>
      </c>
      <c r="JP7" s="6" t="s">
        <v>20</v>
      </c>
      <c r="JQ7" s="24">
        <v>9</v>
      </c>
      <c r="JR7" s="6" t="s">
        <v>20</v>
      </c>
      <c r="JS7" s="5">
        <f t="shared" si="164"/>
        <v>10</v>
      </c>
      <c r="JT7" s="3"/>
      <c r="JU7" s="7">
        <f t="shared" si="26"/>
        <v>1</v>
      </c>
      <c r="JV7" s="5">
        <v>2</v>
      </c>
      <c r="JW7" s="7">
        <f t="shared" si="165"/>
        <v>1</v>
      </c>
      <c r="JY7" s="24">
        <v>1</v>
      </c>
      <c r="JZ7" s="6" t="s">
        <v>20</v>
      </c>
      <c r="KA7" s="24">
        <v>8</v>
      </c>
      <c r="KB7" s="6" t="s">
        <v>20</v>
      </c>
      <c r="KC7" s="5">
        <f t="shared" si="166"/>
        <v>9</v>
      </c>
      <c r="KD7" s="3"/>
      <c r="KE7" s="7">
        <f t="shared" si="27"/>
        <v>1</v>
      </c>
      <c r="KF7" s="5"/>
      <c r="KG7" s="7" t="str">
        <f t="shared" si="167"/>
        <v/>
      </c>
      <c r="KI7" s="24">
        <v>1</v>
      </c>
      <c r="KJ7" s="6" t="s">
        <v>20</v>
      </c>
      <c r="KK7" s="24">
        <v>8</v>
      </c>
      <c r="KL7" s="6" t="s">
        <v>20</v>
      </c>
      <c r="KM7" s="5">
        <f t="shared" si="168"/>
        <v>9</v>
      </c>
      <c r="KN7" s="3"/>
      <c r="KO7" s="7">
        <f t="shared" si="28"/>
        <v>0</v>
      </c>
      <c r="KP7" s="5">
        <v>2</v>
      </c>
      <c r="KQ7" s="7">
        <f t="shared" si="169"/>
        <v>2</v>
      </c>
      <c r="KS7" s="24">
        <v>1</v>
      </c>
      <c r="KT7" s="6" t="s">
        <v>20</v>
      </c>
      <c r="KU7" s="24">
        <v>7</v>
      </c>
      <c r="KV7" s="6" t="s">
        <v>20</v>
      </c>
      <c r="KW7" s="5">
        <f t="shared" si="170"/>
        <v>8</v>
      </c>
      <c r="KX7" s="3">
        <v>2</v>
      </c>
      <c r="KY7" s="7">
        <f t="shared" si="29"/>
        <v>1</v>
      </c>
      <c r="KZ7" s="5">
        <v>2</v>
      </c>
      <c r="LA7" s="7">
        <f t="shared" si="171"/>
        <v>1</v>
      </c>
      <c r="LC7" s="24">
        <v>25</v>
      </c>
      <c r="LD7" s="6" t="s">
        <v>20</v>
      </c>
      <c r="LE7" s="24">
        <v>4</v>
      </c>
      <c r="LF7" s="6" t="s">
        <v>20</v>
      </c>
      <c r="LG7" s="5">
        <f t="shared" si="172"/>
        <v>29</v>
      </c>
      <c r="LH7" s="3"/>
      <c r="LI7" s="7">
        <f t="shared" si="30"/>
        <v>27</v>
      </c>
      <c r="LJ7" s="5">
        <v>4</v>
      </c>
      <c r="LK7" s="7">
        <f t="shared" si="173"/>
        <v>-23</v>
      </c>
      <c r="LM7" s="24">
        <v>13</v>
      </c>
      <c r="LN7" s="6" t="s">
        <v>20</v>
      </c>
      <c r="LO7" s="24">
        <v>16</v>
      </c>
      <c r="LP7" s="6" t="s">
        <v>20</v>
      </c>
      <c r="LQ7" s="5">
        <f t="shared" si="174"/>
        <v>29</v>
      </c>
      <c r="LR7" s="3"/>
      <c r="LS7" s="7">
        <f t="shared" si="31"/>
        <v>0</v>
      </c>
      <c r="LT7" s="5"/>
      <c r="LU7" s="7" t="str">
        <f t="shared" si="175"/>
        <v/>
      </c>
      <c r="LW7" s="24">
        <v>13</v>
      </c>
      <c r="LX7" s="6" t="s">
        <v>20</v>
      </c>
      <c r="LY7" s="24">
        <v>16</v>
      </c>
      <c r="LZ7" s="6" t="s">
        <v>20</v>
      </c>
      <c r="MA7" s="5">
        <f t="shared" si="176"/>
        <v>29</v>
      </c>
      <c r="MB7" s="3"/>
      <c r="MC7" s="7">
        <f t="shared" si="32"/>
        <v>0</v>
      </c>
      <c r="MD7" s="5"/>
      <c r="ME7" s="7" t="str">
        <f t="shared" si="177"/>
        <v/>
      </c>
      <c r="MG7" s="24">
        <v>13</v>
      </c>
      <c r="MH7" s="6" t="s">
        <v>20</v>
      </c>
      <c r="MI7" s="24">
        <v>16</v>
      </c>
      <c r="MJ7" s="6" t="s">
        <v>20</v>
      </c>
      <c r="MK7" s="5">
        <f t="shared" si="178"/>
        <v>29</v>
      </c>
      <c r="ML7" s="3"/>
      <c r="MM7" s="7">
        <f t="shared" si="33"/>
        <v>0</v>
      </c>
      <c r="MN7" s="5"/>
      <c r="MO7" s="7" t="str">
        <f t="shared" si="179"/>
        <v/>
      </c>
      <c r="MQ7" s="2">
        <v>13</v>
      </c>
      <c r="MR7" s="6" t="s">
        <v>20</v>
      </c>
      <c r="MS7" s="2">
        <v>16</v>
      </c>
      <c r="MT7" s="6" t="s">
        <v>20</v>
      </c>
      <c r="MU7" s="5">
        <f t="shared" si="180"/>
        <v>29</v>
      </c>
      <c r="MV7" s="3"/>
      <c r="MW7" s="7">
        <f t="shared" si="34"/>
        <v>0</v>
      </c>
      <c r="MX7" s="5">
        <v>2</v>
      </c>
      <c r="MY7" s="7">
        <f t="shared" si="181"/>
        <v>2</v>
      </c>
      <c r="NA7" s="24">
        <v>13</v>
      </c>
      <c r="NB7" s="6" t="s">
        <v>20</v>
      </c>
      <c r="NC7" s="24">
        <v>14</v>
      </c>
      <c r="ND7" s="6" t="s">
        <v>20</v>
      </c>
      <c r="NE7" s="5">
        <f t="shared" si="182"/>
        <v>27</v>
      </c>
      <c r="NF7" s="3"/>
      <c r="NG7" s="7">
        <f t="shared" si="35"/>
        <v>2</v>
      </c>
      <c r="NH7" s="5">
        <v>2</v>
      </c>
      <c r="NI7" s="7">
        <f t="shared" si="183"/>
        <v>0</v>
      </c>
      <c r="NK7" s="24">
        <v>13</v>
      </c>
      <c r="NL7" s="6" t="s">
        <v>20</v>
      </c>
      <c r="NM7" s="24">
        <v>14</v>
      </c>
      <c r="NN7" s="6" t="s">
        <v>20</v>
      </c>
      <c r="NO7" s="5">
        <f t="shared" si="184"/>
        <v>27</v>
      </c>
      <c r="NP7" s="3"/>
      <c r="NQ7" s="7">
        <f t="shared" si="36"/>
        <v>0</v>
      </c>
      <c r="NR7" s="5"/>
      <c r="NS7" s="7" t="str">
        <f t="shared" si="185"/>
        <v/>
      </c>
      <c r="NU7" s="24">
        <v>13</v>
      </c>
      <c r="NV7" s="6" t="s">
        <v>20</v>
      </c>
      <c r="NW7" s="24">
        <v>9</v>
      </c>
      <c r="NX7" s="6" t="s">
        <v>20</v>
      </c>
      <c r="NY7" s="5">
        <f t="shared" si="186"/>
        <v>22</v>
      </c>
      <c r="NZ7" s="3"/>
      <c r="OA7" s="7">
        <f t="shared" si="37"/>
        <v>5</v>
      </c>
      <c r="OB7" s="5">
        <v>6</v>
      </c>
      <c r="OC7" s="7">
        <f t="shared" si="187"/>
        <v>1</v>
      </c>
      <c r="OE7" s="2"/>
      <c r="OF7" s="6" t="s">
        <v>20</v>
      </c>
      <c r="OG7" s="2"/>
      <c r="OH7" s="6" t="s">
        <v>20</v>
      </c>
      <c r="OI7" s="5" t="str">
        <f t="shared" si="188"/>
        <v/>
      </c>
      <c r="OJ7" s="3"/>
      <c r="OK7" s="7" t="str">
        <f t="shared" si="38"/>
        <v/>
      </c>
      <c r="OL7" s="5"/>
      <c r="OM7" s="7" t="str">
        <f t="shared" si="189"/>
        <v/>
      </c>
      <c r="OO7" s="24"/>
      <c r="OP7" s="6" t="s">
        <v>20</v>
      </c>
      <c r="OQ7" s="24"/>
      <c r="OR7" s="6" t="s">
        <v>20</v>
      </c>
      <c r="OS7" s="5" t="str">
        <f t="shared" si="190"/>
        <v/>
      </c>
      <c r="OT7" s="3"/>
      <c r="OU7" s="7" t="str">
        <f t="shared" si="39"/>
        <v/>
      </c>
      <c r="OV7" s="5"/>
      <c r="OW7" s="7" t="str">
        <f t="shared" si="191"/>
        <v/>
      </c>
      <c r="OY7" s="24"/>
      <c r="OZ7" s="6" t="s">
        <v>20</v>
      </c>
      <c r="PA7" s="24"/>
      <c r="PB7" s="6" t="s">
        <v>20</v>
      </c>
      <c r="PC7" s="5" t="str">
        <f t="shared" si="192"/>
        <v/>
      </c>
      <c r="PD7" s="3" t="s">
        <v>25</v>
      </c>
      <c r="PE7" s="7" t="str">
        <f t="shared" si="40"/>
        <v/>
      </c>
      <c r="PF7" s="5"/>
      <c r="PG7" s="7" t="str">
        <f t="shared" si="193"/>
        <v/>
      </c>
      <c r="PI7" s="24">
        <v>0</v>
      </c>
      <c r="PJ7" s="6" t="s">
        <v>20</v>
      </c>
      <c r="PK7" s="24">
        <v>0</v>
      </c>
      <c r="PL7" s="6" t="s">
        <v>20</v>
      </c>
      <c r="PM7" s="5">
        <f t="shared" si="194"/>
        <v>0</v>
      </c>
      <c r="PN7" s="3">
        <v>1</v>
      </c>
      <c r="PO7" s="7" t="e">
        <f t="shared" si="41"/>
        <v>#VALUE!</v>
      </c>
      <c r="PP7" s="5"/>
      <c r="PQ7" s="7" t="str">
        <f t="shared" si="195"/>
        <v/>
      </c>
      <c r="PS7" s="2">
        <v>12</v>
      </c>
      <c r="PT7" s="6" t="s">
        <v>20</v>
      </c>
      <c r="PU7" s="2">
        <v>12</v>
      </c>
      <c r="PV7" s="6" t="s">
        <v>20</v>
      </c>
      <c r="PW7" s="5">
        <f t="shared" si="196"/>
        <v>24</v>
      </c>
      <c r="PX7" s="3"/>
      <c r="PY7" s="7">
        <f t="shared" si="42"/>
        <v>0</v>
      </c>
      <c r="PZ7" s="5"/>
      <c r="QA7" s="7" t="str">
        <f t="shared" si="197"/>
        <v/>
      </c>
      <c r="QC7" s="24">
        <v>12</v>
      </c>
      <c r="QD7" s="6" t="s">
        <v>20</v>
      </c>
      <c r="QE7" s="24">
        <v>12</v>
      </c>
      <c r="QF7" s="6" t="s">
        <v>20</v>
      </c>
      <c r="QG7" s="5">
        <f t="shared" si="198"/>
        <v>24</v>
      </c>
      <c r="QH7" s="3"/>
      <c r="QI7" s="7">
        <f t="shared" si="43"/>
        <v>0</v>
      </c>
      <c r="QJ7" s="5"/>
      <c r="QK7" s="7" t="str">
        <f t="shared" si="199"/>
        <v/>
      </c>
      <c r="QM7" s="24">
        <v>12</v>
      </c>
      <c r="QN7" s="6" t="s">
        <v>20</v>
      </c>
      <c r="QO7" s="24">
        <v>12</v>
      </c>
      <c r="QP7" s="6" t="s">
        <v>20</v>
      </c>
      <c r="QQ7" s="5">
        <f t="shared" si="200"/>
        <v>24</v>
      </c>
      <c r="QR7" s="3"/>
      <c r="QS7" s="7">
        <f t="shared" si="44"/>
        <v>0</v>
      </c>
      <c r="QT7" s="5"/>
      <c r="QU7" s="7" t="str">
        <f t="shared" si="201"/>
        <v/>
      </c>
      <c r="QW7" s="24">
        <v>12</v>
      </c>
      <c r="QX7" s="6" t="s">
        <v>20</v>
      </c>
      <c r="QY7" s="24">
        <v>12</v>
      </c>
      <c r="QZ7" s="6" t="s">
        <v>20</v>
      </c>
      <c r="RA7" s="5">
        <f t="shared" si="202"/>
        <v>24</v>
      </c>
      <c r="RB7" s="3"/>
      <c r="RC7" s="7">
        <f t="shared" si="45"/>
        <v>0</v>
      </c>
      <c r="RD7" s="5">
        <v>1</v>
      </c>
      <c r="RE7" s="7">
        <f t="shared" si="203"/>
        <v>1</v>
      </c>
      <c r="RG7" s="24">
        <v>12</v>
      </c>
      <c r="RH7" s="6" t="s">
        <v>20</v>
      </c>
      <c r="RI7" s="24">
        <v>11</v>
      </c>
      <c r="RJ7" s="6" t="s">
        <v>20</v>
      </c>
      <c r="RK7" s="5">
        <f t="shared" si="204"/>
        <v>23</v>
      </c>
      <c r="RL7" s="3"/>
      <c r="RM7" s="7">
        <f t="shared" si="46"/>
        <v>1</v>
      </c>
      <c r="RN7" s="5"/>
      <c r="RO7" s="7" t="str">
        <f t="shared" si="205"/>
        <v/>
      </c>
      <c r="RQ7" s="24">
        <v>12</v>
      </c>
      <c r="RR7" s="6" t="s">
        <v>20</v>
      </c>
      <c r="RS7" s="24">
        <v>11</v>
      </c>
      <c r="RT7" s="6" t="s">
        <v>20</v>
      </c>
      <c r="RU7" s="5">
        <f t="shared" si="206"/>
        <v>23</v>
      </c>
      <c r="RV7" s="3"/>
      <c r="RW7" s="7">
        <f t="shared" si="47"/>
        <v>0</v>
      </c>
      <c r="RX7" s="5"/>
      <c r="RY7" s="7" t="str">
        <f t="shared" si="207"/>
        <v/>
      </c>
      <c r="SA7" s="2">
        <v>12</v>
      </c>
      <c r="SB7" s="6" t="s">
        <v>20</v>
      </c>
      <c r="SC7" s="2">
        <v>11</v>
      </c>
      <c r="SD7" s="6" t="s">
        <v>20</v>
      </c>
      <c r="SE7" s="5">
        <f t="shared" si="208"/>
        <v>23</v>
      </c>
      <c r="SF7" s="3"/>
      <c r="SG7" s="7">
        <f t="shared" si="48"/>
        <v>0</v>
      </c>
      <c r="SH7" s="5"/>
      <c r="SI7" s="7" t="str">
        <f t="shared" si="209"/>
        <v/>
      </c>
      <c r="SK7" s="24">
        <v>12</v>
      </c>
      <c r="SL7" s="6" t="s">
        <v>20</v>
      </c>
      <c r="SM7" s="24">
        <v>11</v>
      </c>
      <c r="SN7" s="6" t="s">
        <v>20</v>
      </c>
      <c r="SO7" s="5">
        <f t="shared" si="210"/>
        <v>23</v>
      </c>
      <c r="SP7" s="3"/>
      <c r="SQ7" s="7">
        <f t="shared" si="49"/>
        <v>0</v>
      </c>
      <c r="SR7" s="5"/>
      <c r="SS7" s="7" t="str">
        <f t="shared" si="211"/>
        <v/>
      </c>
      <c r="SU7" s="24">
        <v>12</v>
      </c>
      <c r="SV7" s="6" t="s">
        <v>20</v>
      </c>
      <c r="SW7" s="24">
        <v>11</v>
      </c>
      <c r="SX7" s="6" t="s">
        <v>20</v>
      </c>
      <c r="SY7" s="5">
        <f t="shared" si="212"/>
        <v>23</v>
      </c>
      <c r="SZ7" s="3"/>
      <c r="TA7" s="7">
        <f t="shared" si="50"/>
        <v>0</v>
      </c>
      <c r="TB7" s="5"/>
      <c r="TC7" s="7" t="str">
        <f t="shared" si="213"/>
        <v/>
      </c>
      <c r="TE7" s="24">
        <v>12</v>
      </c>
      <c r="TF7" s="6" t="s">
        <v>20</v>
      </c>
      <c r="TG7" s="24">
        <v>11</v>
      </c>
      <c r="TH7" s="6" t="s">
        <v>20</v>
      </c>
      <c r="TI7" s="5">
        <f t="shared" si="214"/>
        <v>23</v>
      </c>
      <c r="TJ7" s="3"/>
      <c r="TK7" s="7">
        <f t="shared" si="51"/>
        <v>0</v>
      </c>
      <c r="TL7" s="5"/>
      <c r="TM7" s="7" t="str">
        <f t="shared" si="215"/>
        <v/>
      </c>
      <c r="TO7" s="24">
        <v>12</v>
      </c>
      <c r="TP7" s="6" t="s">
        <v>20</v>
      </c>
      <c r="TQ7" s="24">
        <v>11</v>
      </c>
      <c r="TR7" s="6" t="s">
        <v>20</v>
      </c>
      <c r="TS7" s="5">
        <f t="shared" si="216"/>
        <v>23</v>
      </c>
      <c r="TT7" s="3"/>
      <c r="TU7" s="7">
        <f t="shared" si="52"/>
        <v>0</v>
      </c>
      <c r="TV7" s="5"/>
      <c r="TW7" s="7" t="str">
        <f t="shared" si="217"/>
        <v/>
      </c>
      <c r="TY7" s="24">
        <v>12</v>
      </c>
      <c r="TZ7" s="6" t="s">
        <v>20</v>
      </c>
      <c r="UA7" s="24">
        <v>11</v>
      </c>
      <c r="UB7" s="6" t="s">
        <v>20</v>
      </c>
      <c r="UC7" s="5">
        <f t="shared" si="218"/>
        <v>23</v>
      </c>
      <c r="UD7" s="3"/>
      <c r="UE7" s="7">
        <f t="shared" si="53"/>
        <v>0</v>
      </c>
      <c r="UF7" s="5"/>
      <c r="UG7" s="7" t="str">
        <f t="shared" si="219"/>
        <v/>
      </c>
      <c r="UI7" s="2">
        <v>12</v>
      </c>
      <c r="UJ7" s="6" t="s">
        <v>20</v>
      </c>
      <c r="UK7" s="2">
        <v>11</v>
      </c>
      <c r="UL7" s="6" t="s">
        <v>20</v>
      </c>
      <c r="UM7" s="5">
        <f t="shared" si="220"/>
        <v>23</v>
      </c>
      <c r="UN7" s="3"/>
      <c r="UO7" s="7">
        <f t="shared" si="54"/>
        <v>0</v>
      </c>
      <c r="UP7" s="5"/>
      <c r="UQ7" s="7" t="str">
        <f t="shared" si="221"/>
        <v/>
      </c>
      <c r="US7" s="24">
        <v>12</v>
      </c>
      <c r="UT7" s="6" t="s">
        <v>20</v>
      </c>
      <c r="UU7" s="24">
        <v>11</v>
      </c>
      <c r="UV7" s="6" t="s">
        <v>20</v>
      </c>
      <c r="UW7" s="5">
        <f t="shared" si="222"/>
        <v>23</v>
      </c>
      <c r="UX7" s="3"/>
      <c r="UY7" s="7">
        <f t="shared" si="55"/>
        <v>0</v>
      </c>
      <c r="UZ7" s="5"/>
      <c r="VA7" s="7" t="str">
        <f t="shared" si="223"/>
        <v/>
      </c>
      <c r="VC7" s="2">
        <v>12</v>
      </c>
      <c r="VD7" s="6" t="s">
        <v>20</v>
      </c>
      <c r="VE7" s="2">
        <v>11</v>
      </c>
      <c r="VF7" s="6" t="s">
        <v>20</v>
      </c>
      <c r="VG7" s="5">
        <f t="shared" si="224"/>
        <v>23</v>
      </c>
      <c r="VH7" s="3"/>
      <c r="VI7" s="7">
        <f t="shared" si="56"/>
        <v>0</v>
      </c>
      <c r="VJ7" s="5"/>
      <c r="VK7" s="7" t="str">
        <f t="shared" si="225"/>
        <v/>
      </c>
      <c r="VM7" s="24">
        <v>12</v>
      </c>
      <c r="VN7" s="6" t="s">
        <v>20</v>
      </c>
      <c r="VO7" s="24">
        <v>11</v>
      </c>
      <c r="VP7" s="6" t="s">
        <v>20</v>
      </c>
      <c r="VQ7" s="5">
        <f t="shared" si="226"/>
        <v>23</v>
      </c>
      <c r="VR7" s="3"/>
      <c r="VS7" s="7">
        <f t="shared" si="57"/>
        <v>0</v>
      </c>
      <c r="VT7" s="5"/>
      <c r="VU7" s="7" t="str">
        <f t="shared" si="227"/>
        <v/>
      </c>
      <c r="VW7" s="2">
        <v>12</v>
      </c>
      <c r="VX7" s="6" t="s">
        <v>20</v>
      </c>
      <c r="VY7" s="2">
        <v>11</v>
      </c>
      <c r="VZ7" s="6" t="s">
        <v>20</v>
      </c>
      <c r="WA7" s="5">
        <f t="shared" si="228"/>
        <v>23</v>
      </c>
      <c r="WB7" s="3"/>
      <c r="WC7" s="7">
        <f t="shared" si="58"/>
        <v>0</v>
      </c>
      <c r="WD7" s="5"/>
      <c r="WE7" s="7" t="str">
        <f t="shared" si="229"/>
        <v/>
      </c>
      <c r="WG7" s="2">
        <v>12</v>
      </c>
      <c r="WH7" s="6" t="s">
        <v>20</v>
      </c>
      <c r="WI7" s="2">
        <v>11</v>
      </c>
      <c r="WJ7" s="6" t="s">
        <v>20</v>
      </c>
      <c r="WK7" s="5">
        <f t="shared" si="230"/>
        <v>23</v>
      </c>
      <c r="WL7" s="35"/>
      <c r="WM7" s="7">
        <f t="shared" si="59"/>
        <v>0</v>
      </c>
      <c r="WN7" s="5"/>
      <c r="WO7" s="7" t="str">
        <f t="shared" si="231"/>
        <v/>
      </c>
      <c r="WQ7" s="2">
        <v>12</v>
      </c>
      <c r="WR7" s="6" t="s">
        <v>20</v>
      </c>
      <c r="WS7" s="2">
        <v>9</v>
      </c>
      <c r="WT7" s="6" t="s">
        <v>20</v>
      </c>
      <c r="WU7" s="5">
        <f t="shared" si="232"/>
        <v>21</v>
      </c>
      <c r="WV7" s="35"/>
      <c r="WW7" s="7">
        <f t="shared" si="60"/>
        <v>2</v>
      </c>
      <c r="WX7" s="5">
        <v>2</v>
      </c>
      <c r="WY7" s="7">
        <f t="shared" si="233"/>
        <v>0</v>
      </c>
      <c r="XA7" s="24">
        <v>12</v>
      </c>
      <c r="XB7" s="6" t="s">
        <v>20</v>
      </c>
      <c r="XC7" s="24">
        <v>9</v>
      </c>
      <c r="XD7" s="6" t="s">
        <v>20</v>
      </c>
      <c r="XE7" s="5">
        <f t="shared" si="234"/>
        <v>21</v>
      </c>
      <c r="XF7" s="35"/>
      <c r="XG7" s="7">
        <f t="shared" si="61"/>
        <v>0</v>
      </c>
      <c r="XH7" s="5"/>
      <c r="XI7" s="7" t="str">
        <f t="shared" si="235"/>
        <v/>
      </c>
      <c r="XK7" s="24">
        <v>12</v>
      </c>
      <c r="XL7" s="6" t="s">
        <v>20</v>
      </c>
      <c r="XM7" s="24">
        <v>7</v>
      </c>
      <c r="XN7" s="6" t="s">
        <v>20</v>
      </c>
      <c r="XO7" s="5">
        <f t="shared" si="236"/>
        <v>19</v>
      </c>
      <c r="XP7" s="35"/>
      <c r="XQ7" s="7">
        <f t="shared" si="62"/>
        <v>2</v>
      </c>
      <c r="XR7" s="5">
        <v>2</v>
      </c>
      <c r="XS7" s="7">
        <f t="shared" si="237"/>
        <v>0</v>
      </c>
      <c r="XU7" s="24">
        <v>12</v>
      </c>
      <c r="XV7" s="6" t="s">
        <v>20</v>
      </c>
      <c r="XW7" s="24">
        <v>7</v>
      </c>
      <c r="XX7" s="6" t="s">
        <v>20</v>
      </c>
      <c r="XY7" s="5">
        <f t="shared" si="238"/>
        <v>19</v>
      </c>
      <c r="XZ7" s="35"/>
      <c r="YA7" s="7">
        <f t="shared" si="63"/>
        <v>0</v>
      </c>
      <c r="YB7" s="5"/>
      <c r="YC7" s="7" t="str">
        <f t="shared" si="239"/>
        <v/>
      </c>
      <c r="YE7" s="24">
        <v>12</v>
      </c>
      <c r="YF7" s="6" t="s">
        <v>20</v>
      </c>
      <c r="YG7" s="24">
        <v>6</v>
      </c>
      <c r="YH7" s="6" t="s">
        <v>20</v>
      </c>
      <c r="YI7" s="5">
        <f t="shared" si="240"/>
        <v>18</v>
      </c>
      <c r="YJ7" s="35"/>
      <c r="YK7" s="7">
        <f t="shared" si="64"/>
        <v>1</v>
      </c>
      <c r="YL7" s="5">
        <v>1</v>
      </c>
      <c r="YM7" s="7">
        <f t="shared" si="241"/>
        <v>0</v>
      </c>
      <c r="YO7" s="24">
        <v>12</v>
      </c>
      <c r="YP7" s="6" t="s">
        <v>20</v>
      </c>
      <c r="YQ7" s="24">
        <v>5</v>
      </c>
      <c r="YR7" s="6" t="s">
        <v>20</v>
      </c>
      <c r="YS7" s="5">
        <f t="shared" si="242"/>
        <v>17</v>
      </c>
      <c r="YT7" s="35"/>
      <c r="YU7" s="7">
        <f t="shared" si="65"/>
        <v>1</v>
      </c>
      <c r="YV7" s="5">
        <v>0</v>
      </c>
      <c r="YW7" s="7">
        <f t="shared" si="243"/>
        <v>-1</v>
      </c>
      <c r="YY7" s="24">
        <v>12</v>
      </c>
      <c r="YZ7" s="6" t="s">
        <v>20</v>
      </c>
      <c r="ZA7" s="24">
        <v>5</v>
      </c>
      <c r="ZB7" s="6" t="s">
        <v>20</v>
      </c>
      <c r="ZC7" s="5">
        <f t="shared" si="244"/>
        <v>17</v>
      </c>
      <c r="ZD7" s="35"/>
      <c r="ZE7" s="7">
        <f t="shared" si="66"/>
        <v>0</v>
      </c>
      <c r="ZF7" s="5"/>
      <c r="ZG7" s="7" t="str">
        <f t="shared" si="245"/>
        <v/>
      </c>
      <c r="ZI7" s="24">
        <v>12</v>
      </c>
      <c r="ZJ7" s="6" t="s">
        <v>20</v>
      </c>
      <c r="ZK7" s="24">
        <v>5</v>
      </c>
      <c r="ZL7" s="6" t="s">
        <v>20</v>
      </c>
      <c r="ZM7" s="5">
        <f t="shared" si="246"/>
        <v>17</v>
      </c>
      <c r="ZN7" s="35"/>
      <c r="ZO7" s="7">
        <f t="shared" si="67"/>
        <v>0</v>
      </c>
      <c r="ZP7" s="5"/>
      <c r="ZQ7" s="7" t="str">
        <f t="shared" si="247"/>
        <v/>
      </c>
      <c r="ZS7" s="24">
        <v>12</v>
      </c>
      <c r="ZT7" s="6" t="s">
        <v>20</v>
      </c>
      <c r="ZU7" s="24">
        <v>5</v>
      </c>
      <c r="ZV7" s="6" t="s">
        <v>20</v>
      </c>
      <c r="ZW7" s="5">
        <f t="shared" si="248"/>
        <v>17</v>
      </c>
      <c r="ZX7" s="35"/>
      <c r="ZY7" s="7">
        <f t="shared" si="68"/>
        <v>0</v>
      </c>
      <c r="ZZ7" s="5"/>
      <c r="AAA7" s="7" t="str">
        <f t="shared" si="249"/>
        <v/>
      </c>
      <c r="AAC7" s="24">
        <v>12</v>
      </c>
      <c r="AAD7" s="6" t="s">
        <v>20</v>
      </c>
      <c r="AAE7" s="24">
        <v>4</v>
      </c>
      <c r="AAF7" s="6" t="s">
        <v>20</v>
      </c>
      <c r="AAG7" s="5">
        <f t="shared" si="250"/>
        <v>16</v>
      </c>
      <c r="AAH7" s="35"/>
      <c r="AAI7" s="7">
        <f t="shared" si="69"/>
        <v>1</v>
      </c>
      <c r="AAJ7" s="5">
        <v>1</v>
      </c>
      <c r="AAK7" s="7">
        <f t="shared" si="251"/>
        <v>0</v>
      </c>
      <c r="AAM7" s="2">
        <v>12</v>
      </c>
      <c r="AAN7" s="6" t="s">
        <v>20</v>
      </c>
      <c r="AAO7" s="2">
        <v>0</v>
      </c>
      <c r="AAP7" s="6" t="s">
        <v>20</v>
      </c>
      <c r="AAQ7" s="5">
        <f t="shared" si="252"/>
        <v>12</v>
      </c>
      <c r="AAR7" s="35"/>
      <c r="AAS7" s="7">
        <f t="shared" si="70"/>
        <v>4</v>
      </c>
      <c r="AAT7" s="5">
        <v>1</v>
      </c>
      <c r="AAU7" s="7">
        <f t="shared" si="253"/>
        <v>-3</v>
      </c>
      <c r="AAW7" s="2">
        <v>12</v>
      </c>
      <c r="AAX7" s="6" t="s">
        <v>20</v>
      </c>
      <c r="AAY7" s="2"/>
      <c r="AAZ7" s="6" t="s">
        <v>20</v>
      </c>
      <c r="ABA7" s="5">
        <f t="shared" si="254"/>
        <v>12</v>
      </c>
      <c r="ABB7" s="35"/>
      <c r="ABC7" s="7">
        <f t="shared" si="71"/>
        <v>0</v>
      </c>
      <c r="ABD7" s="5"/>
      <c r="ABE7" s="7" t="str">
        <f t="shared" si="255"/>
        <v/>
      </c>
      <c r="ABG7" s="24">
        <v>12</v>
      </c>
      <c r="ABH7" s="6" t="s">
        <v>20</v>
      </c>
      <c r="ABI7" s="24"/>
      <c r="ABJ7" s="6" t="s">
        <v>20</v>
      </c>
      <c r="ABK7" s="5">
        <f t="shared" si="256"/>
        <v>12</v>
      </c>
      <c r="ABL7" s="35"/>
      <c r="ABM7" s="7">
        <f t="shared" si="72"/>
        <v>0</v>
      </c>
      <c r="ABN7" s="5"/>
      <c r="ABO7" s="7" t="str">
        <f t="shared" si="257"/>
        <v/>
      </c>
      <c r="ABQ7" s="2">
        <v>12</v>
      </c>
      <c r="ABR7" s="6" t="s">
        <v>20</v>
      </c>
      <c r="ABS7" s="2"/>
      <c r="ABT7" s="6" t="s">
        <v>20</v>
      </c>
      <c r="ABU7" s="5">
        <f t="shared" si="258"/>
        <v>12</v>
      </c>
      <c r="ABV7" s="35"/>
      <c r="ABW7" s="7">
        <f t="shared" si="73"/>
        <v>0</v>
      </c>
      <c r="ABX7" s="5"/>
      <c r="ABY7" s="7" t="str">
        <f t="shared" si="259"/>
        <v/>
      </c>
      <c r="ACA7" s="24">
        <v>12</v>
      </c>
      <c r="ACB7" s="6" t="s">
        <v>20</v>
      </c>
      <c r="ACC7" s="24">
        <v>0</v>
      </c>
      <c r="ACD7" s="6" t="s">
        <v>20</v>
      </c>
      <c r="ACE7" s="5">
        <f t="shared" si="74"/>
        <v>12</v>
      </c>
      <c r="ACF7" s="35"/>
      <c r="ACG7" s="7">
        <f t="shared" si="75"/>
        <v>0</v>
      </c>
      <c r="ACH7" s="5"/>
      <c r="ACI7" s="7" t="str">
        <f t="shared" si="76"/>
        <v/>
      </c>
      <c r="ACK7" s="24">
        <v>12</v>
      </c>
      <c r="ACL7" s="6" t="s">
        <v>20</v>
      </c>
      <c r="ACM7" s="24"/>
      <c r="ACN7" s="6" t="s">
        <v>20</v>
      </c>
      <c r="ACO7" s="5">
        <f t="shared" si="260"/>
        <v>12</v>
      </c>
      <c r="ACP7" s="35"/>
      <c r="ACQ7" s="7">
        <f t="shared" si="77"/>
        <v>0</v>
      </c>
      <c r="ACR7" s="5"/>
      <c r="ACS7" s="7" t="str">
        <f t="shared" si="261"/>
        <v/>
      </c>
      <c r="ACU7" s="24">
        <v>12</v>
      </c>
      <c r="ACV7" s="6" t="s">
        <v>20</v>
      </c>
      <c r="ACW7" s="24">
        <v>0</v>
      </c>
      <c r="ACX7" s="6" t="s">
        <v>20</v>
      </c>
      <c r="ACY7" s="5">
        <f t="shared" si="262"/>
        <v>12</v>
      </c>
      <c r="ACZ7" s="35"/>
      <c r="ADA7" s="7">
        <f t="shared" si="78"/>
        <v>0</v>
      </c>
      <c r="ADB7" s="5"/>
      <c r="ADC7" s="7" t="str">
        <f t="shared" si="263"/>
        <v/>
      </c>
      <c r="ADE7" s="24">
        <v>12</v>
      </c>
      <c r="ADF7" s="6" t="s">
        <v>20</v>
      </c>
      <c r="ADG7" s="24">
        <v>0</v>
      </c>
      <c r="ADH7" s="6" t="s">
        <v>20</v>
      </c>
      <c r="ADI7" s="5">
        <f t="shared" si="264"/>
        <v>12</v>
      </c>
      <c r="ADJ7" s="35"/>
      <c r="ADK7" s="7">
        <f t="shared" si="79"/>
        <v>0</v>
      </c>
      <c r="ADL7" s="5"/>
      <c r="ADM7" s="7" t="str">
        <f t="shared" si="265"/>
        <v/>
      </c>
      <c r="ADO7" s="24">
        <v>12</v>
      </c>
      <c r="ADP7" s="6" t="s">
        <v>20</v>
      </c>
      <c r="ADQ7" s="24">
        <v>0</v>
      </c>
      <c r="ADR7" s="6" t="s">
        <v>20</v>
      </c>
      <c r="ADS7" s="5">
        <f t="shared" si="266"/>
        <v>12</v>
      </c>
      <c r="ADT7" s="35"/>
      <c r="ADU7" s="7">
        <f t="shared" si="80"/>
        <v>0</v>
      </c>
      <c r="ADV7" s="5"/>
      <c r="ADW7" s="7" t="str">
        <f t="shared" si="267"/>
        <v/>
      </c>
      <c r="ADY7" s="24">
        <v>12</v>
      </c>
      <c r="ADZ7" s="6" t="s">
        <v>20</v>
      </c>
      <c r="AEA7" s="24">
        <v>0</v>
      </c>
      <c r="AEB7" s="6" t="s">
        <v>20</v>
      </c>
      <c r="AEC7" s="5">
        <f t="shared" si="268"/>
        <v>12</v>
      </c>
      <c r="AED7" s="35"/>
      <c r="AEE7" s="7">
        <f t="shared" si="81"/>
        <v>0</v>
      </c>
      <c r="AEF7" s="5">
        <v>1</v>
      </c>
      <c r="AEG7" s="7">
        <f t="shared" si="269"/>
        <v>1</v>
      </c>
      <c r="AEI7" s="2">
        <v>12</v>
      </c>
      <c r="AEJ7" s="6" t="s">
        <v>20</v>
      </c>
      <c r="AEK7" s="2">
        <v>0</v>
      </c>
      <c r="AEL7" s="6" t="s">
        <v>20</v>
      </c>
      <c r="AEM7" s="5">
        <f t="shared" si="270"/>
        <v>12</v>
      </c>
      <c r="AEN7" s="35"/>
      <c r="AEO7" s="7">
        <f t="shared" si="82"/>
        <v>0</v>
      </c>
      <c r="AEP7" s="5"/>
      <c r="AEQ7" s="7" t="str">
        <f t="shared" si="271"/>
        <v/>
      </c>
      <c r="AES7" s="24">
        <v>12</v>
      </c>
      <c r="AET7" s="6" t="s">
        <v>20</v>
      </c>
      <c r="AEU7" s="24">
        <v>0</v>
      </c>
      <c r="AEV7" s="6" t="s">
        <v>20</v>
      </c>
      <c r="AEW7" s="5">
        <f t="shared" si="272"/>
        <v>12</v>
      </c>
      <c r="AEX7" s="35"/>
      <c r="AEY7" s="7">
        <f t="shared" si="83"/>
        <v>0</v>
      </c>
      <c r="AEZ7" s="5"/>
      <c r="AFA7" s="7" t="str">
        <f t="shared" si="273"/>
        <v/>
      </c>
      <c r="AFC7" s="2">
        <v>12</v>
      </c>
      <c r="AFD7" s="6" t="s">
        <v>20</v>
      </c>
      <c r="AFE7" s="2">
        <v>0</v>
      </c>
      <c r="AFF7" s="6" t="s">
        <v>20</v>
      </c>
      <c r="AFG7" s="5">
        <f t="shared" si="274"/>
        <v>12</v>
      </c>
      <c r="AFH7" s="35"/>
      <c r="AFI7" s="7">
        <f t="shared" si="84"/>
        <v>0</v>
      </c>
      <c r="AFJ7" s="5"/>
      <c r="AFK7" s="7" t="str">
        <f t="shared" si="275"/>
        <v/>
      </c>
      <c r="AFM7" s="2">
        <v>12</v>
      </c>
      <c r="AFN7" s="6" t="s">
        <v>20</v>
      </c>
      <c r="AFO7" s="2">
        <v>0</v>
      </c>
      <c r="AFP7" s="6" t="s">
        <v>20</v>
      </c>
      <c r="AFQ7" s="5">
        <f t="shared" si="276"/>
        <v>12</v>
      </c>
      <c r="AFR7" s="35"/>
      <c r="AFS7" s="7">
        <f t="shared" si="85"/>
        <v>0</v>
      </c>
      <c r="AFT7" s="5"/>
      <c r="AFU7" s="7" t="str">
        <f t="shared" si="277"/>
        <v/>
      </c>
      <c r="AFW7" s="24">
        <v>12</v>
      </c>
      <c r="AFX7" s="6" t="s">
        <v>20</v>
      </c>
      <c r="AFY7" s="24">
        <v>0</v>
      </c>
      <c r="AFZ7" s="6" t="s">
        <v>20</v>
      </c>
      <c r="AGA7" s="5">
        <f t="shared" si="278"/>
        <v>12</v>
      </c>
      <c r="AGB7" s="35"/>
      <c r="AGC7" s="7">
        <f t="shared" si="86"/>
        <v>0</v>
      </c>
      <c r="AGD7" s="5"/>
      <c r="AGE7" s="7" t="str">
        <f t="shared" si="279"/>
        <v/>
      </c>
      <c r="AGG7" s="24">
        <v>11</v>
      </c>
      <c r="AGH7" s="6" t="s">
        <v>20</v>
      </c>
      <c r="AGI7" s="24">
        <v>0</v>
      </c>
      <c r="AGJ7" s="6" t="s">
        <v>20</v>
      </c>
      <c r="AGK7" s="5">
        <f t="shared" si="280"/>
        <v>11</v>
      </c>
      <c r="AGL7" s="35"/>
      <c r="AGM7" s="7">
        <f t="shared" si="87"/>
        <v>1</v>
      </c>
      <c r="AGN7" s="5">
        <v>0</v>
      </c>
      <c r="AGO7" s="7">
        <f t="shared" si="281"/>
        <v>-1</v>
      </c>
      <c r="AGQ7" s="24">
        <v>0</v>
      </c>
      <c r="AGR7" s="6" t="s">
        <v>20</v>
      </c>
      <c r="AGS7" s="24">
        <v>11</v>
      </c>
      <c r="AGT7" s="6" t="s">
        <v>20</v>
      </c>
      <c r="AGU7" s="5">
        <f t="shared" si="282"/>
        <v>11</v>
      </c>
      <c r="AGV7" s="35"/>
      <c r="AGW7" s="7">
        <f t="shared" si="88"/>
        <v>0</v>
      </c>
      <c r="AGX7" s="5"/>
      <c r="AGY7" s="7" t="str">
        <f t="shared" si="283"/>
        <v/>
      </c>
      <c r="AHA7" s="24">
        <v>0</v>
      </c>
      <c r="AHB7" s="6" t="s">
        <v>20</v>
      </c>
      <c r="AHC7" s="24">
        <v>11</v>
      </c>
      <c r="AHD7" s="6" t="s">
        <v>20</v>
      </c>
      <c r="AHE7" s="5">
        <f t="shared" si="284"/>
        <v>11</v>
      </c>
      <c r="AHF7" s="35"/>
      <c r="AHG7" s="7">
        <f t="shared" si="89"/>
        <v>0</v>
      </c>
      <c r="AHH7" s="5"/>
      <c r="AHI7" s="7" t="str">
        <f t="shared" si="285"/>
        <v/>
      </c>
      <c r="AHK7" s="2">
        <v>0</v>
      </c>
      <c r="AHL7" s="6" t="s">
        <v>20</v>
      </c>
      <c r="AHM7" s="2">
        <v>11</v>
      </c>
      <c r="AHN7" s="6" t="s">
        <v>20</v>
      </c>
      <c r="AHO7" s="5">
        <f t="shared" si="286"/>
        <v>11</v>
      </c>
      <c r="AHP7" s="35"/>
      <c r="AHQ7" s="7">
        <f t="shared" si="90"/>
        <v>0</v>
      </c>
      <c r="AHR7" s="5"/>
      <c r="AHS7" s="7" t="str">
        <f t="shared" si="287"/>
        <v/>
      </c>
      <c r="AHU7" s="2"/>
      <c r="AHV7" s="6" t="s">
        <v>20</v>
      </c>
      <c r="AHW7" s="2">
        <v>11</v>
      </c>
      <c r="AHX7" s="6" t="s">
        <v>20</v>
      </c>
      <c r="AHY7" s="5">
        <f t="shared" si="288"/>
        <v>11</v>
      </c>
      <c r="AHZ7" s="35"/>
      <c r="AIA7" s="7">
        <f t="shared" si="91"/>
        <v>0</v>
      </c>
      <c r="AIB7" s="5"/>
      <c r="AIC7" s="7" t="str">
        <f t="shared" si="289"/>
        <v/>
      </c>
      <c r="AIE7" s="24"/>
      <c r="AIF7" s="6" t="s">
        <v>20</v>
      </c>
      <c r="AIG7" s="24">
        <v>11</v>
      </c>
      <c r="AIH7" s="6" t="s">
        <v>20</v>
      </c>
      <c r="AII7" s="5">
        <f t="shared" si="290"/>
        <v>11</v>
      </c>
      <c r="AIJ7" s="35"/>
      <c r="AIK7" s="7">
        <f t="shared" si="92"/>
        <v>0</v>
      </c>
      <c r="AIL7" s="5"/>
      <c r="AIM7" s="7" t="str">
        <f t="shared" si="291"/>
        <v/>
      </c>
      <c r="AIO7" s="24"/>
      <c r="AIP7" s="6" t="s">
        <v>20</v>
      </c>
      <c r="AIQ7" s="24">
        <v>11</v>
      </c>
      <c r="AIR7" s="6" t="s">
        <v>20</v>
      </c>
      <c r="AIS7" s="5">
        <f t="shared" si="292"/>
        <v>11</v>
      </c>
      <c r="AIT7" s="35"/>
      <c r="AIU7" s="7">
        <f t="shared" si="93"/>
        <v>0</v>
      </c>
      <c r="AIV7" s="5"/>
      <c r="AIW7" s="7" t="str">
        <f t="shared" si="293"/>
        <v/>
      </c>
      <c r="AIY7" s="24"/>
      <c r="AIZ7" s="6" t="s">
        <v>20</v>
      </c>
      <c r="AJA7" s="24">
        <v>11</v>
      </c>
      <c r="AJB7" s="6" t="s">
        <v>20</v>
      </c>
      <c r="AJC7" s="5">
        <f t="shared" si="294"/>
        <v>11</v>
      </c>
      <c r="AJD7" s="35"/>
      <c r="AJE7" s="7">
        <f t="shared" si="94"/>
        <v>0</v>
      </c>
      <c r="AJF7" s="5"/>
      <c r="AJG7" s="7" t="str">
        <f t="shared" si="295"/>
        <v/>
      </c>
      <c r="AJI7" s="2"/>
      <c r="AJJ7" s="6" t="s">
        <v>20</v>
      </c>
      <c r="AJK7" s="2">
        <v>10</v>
      </c>
      <c r="AJL7" s="6" t="s">
        <v>20</v>
      </c>
      <c r="AJM7" s="5">
        <f t="shared" si="296"/>
        <v>10</v>
      </c>
      <c r="AJN7" s="35"/>
      <c r="AJO7" s="7">
        <f t="shared" si="95"/>
        <v>1</v>
      </c>
      <c r="AJP7" s="5">
        <v>1</v>
      </c>
      <c r="AJQ7" s="7">
        <f t="shared" si="297"/>
        <v>0</v>
      </c>
      <c r="AJS7" s="24"/>
      <c r="AJT7" s="6" t="s">
        <v>20</v>
      </c>
      <c r="AJU7" s="24">
        <v>10</v>
      </c>
      <c r="AJV7" s="6" t="s">
        <v>20</v>
      </c>
      <c r="AJW7" s="5">
        <f t="shared" si="298"/>
        <v>10</v>
      </c>
      <c r="AJX7" s="35"/>
      <c r="AJY7" s="7">
        <f t="shared" si="96"/>
        <v>0</v>
      </c>
      <c r="AJZ7" s="5">
        <v>2</v>
      </c>
      <c r="AKA7" s="7">
        <f t="shared" si="299"/>
        <v>2</v>
      </c>
      <c r="AKC7" s="2"/>
      <c r="AKD7" s="6" t="s">
        <v>20</v>
      </c>
      <c r="AKE7" s="2">
        <v>5</v>
      </c>
      <c r="AKF7" s="6" t="s">
        <v>20</v>
      </c>
      <c r="AKG7" s="5">
        <f t="shared" si="300"/>
        <v>5</v>
      </c>
      <c r="AKH7" s="35"/>
      <c r="AKI7" s="7">
        <f t="shared" si="97"/>
        <v>5</v>
      </c>
      <c r="AKJ7" s="5">
        <v>1</v>
      </c>
      <c r="AKK7" s="7">
        <f t="shared" si="301"/>
        <v>-4</v>
      </c>
      <c r="AKM7" s="24"/>
      <c r="AKN7" s="6" t="s">
        <v>20</v>
      </c>
      <c r="AKO7" s="24">
        <v>5</v>
      </c>
      <c r="AKP7" s="6" t="s">
        <v>20</v>
      </c>
      <c r="AKQ7" s="5">
        <f t="shared" si="302"/>
        <v>5</v>
      </c>
      <c r="AKR7" s="35"/>
      <c r="AKS7" s="7">
        <f t="shared" si="98"/>
        <v>0</v>
      </c>
      <c r="AKT7" s="5"/>
      <c r="AKU7" s="7" t="str">
        <f t="shared" si="303"/>
        <v/>
      </c>
      <c r="AKW7" s="2"/>
      <c r="AKX7" s="6" t="s">
        <v>20</v>
      </c>
      <c r="AKY7" s="2">
        <v>5</v>
      </c>
      <c r="AKZ7" s="6" t="s">
        <v>20</v>
      </c>
      <c r="ALA7" s="5">
        <f t="shared" si="304"/>
        <v>5</v>
      </c>
      <c r="ALB7" s="35"/>
      <c r="ALC7" s="7">
        <f t="shared" si="99"/>
        <v>0</v>
      </c>
      <c r="ALD7" s="5"/>
      <c r="ALE7" s="7" t="str">
        <f t="shared" si="305"/>
        <v/>
      </c>
      <c r="ALG7" s="2"/>
      <c r="ALH7" s="6" t="s">
        <v>20</v>
      </c>
      <c r="ALI7" s="2">
        <v>5</v>
      </c>
      <c r="ALJ7" s="6" t="s">
        <v>20</v>
      </c>
      <c r="ALK7" s="5">
        <f t="shared" si="306"/>
        <v>5</v>
      </c>
      <c r="ALL7" s="35"/>
      <c r="ALM7" s="7">
        <f t="shared" si="100"/>
        <v>0</v>
      </c>
      <c r="ALN7" s="5"/>
      <c r="ALO7" s="7" t="str">
        <f t="shared" si="307"/>
        <v/>
      </c>
      <c r="ALQ7" s="24"/>
      <c r="ALR7" s="6" t="s">
        <v>20</v>
      </c>
      <c r="ALS7" s="24">
        <v>5</v>
      </c>
      <c r="ALT7" s="6" t="s">
        <v>20</v>
      </c>
      <c r="ALU7" s="5">
        <f t="shared" si="308"/>
        <v>5</v>
      </c>
      <c r="ALV7" s="35"/>
      <c r="ALW7" s="7">
        <f t="shared" si="101"/>
        <v>0</v>
      </c>
      <c r="ALX7" s="5"/>
      <c r="ALY7" s="7" t="str">
        <f t="shared" si="309"/>
        <v/>
      </c>
      <c r="AMA7" s="24" t="s">
        <v>88</v>
      </c>
      <c r="AMB7" s="6" t="s">
        <v>20</v>
      </c>
      <c r="AMC7" s="24">
        <v>5</v>
      </c>
      <c r="AMD7" s="6" t="s">
        <v>20</v>
      </c>
      <c r="AME7" s="5">
        <f t="shared" si="310"/>
        <v>5</v>
      </c>
      <c r="AMF7" s="35"/>
      <c r="AMG7" s="7">
        <f t="shared" si="102"/>
        <v>0</v>
      </c>
      <c r="AMH7" s="5"/>
      <c r="AMI7" s="7" t="str">
        <f t="shared" si="311"/>
        <v/>
      </c>
      <c r="AMK7" s="24"/>
      <c r="AML7" s="6" t="s">
        <v>20</v>
      </c>
      <c r="AMM7" s="24">
        <v>5</v>
      </c>
      <c r="AMN7" s="6" t="s">
        <v>20</v>
      </c>
      <c r="AMO7" s="5">
        <f t="shared" si="312"/>
        <v>5</v>
      </c>
      <c r="AMP7" s="35"/>
      <c r="AMQ7" s="7">
        <f t="shared" si="103"/>
        <v>0</v>
      </c>
      <c r="AMR7" s="5"/>
      <c r="AMS7" s="7" t="str">
        <f t="shared" si="313"/>
        <v/>
      </c>
      <c r="AMU7" s="2"/>
      <c r="AMV7" s="6" t="s">
        <v>20</v>
      </c>
      <c r="AMW7" s="2">
        <v>4</v>
      </c>
      <c r="AMX7" s="6" t="s">
        <v>20</v>
      </c>
      <c r="AMY7" s="5">
        <f t="shared" si="314"/>
        <v>4</v>
      </c>
      <c r="AMZ7" s="35"/>
      <c r="ANA7" s="7">
        <f t="shared" si="104"/>
        <v>1</v>
      </c>
      <c r="ANB7" s="5">
        <v>0</v>
      </c>
      <c r="ANC7" s="7">
        <f t="shared" si="315"/>
        <v>-1</v>
      </c>
      <c r="ANE7" s="2"/>
      <c r="ANF7" s="6" t="s">
        <v>20</v>
      </c>
      <c r="ANG7" s="2">
        <v>4</v>
      </c>
      <c r="ANH7" s="6" t="s">
        <v>20</v>
      </c>
      <c r="ANI7" s="5">
        <f t="shared" si="316"/>
        <v>4</v>
      </c>
      <c r="ANJ7" s="35"/>
      <c r="ANK7" s="7">
        <f t="shared" si="105"/>
        <v>0</v>
      </c>
      <c r="ANL7" s="5"/>
      <c r="ANM7" s="7" t="str">
        <f t="shared" si="317"/>
        <v/>
      </c>
      <c r="ANO7" s="24"/>
      <c r="ANP7" s="6" t="s">
        <v>20</v>
      </c>
      <c r="ANQ7" s="24">
        <v>4</v>
      </c>
      <c r="ANR7" s="6" t="s">
        <v>20</v>
      </c>
      <c r="ANS7" s="5">
        <f t="shared" si="318"/>
        <v>4</v>
      </c>
      <c r="ANT7" s="35"/>
      <c r="ANU7" s="7">
        <f t="shared" si="106"/>
        <v>0</v>
      </c>
      <c r="ANV7" s="5"/>
      <c r="ANW7" s="7" t="str">
        <f t="shared" si="319"/>
        <v/>
      </c>
      <c r="ANY7" s="24"/>
      <c r="ANZ7" s="6" t="s">
        <v>20</v>
      </c>
      <c r="AOA7" s="24">
        <v>4</v>
      </c>
      <c r="AOB7" s="6" t="s">
        <v>20</v>
      </c>
      <c r="AOC7" s="5">
        <f t="shared" si="320"/>
        <v>4</v>
      </c>
      <c r="AOD7" s="35"/>
      <c r="AOE7" s="7">
        <f t="shared" si="107"/>
        <v>0</v>
      </c>
      <c r="AOF7" s="5"/>
      <c r="AOG7" s="7" t="str">
        <f t="shared" si="321"/>
        <v/>
      </c>
      <c r="AOI7" s="24"/>
      <c r="AOJ7" s="6" t="s">
        <v>20</v>
      </c>
      <c r="AOK7" s="24">
        <v>4</v>
      </c>
      <c r="AOL7" s="6" t="s">
        <v>20</v>
      </c>
      <c r="AOM7" s="5">
        <f t="shared" si="322"/>
        <v>4</v>
      </c>
      <c r="AON7" s="35"/>
      <c r="AOO7" s="7">
        <f t="shared" si="108"/>
        <v>0</v>
      </c>
      <c r="AOP7" s="5"/>
      <c r="AOQ7" s="7" t="str">
        <f t="shared" si="323"/>
        <v/>
      </c>
      <c r="AOS7" s="2"/>
      <c r="AOT7" s="6" t="s">
        <v>20</v>
      </c>
      <c r="AOU7" s="2"/>
      <c r="AOV7" s="6" t="s">
        <v>20</v>
      </c>
      <c r="AOW7" s="5" t="str">
        <f t="shared" si="324"/>
        <v/>
      </c>
      <c r="AOX7" s="35"/>
      <c r="AOY7" s="7" t="str">
        <f t="shared" si="109"/>
        <v/>
      </c>
      <c r="AOZ7" s="5"/>
      <c r="APA7" s="7" t="str">
        <f t="shared" si="325"/>
        <v/>
      </c>
    </row>
    <row r="8" spans="1:1093" ht="12.75" customHeight="1" x14ac:dyDescent="0.2">
      <c r="B8" s="8"/>
      <c r="C8" s="8"/>
      <c r="PR8" s="21"/>
      <c r="QB8" s="21"/>
      <c r="QL8" s="21"/>
      <c r="QV8" s="21"/>
      <c r="RF8" s="21"/>
      <c r="RP8" s="21"/>
      <c r="RZ8" s="21"/>
      <c r="SJ8" s="21"/>
      <c r="ST8" s="21"/>
      <c r="TD8" s="21"/>
      <c r="TN8" s="21"/>
      <c r="TX8" s="21"/>
      <c r="UH8" s="21"/>
      <c r="UR8" s="21"/>
      <c r="VB8" s="21"/>
      <c r="VL8" s="21"/>
      <c r="VV8" s="21"/>
      <c r="WF8" s="21"/>
      <c r="WP8" s="21"/>
      <c r="WZ8" s="21"/>
      <c r="XJ8" s="21"/>
      <c r="XT8" s="21"/>
      <c r="YD8" s="21"/>
      <c r="YN8" s="21"/>
      <c r="YX8" s="21"/>
      <c r="ZH8" s="21"/>
      <c r="ZR8" s="21"/>
      <c r="AAB8" s="21"/>
      <c r="AAL8" s="21"/>
      <c r="AAV8" s="21"/>
      <c r="ABF8" s="21"/>
      <c r="ABP8" s="21"/>
      <c r="ABZ8" s="21"/>
      <c r="ACJ8" s="21"/>
      <c r="ACT8" s="21"/>
      <c r="ADD8" s="21"/>
      <c r="ADN8" s="21"/>
      <c r="ADX8" s="21"/>
      <c r="AEH8" s="21"/>
      <c r="AER8" s="21"/>
      <c r="AFB8" s="21"/>
      <c r="AFL8" s="21"/>
      <c r="AFV8" s="21"/>
      <c r="AGF8" s="21"/>
      <c r="AGP8" s="21"/>
      <c r="AGZ8" s="21"/>
      <c r="AHJ8" s="21"/>
      <c r="AHT8" s="21"/>
      <c r="AID8" s="21"/>
      <c r="AIN8" s="21"/>
      <c r="AIX8" s="21"/>
      <c r="AJH8" s="21"/>
      <c r="AJR8" s="21"/>
      <c r="AKB8" s="21"/>
      <c r="AKL8" s="21"/>
      <c r="AKV8" s="21"/>
      <c r="ALF8" s="21"/>
      <c r="ALP8" s="21"/>
      <c r="ALZ8" s="21"/>
      <c r="AMJ8" s="21"/>
      <c r="AMT8" s="21"/>
      <c r="AND8" s="21"/>
      <c r="ANN8" s="21"/>
      <c r="ANX8" s="21"/>
      <c r="AOH8" s="21"/>
      <c r="AOR8" s="21"/>
    </row>
    <row r="9" spans="1:1093" s="21" customFormat="1" ht="11.25" x14ac:dyDescent="0.2">
      <c r="A9" s="20" t="s">
        <v>26</v>
      </c>
      <c r="B9" s="4" t="s">
        <v>9</v>
      </c>
      <c r="C9" s="4" t="s">
        <v>10</v>
      </c>
      <c r="E9" s="39" t="s">
        <v>11</v>
      </c>
      <c r="F9" s="40"/>
      <c r="G9" s="39" t="s">
        <v>12</v>
      </c>
      <c r="H9" s="40"/>
      <c r="I9" s="4" t="s">
        <v>13</v>
      </c>
      <c r="J9" s="4" t="s">
        <v>14</v>
      </c>
      <c r="K9" s="4" t="s">
        <v>15</v>
      </c>
      <c r="L9" s="4" t="s">
        <v>16</v>
      </c>
      <c r="M9" s="4" t="s">
        <v>17</v>
      </c>
      <c r="O9" s="39" t="s">
        <v>11</v>
      </c>
      <c r="P9" s="40"/>
      <c r="Q9" s="39" t="s">
        <v>12</v>
      </c>
      <c r="R9" s="40"/>
      <c r="S9" s="4" t="s">
        <v>13</v>
      </c>
      <c r="T9" s="4" t="s">
        <v>14</v>
      </c>
      <c r="U9" s="4" t="s">
        <v>15</v>
      </c>
      <c r="V9" s="4" t="s">
        <v>16</v>
      </c>
      <c r="W9" s="4" t="s">
        <v>17</v>
      </c>
      <c r="Y9" s="39" t="s">
        <v>11</v>
      </c>
      <c r="Z9" s="40"/>
      <c r="AA9" s="39" t="s">
        <v>12</v>
      </c>
      <c r="AB9" s="40"/>
      <c r="AC9" s="4" t="s">
        <v>13</v>
      </c>
      <c r="AD9" s="4" t="s">
        <v>14</v>
      </c>
      <c r="AE9" s="4" t="s">
        <v>15</v>
      </c>
      <c r="AF9" s="4" t="s">
        <v>16</v>
      </c>
      <c r="AG9" s="4" t="s">
        <v>17</v>
      </c>
      <c r="AI9" s="39" t="s">
        <v>11</v>
      </c>
      <c r="AJ9" s="40"/>
      <c r="AK9" s="39" t="s">
        <v>12</v>
      </c>
      <c r="AL9" s="40"/>
      <c r="AM9" s="4" t="s">
        <v>13</v>
      </c>
      <c r="AN9" s="4" t="s">
        <v>14</v>
      </c>
      <c r="AO9" s="4" t="s">
        <v>15</v>
      </c>
      <c r="AP9" s="4" t="s">
        <v>16</v>
      </c>
      <c r="AQ9" s="4" t="s">
        <v>17</v>
      </c>
      <c r="AS9" s="39" t="s">
        <v>11</v>
      </c>
      <c r="AT9" s="40"/>
      <c r="AU9" s="39" t="s">
        <v>12</v>
      </c>
      <c r="AV9" s="40"/>
      <c r="AW9" s="4" t="s">
        <v>13</v>
      </c>
      <c r="AX9" s="4" t="s">
        <v>14</v>
      </c>
      <c r="AY9" s="4" t="s">
        <v>15</v>
      </c>
      <c r="AZ9" s="4" t="s">
        <v>16</v>
      </c>
      <c r="BA9" s="4" t="s">
        <v>17</v>
      </c>
      <c r="BC9" s="39" t="s">
        <v>11</v>
      </c>
      <c r="BD9" s="40"/>
      <c r="BE9" s="39" t="s">
        <v>12</v>
      </c>
      <c r="BF9" s="40"/>
      <c r="BG9" s="4" t="s">
        <v>13</v>
      </c>
      <c r="BH9" s="4" t="s">
        <v>14</v>
      </c>
      <c r="BI9" s="4" t="s">
        <v>15</v>
      </c>
      <c r="BJ9" s="4" t="s">
        <v>16</v>
      </c>
      <c r="BK9" s="4" t="s">
        <v>17</v>
      </c>
      <c r="BM9" s="39" t="s">
        <v>11</v>
      </c>
      <c r="BN9" s="40"/>
      <c r="BO9" s="39" t="s">
        <v>12</v>
      </c>
      <c r="BP9" s="40"/>
      <c r="BQ9" s="4" t="s">
        <v>13</v>
      </c>
      <c r="BR9" s="4" t="s">
        <v>14</v>
      </c>
      <c r="BS9" s="4" t="s">
        <v>15</v>
      </c>
      <c r="BT9" s="4" t="s">
        <v>16</v>
      </c>
      <c r="BU9" s="4" t="s">
        <v>17</v>
      </c>
      <c r="BW9" s="39" t="s">
        <v>11</v>
      </c>
      <c r="BX9" s="40"/>
      <c r="BY9" s="39" t="s">
        <v>12</v>
      </c>
      <c r="BZ9" s="40"/>
      <c r="CA9" s="4" t="s">
        <v>13</v>
      </c>
      <c r="CB9" s="4" t="s">
        <v>14</v>
      </c>
      <c r="CC9" s="4" t="s">
        <v>15</v>
      </c>
      <c r="CD9" s="4" t="s">
        <v>16</v>
      </c>
      <c r="CE9" s="4" t="s">
        <v>17</v>
      </c>
      <c r="CG9" s="39" t="s">
        <v>11</v>
      </c>
      <c r="CH9" s="40"/>
      <c r="CI9" s="39" t="s">
        <v>12</v>
      </c>
      <c r="CJ9" s="40"/>
      <c r="CK9" s="4" t="s">
        <v>13</v>
      </c>
      <c r="CL9" s="4" t="s">
        <v>14</v>
      </c>
      <c r="CM9" s="4" t="s">
        <v>15</v>
      </c>
      <c r="CN9" s="4" t="s">
        <v>16</v>
      </c>
      <c r="CO9" s="4" t="s">
        <v>17</v>
      </c>
      <c r="CQ9" s="39" t="s">
        <v>11</v>
      </c>
      <c r="CR9" s="40"/>
      <c r="CS9" s="39" t="s">
        <v>12</v>
      </c>
      <c r="CT9" s="40"/>
      <c r="CU9" s="4" t="s">
        <v>13</v>
      </c>
      <c r="CV9" s="4" t="s">
        <v>14</v>
      </c>
      <c r="CW9" s="4" t="s">
        <v>15</v>
      </c>
      <c r="CX9" s="4" t="s">
        <v>16</v>
      </c>
      <c r="CY9" s="4" t="s">
        <v>17</v>
      </c>
      <c r="DA9" s="39" t="s">
        <v>11</v>
      </c>
      <c r="DB9" s="40"/>
      <c r="DC9" s="39" t="s">
        <v>12</v>
      </c>
      <c r="DD9" s="40"/>
      <c r="DE9" s="4" t="s">
        <v>13</v>
      </c>
      <c r="DF9" s="4" t="s">
        <v>14</v>
      </c>
      <c r="DG9" s="4" t="s">
        <v>15</v>
      </c>
      <c r="DH9" s="4" t="s">
        <v>16</v>
      </c>
      <c r="DI9" s="4" t="s">
        <v>17</v>
      </c>
      <c r="DK9" s="39" t="s">
        <v>11</v>
      </c>
      <c r="DL9" s="40"/>
      <c r="DM9" s="39" t="s">
        <v>12</v>
      </c>
      <c r="DN9" s="40"/>
      <c r="DO9" s="4" t="s">
        <v>13</v>
      </c>
      <c r="DP9" s="4" t="s">
        <v>14</v>
      </c>
      <c r="DQ9" s="4" t="s">
        <v>15</v>
      </c>
      <c r="DR9" s="4" t="s">
        <v>16</v>
      </c>
      <c r="DS9" s="4" t="s">
        <v>17</v>
      </c>
      <c r="DU9" s="39" t="s">
        <v>11</v>
      </c>
      <c r="DV9" s="40"/>
      <c r="DW9" s="39" t="s">
        <v>12</v>
      </c>
      <c r="DX9" s="40"/>
      <c r="DY9" s="4" t="s">
        <v>13</v>
      </c>
      <c r="DZ9" s="4" t="s">
        <v>14</v>
      </c>
      <c r="EA9" s="4" t="s">
        <v>15</v>
      </c>
      <c r="EB9" s="4" t="s">
        <v>16</v>
      </c>
      <c r="EC9" s="4" t="s">
        <v>17</v>
      </c>
      <c r="EE9" s="39" t="s">
        <v>11</v>
      </c>
      <c r="EF9" s="40"/>
      <c r="EG9" s="39" t="s">
        <v>12</v>
      </c>
      <c r="EH9" s="40"/>
      <c r="EI9" s="4" t="s">
        <v>13</v>
      </c>
      <c r="EJ9" s="4" t="s">
        <v>14</v>
      </c>
      <c r="EK9" s="4" t="s">
        <v>15</v>
      </c>
      <c r="EL9" s="4" t="s">
        <v>16</v>
      </c>
      <c r="EM9" s="4" t="s">
        <v>17</v>
      </c>
      <c r="EO9" s="39" t="s">
        <v>11</v>
      </c>
      <c r="EP9" s="40"/>
      <c r="EQ9" s="39" t="s">
        <v>12</v>
      </c>
      <c r="ER9" s="40"/>
      <c r="ES9" s="4" t="s">
        <v>13</v>
      </c>
      <c r="ET9" s="4" t="s">
        <v>14</v>
      </c>
      <c r="EU9" s="4" t="s">
        <v>15</v>
      </c>
      <c r="EV9" s="4" t="s">
        <v>16</v>
      </c>
      <c r="EW9" s="4" t="s">
        <v>17</v>
      </c>
      <c r="EY9" s="39" t="s">
        <v>11</v>
      </c>
      <c r="EZ9" s="40"/>
      <c r="FA9" s="39" t="s">
        <v>12</v>
      </c>
      <c r="FB9" s="40"/>
      <c r="FC9" s="4" t="s">
        <v>13</v>
      </c>
      <c r="FD9" s="4" t="s">
        <v>14</v>
      </c>
      <c r="FE9" s="4" t="s">
        <v>15</v>
      </c>
      <c r="FF9" s="4" t="s">
        <v>16</v>
      </c>
      <c r="FG9" s="4" t="s">
        <v>17</v>
      </c>
      <c r="FI9" s="39" t="s">
        <v>11</v>
      </c>
      <c r="FJ9" s="40"/>
      <c r="FK9" s="39" t="s">
        <v>12</v>
      </c>
      <c r="FL9" s="40"/>
      <c r="FM9" s="4" t="s">
        <v>13</v>
      </c>
      <c r="FN9" s="4" t="s">
        <v>14</v>
      </c>
      <c r="FO9" s="4" t="s">
        <v>15</v>
      </c>
      <c r="FP9" s="4" t="s">
        <v>16</v>
      </c>
      <c r="FQ9" s="4" t="s">
        <v>17</v>
      </c>
      <c r="FS9" s="39" t="s">
        <v>11</v>
      </c>
      <c r="FT9" s="40"/>
      <c r="FU9" s="39" t="s">
        <v>12</v>
      </c>
      <c r="FV9" s="40"/>
      <c r="FW9" s="4" t="s">
        <v>13</v>
      </c>
      <c r="FX9" s="4" t="s">
        <v>14</v>
      </c>
      <c r="FY9" s="4" t="s">
        <v>15</v>
      </c>
      <c r="FZ9" s="4" t="s">
        <v>16</v>
      </c>
      <c r="GA9" s="4" t="s">
        <v>17</v>
      </c>
      <c r="GC9" s="39" t="s">
        <v>11</v>
      </c>
      <c r="GD9" s="40"/>
      <c r="GE9" s="39" t="s">
        <v>12</v>
      </c>
      <c r="GF9" s="40"/>
      <c r="GG9" s="4" t="s">
        <v>13</v>
      </c>
      <c r="GH9" s="4" t="s">
        <v>14</v>
      </c>
      <c r="GI9" s="4" t="s">
        <v>15</v>
      </c>
      <c r="GJ9" s="4" t="s">
        <v>16</v>
      </c>
      <c r="GK9" s="4" t="s">
        <v>17</v>
      </c>
      <c r="GM9" s="39" t="s">
        <v>11</v>
      </c>
      <c r="GN9" s="40"/>
      <c r="GO9" s="39" t="s">
        <v>12</v>
      </c>
      <c r="GP9" s="40"/>
      <c r="GQ9" s="4" t="s">
        <v>13</v>
      </c>
      <c r="GR9" s="4" t="s">
        <v>14</v>
      </c>
      <c r="GS9" s="4" t="s">
        <v>15</v>
      </c>
      <c r="GT9" s="4" t="s">
        <v>16</v>
      </c>
      <c r="GU9" s="4" t="s">
        <v>17</v>
      </c>
      <c r="GW9" s="39" t="s">
        <v>11</v>
      </c>
      <c r="GX9" s="40"/>
      <c r="GY9" s="39" t="s">
        <v>12</v>
      </c>
      <c r="GZ9" s="40"/>
      <c r="HA9" s="4" t="s">
        <v>13</v>
      </c>
      <c r="HB9" s="4" t="s">
        <v>14</v>
      </c>
      <c r="HC9" s="4" t="s">
        <v>15</v>
      </c>
      <c r="HD9" s="4" t="s">
        <v>16</v>
      </c>
      <c r="HE9" s="4" t="s">
        <v>17</v>
      </c>
      <c r="HG9" s="39" t="s">
        <v>11</v>
      </c>
      <c r="HH9" s="40"/>
      <c r="HI9" s="39" t="s">
        <v>12</v>
      </c>
      <c r="HJ9" s="40"/>
      <c r="HK9" s="4" t="s">
        <v>13</v>
      </c>
      <c r="HL9" s="4" t="s">
        <v>14</v>
      </c>
      <c r="HM9" s="4" t="s">
        <v>15</v>
      </c>
      <c r="HN9" s="4" t="s">
        <v>16</v>
      </c>
      <c r="HO9" s="4" t="s">
        <v>17</v>
      </c>
      <c r="HQ9" s="39" t="s">
        <v>11</v>
      </c>
      <c r="HR9" s="40"/>
      <c r="HS9" s="39" t="s">
        <v>12</v>
      </c>
      <c r="HT9" s="40"/>
      <c r="HU9" s="4" t="s">
        <v>13</v>
      </c>
      <c r="HV9" s="4" t="s">
        <v>14</v>
      </c>
      <c r="HW9" s="4" t="s">
        <v>15</v>
      </c>
      <c r="HX9" s="4" t="s">
        <v>16</v>
      </c>
      <c r="HY9" s="4" t="s">
        <v>17</v>
      </c>
      <c r="IA9" s="39" t="s">
        <v>11</v>
      </c>
      <c r="IB9" s="40"/>
      <c r="IC9" s="39" t="s">
        <v>12</v>
      </c>
      <c r="ID9" s="40"/>
      <c r="IE9" s="4" t="s">
        <v>13</v>
      </c>
      <c r="IF9" s="4" t="s">
        <v>14</v>
      </c>
      <c r="IG9" s="4" t="s">
        <v>15</v>
      </c>
      <c r="IH9" s="4" t="s">
        <v>16</v>
      </c>
      <c r="II9" s="4" t="s">
        <v>17</v>
      </c>
      <c r="IK9" s="39" t="s">
        <v>11</v>
      </c>
      <c r="IL9" s="40"/>
      <c r="IM9" s="39" t="s">
        <v>12</v>
      </c>
      <c r="IN9" s="40"/>
      <c r="IO9" s="4" t="s">
        <v>13</v>
      </c>
      <c r="IP9" s="4" t="s">
        <v>14</v>
      </c>
      <c r="IQ9" s="4" t="s">
        <v>15</v>
      </c>
      <c r="IR9" s="4" t="s">
        <v>16</v>
      </c>
      <c r="IS9" s="4" t="s">
        <v>17</v>
      </c>
      <c r="IU9" s="39" t="s">
        <v>11</v>
      </c>
      <c r="IV9" s="40"/>
      <c r="IW9" s="39" t="s">
        <v>12</v>
      </c>
      <c r="IX9" s="40"/>
      <c r="IY9" s="4" t="s">
        <v>13</v>
      </c>
      <c r="IZ9" s="4" t="s">
        <v>14</v>
      </c>
      <c r="JA9" s="4" t="s">
        <v>15</v>
      </c>
      <c r="JB9" s="4" t="s">
        <v>16</v>
      </c>
      <c r="JC9" s="4" t="s">
        <v>17</v>
      </c>
      <c r="JE9" s="39" t="s">
        <v>11</v>
      </c>
      <c r="JF9" s="40"/>
      <c r="JG9" s="39" t="s">
        <v>12</v>
      </c>
      <c r="JH9" s="40"/>
      <c r="JI9" s="4" t="s">
        <v>13</v>
      </c>
      <c r="JJ9" s="4" t="s">
        <v>14</v>
      </c>
      <c r="JK9" s="4" t="s">
        <v>15</v>
      </c>
      <c r="JL9" s="4" t="s">
        <v>16</v>
      </c>
      <c r="JM9" s="4" t="s">
        <v>17</v>
      </c>
      <c r="JO9" s="39" t="s">
        <v>11</v>
      </c>
      <c r="JP9" s="40"/>
      <c r="JQ9" s="39" t="s">
        <v>12</v>
      </c>
      <c r="JR9" s="40"/>
      <c r="JS9" s="4" t="s">
        <v>13</v>
      </c>
      <c r="JT9" s="4" t="s">
        <v>14</v>
      </c>
      <c r="JU9" s="4" t="s">
        <v>15</v>
      </c>
      <c r="JV9" s="4" t="s">
        <v>16</v>
      </c>
      <c r="JW9" s="4" t="s">
        <v>17</v>
      </c>
      <c r="JY9" s="39" t="s">
        <v>11</v>
      </c>
      <c r="JZ9" s="40"/>
      <c r="KA9" s="39" t="s">
        <v>12</v>
      </c>
      <c r="KB9" s="40"/>
      <c r="KC9" s="4" t="s">
        <v>13</v>
      </c>
      <c r="KD9" s="4" t="s">
        <v>14</v>
      </c>
      <c r="KE9" s="4" t="s">
        <v>15</v>
      </c>
      <c r="KF9" s="4" t="s">
        <v>16</v>
      </c>
      <c r="KG9" s="4" t="s">
        <v>17</v>
      </c>
      <c r="KI9" s="39" t="s">
        <v>11</v>
      </c>
      <c r="KJ9" s="40"/>
      <c r="KK9" s="39" t="s">
        <v>12</v>
      </c>
      <c r="KL9" s="40"/>
      <c r="KM9" s="4" t="s">
        <v>13</v>
      </c>
      <c r="KN9" s="4" t="s">
        <v>14</v>
      </c>
      <c r="KO9" s="4" t="s">
        <v>15</v>
      </c>
      <c r="KP9" s="4" t="s">
        <v>16</v>
      </c>
      <c r="KQ9" s="4" t="s">
        <v>17</v>
      </c>
      <c r="KS9" s="39" t="s">
        <v>11</v>
      </c>
      <c r="KT9" s="40"/>
      <c r="KU9" s="39" t="s">
        <v>12</v>
      </c>
      <c r="KV9" s="40"/>
      <c r="KW9" s="4" t="s">
        <v>13</v>
      </c>
      <c r="KX9" s="4" t="s">
        <v>14</v>
      </c>
      <c r="KY9" s="4" t="s">
        <v>15</v>
      </c>
      <c r="KZ9" s="4" t="s">
        <v>16</v>
      </c>
      <c r="LA9" s="4" t="s">
        <v>17</v>
      </c>
      <c r="LC9" s="39" t="s">
        <v>11</v>
      </c>
      <c r="LD9" s="40"/>
      <c r="LE9" s="39" t="s">
        <v>12</v>
      </c>
      <c r="LF9" s="40"/>
      <c r="LG9" s="4" t="s">
        <v>13</v>
      </c>
      <c r="LH9" s="4" t="s">
        <v>14</v>
      </c>
      <c r="LI9" s="4" t="s">
        <v>15</v>
      </c>
      <c r="LJ9" s="4" t="s">
        <v>16</v>
      </c>
      <c r="LK9" s="4" t="s">
        <v>17</v>
      </c>
      <c r="LM9" s="39" t="s">
        <v>11</v>
      </c>
      <c r="LN9" s="40"/>
      <c r="LO9" s="39" t="s">
        <v>12</v>
      </c>
      <c r="LP9" s="40"/>
      <c r="LQ9" s="4" t="s">
        <v>13</v>
      </c>
      <c r="LR9" s="4" t="s">
        <v>14</v>
      </c>
      <c r="LS9" s="4" t="s">
        <v>15</v>
      </c>
      <c r="LT9" s="4" t="s">
        <v>16</v>
      </c>
      <c r="LU9" s="4" t="s">
        <v>17</v>
      </c>
      <c r="LW9" s="39" t="s">
        <v>11</v>
      </c>
      <c r="LX9" s="40"/>
      <c r="LY9" s="39" t="s">
        <v>12</v>
      </c>
      <c r="LZ9" s="40"/>
      <c r="MA9" s="4" t="s">
        <v>13</v>
      </c>
      <c r="MB9" s="4" t="s">
        <v>14</v>
      </c>
      <c r="MC9" s="4" t="s">
        <v>15</v>
      </c>
      <c r="MD9" s="4" t="s">
        <v>16</v>
      </c>
      <c r="ME9" s="4" t="s">
        <v>17</v>
      </c>
      <c r="MG9" s="39" t="s">
        <v>11</v>
      </c>
      <c r="MH9" s="40"/>
      <c r="MI9" s="39" t="s">
        <v>12</v>
      </c>
      <c r="MJ9" s="40"/>
      <c r="MK9" s="4" t="s">
        <v>13</v>
      </c>
      <c r="ML9" s="4" t="s">
        <v>14</v>
      </c>
      <c r="MM9" s="4" t="s">
        <v>15</v>
      </c>
      <c r="MN9" s="4" t="s">
        <v>16</v>
      </c>
      <c r="MO9" s="4" t="s">
        <v>17</v>
      </c>
      <c r="MQ9" s="39" t="s">
        <v>11</v>
      </c>
      <c r="MR9" s="40"/>
      <c r="MS9" s="39" t="s">
        <v>12</v>
      </c>
      <c r="MT9" s="40"/>
      <c r="MU9" s="4" t="s">
        <v>13</v>
      </c>
      <c r="MV9" s="4" t="s">
        <v>14</v>
      </c>
      <c r="MW9" s="4" t="s">
        <v>15</v>
      </c>
      <c r="MX9" s="4" t="s">
        <v>16</v>
      </c>
      <c r="MY9" s="4" t="s">
        <v>17</v>
      </c>
      <c r="NA9" s="39" t="s">
        <v>11</v>
      </c>
      <c r="NB9" s="40"/>
      <c r="NC9" s="39" t="s">
        <v>12</v>
      </c>
      <c r="ND9" s="40"/>
      <c r="NE9" s="4" t="s">
        <v>13</v>
      </c>
      <c r="NF9" s="4" t="s">
        <v>14</v>
      </c>
      <c r="NG9" s="4" t="s">
        <v>15</v>
      </c>
      <c r="NH9" s="4" t="s">
        <v>16</v>
      </c>
      <c r="NI9" s="4" t="s">
        <v>17</v>
      </c>
      <c r="NK9" s="39" t="s">
        <v>11</v>
      </c>
      <c r="NL9" s="40"/>
      <c r="NM9" s="39" t="s">
        <v>12</v>
      </c>
      <c r="NN9" s="40"/>
      <c r="NO9" s="4" t="s">
        <v>13</v>
      </c>
      <c r="NP9" s="4" t="s">
        <v>14</v>
      </c>
      <c r="NQ9" s="4" t="s">
        <v>15</v>
      </c>
      <c r="NR9" s="4" t="s">
        <v>16</v>
      </c>
      <c r="NS9" s="4" t="s">
        <v>17</v>
      </c>
      <c r="NU9" s="39" t="s">
        <v>11</v>
      </c>
      <c r="NV9" s="40"/>
      <c r="NW9" s="39" t="s">
        <v>12</v>
      </c>
      <c r="NX9" s="40"/>
      <c r="NY9" s="4" t="s">
        <v>13</v>
      </c>
      <c r="NZ9" s="4" t="s">
        <v>14</v>
      </c>
      <c r="OA9" s="4" t="s">
        <v>15</v>
      </c>
      <c r="OB9" s="4" t="s">
        <v>16</v>
      </c>
      <c r="OC9" s="4" t="s">
        <v>17</v>
      </c>
      <c r="OE9" s="39" t="s">
        <v>11</v>
      </c>
      <c r="OF9" s="40"/>
      <c r="OG9" s="39" t="s">
        <v>12</v>
      </c>
      <c r="OH9" s="40"/>
      <c r="OI9" s="4" t="s">
        <v>13</v>
      </c>
      <c r="OJ9" s="4" t="s">
        <v>14</v>
      </c>
      <c r="OK9" s="4" t="s">
        <v>15</v>
      </c>
      <c r="OL9" s="4" t="s">
        <v>16</v>
      </c>
      <c r="OM9" s="4" t="s">
        <v>17</v>
      </c>
      <c r="OO9" s="39" t="s">
        <v>11</v>
      </c>
      <c r="OP9" s="40"/>
      <c r="OQ9" s="39" t="s">
        <v>12</v>
      </c>
      <c r="OR9" s="40"/>
      <c r="OS9" s="4" t="s">
        <v>13</v>
      </c>
      <c r="OT9" s="4" t="s">
        <v>14</v>
      </c>
      <c r="OU9" s="4" t="s">
        <v>15</v>
      </c>
      <c r="OV9" s="4" t="s">
        <v>16</v>
      </c>
      <c r="OW9" s="4" t="s">
        <v>17</v>
      </c>
      <c r="OY9" s="39" t="s">
        <v>11</v>
      </c>
      <c r="OZ9" s="40"/>
      <c r="PA9" s="39" t="s">
        <v>12</v>
      </c>
      <c r="PB9" s="40"/>
      <c r="PC9" s="4" t="s">
        <v>13</v>
      </c>
      <c r="PD9" s="4" t="s">
        <v>14</v>
      </c>
      <c r="PE9" s="4" t="s">
        <v>15</v>
      </c>
      <c r="PF9" s="4" t="s">
        <v>16</v>
      </c>
      <c r="PG9" s="4" t="s">
        <v>17</v>
      </c>
      <c r="PI9" s="39" t="s">
        <v>11</v>
      </c>
      <c r="PJ9" s="40"/>
      <c r="PK9" s="39" t="s">
        <v>12</v>
      </c>
      <c r="PL9" s="40"/>
      <c r="PM9" s="4" t="s">
        <v>13</v>
      </c>
      <c r="PN9" s="4" t="s">
        <v>14</v>
      </c>
      <c r="PO9" s="4" t="s">
        <v>15</v>
      </c>
      <c r="PP9" s="4" t="s">
        <v>16</v>
      </c>
      <c r="PQ9" s="4" t="s">
        <v>17</v>
      </c>
      <c r="PR9" s="1"/>
      <c r="PS9" s="39" t="s">
        <v>11</v>
      </c>
      <c r="PT9" s="40"/>
      <c r="PU9" s="39" t="s">
        <v>12</v>
      </c>
      <c r="PV9" s="40"/>
      <c r="PW9" s="4" t="s">
        <v>13</v>
      </c>
      <c r="PX9" s="4" t="s">
        <v>14</v>
      </c>
      <c r="PY9" s="4" t="s">
        <v>15</v>
      </c>
      <c r="PZ9" s="4" t="s">
        <v>16</v>
      </c>
      <c r="QA9" s="4" t="s">
        <v>17</v>
      </c>
      <c r="QB9" s="1"/>
      <c r="QC9" s="39" t="s">
        <v>11</v>
      </c>
      <c r="QD9" s="40"/>
      <c r="QE9" s="39" t="s">
        <v>12</v>
      </c>
      <c r="QF9" s="40"/>
      <c r="QG9" s="4" t="s">
        <v>13</v>
      </c>
      <c r="QH9" s="4" t="s">
        <v>14</v>
      </c>
      <c r="QI9" s="4" t="s">
        <v>15</v>
      </c>
      <c r="QJ9" s="4" t="s">
        <v>16</v>
      </c>
      <c r="QK9" s="4" t="s">
        <v>17</v>
      </c>
      <c r="QL9" s="1"/>
      <c r="QM9" s="39" t="s">
        <v>11</v>
      </c>
      <c r="QN9" s="40"/>
      <c r="QO9" s="39" t="s">
        <v>12</v>
      </c>
      <c r="QP9" s="40"/>
      <c r="QQ9" s="4" t="s">
        <v>13</v>
      </c>
      <c r="QR9" s="4" t="s">
        <v>14</v>
      </c>
      <c r="QS9" s="4" t="s">
        <v>15</v>
      </c>
      <c r="QT9" s="4" t="s">
        <v>16</v>
      </c>
      <c r="QU9" s="4" t="s">
        <v>17</v>
      </c>
      <c r="QV9" s="1"/>
      <c r="QW9" s="39" t="s">
        <v>11</v>
      </c>
      <c r="QX9" s="40"/>
      <c r="QY9" s="39" t="s">
        <v>12</v>
      </c>
      <c r="QZ9" s="40"/>
      <c r="RA9" s="4" t="s">
        <v>13</v>
      </c>
      <c r="RB9" s="4" t="s">
        <v>14</v>
      </c>
      <c r="RC9" s="4" t="s">
        <v>15</v>
      </c>
      <c r="RD9" s="4" t="s">
        <v>16</v>
      </c>
      <c r="RE9" s="4" t="s">
        <v>17</v>
      </c>
      <c r="RF9" s="1"/>
      <c r="RG9" s="39" t="s">
        <v>11</v>
      </c>
      <c r="RH9" s="40"/>
      <c r="RI9" s="39" t="s">
        <v>12</v>
      </c>
      <c r="RJ9" s="40"/>
      <c r="RK9" s="4" t="s">
        <v>13</v>
      </c>
      <c r="RL9" s="4" t="s">
        <v>14</v>
      </c>
      <c r="RM9" s="4" t="s">
        <v>15</v>
      </c>
      <c r="RN9" s="4" t="s">
        <v>16</v>
      </c>
      <c r="RO9" s="4" t="s">
        <v>17</v>
      </c>
      <c r="RP9" s="1"/>
      <c r="RQ9" s="39" t="s">
        <v>11</v>
      </c>
      <c r="RR9" s="40"/>
      <c r="RS9" s="39" t="s">
        <v>12</v>
      </c>
      <c r="RT9" s="40"/>
      <c r="RU9" s="4" t="s">
        <v>13</v>
      </c>
      <c r="RV9" s="4" t="s">
        <v>14</v>
      </c>
      <c r="RW9" s="4" t="s">
        <v>15</v>
      </c>
      <c r="RX9" s="4" t="s">
        <v>16</v>
      </c>
      <c r="RY9" s="4" t="s">
        <v>17</v>
      </c>
      <c r="RZ9" s="1"/>
      <c r="SA9" s="39" t="s">
        <v>11</v>
      </c>
      <c r="SB9" s="40"/>
      <c r="SC9" s="39" t="s">
        <v>12</v>
      </c>
      <c r="SD9" s="40"/>
      <c r="SE9" s="4" t="s">
        <v>13</v>
      </c>
      <c r="SF9" s="4" t="s">
        <v>14</v>
      </c>
      <c r="SG9" s="4" t="s">
        <v>15</v>
      </c>
      <c r="SH9" s="4" t="s">
        <v>16</v>
      </c>
      <c r="SI9" s="4" t="s">
        <v>17</v>
      </c>
      <c r="SJ9" s="1"/>
      <c r="SK9" s="39" t="s">
        <v>11</v>
      </c>
      <c r="SL9" s="40"/>
      <c r="SM9" s="39" t="s">
        <v>12</v>
      </c>
      <c r="SN9" s="40"/>
      <c r="SO9" s="4" t="s">
        <v>13</v>
      </c>
      <c r="SP9" s="4" t="s">
        <v>14</v>
      </c>
      <c r="SQ9" s="4" t="s">
        <v>15</v>
      </c>
      <c r="SR9" s="4" t="s">
        <v>16</v>
      </c>
      <c r="SS9" s="4" t="s">
        <v>17</v>
      </c>
      <c r="ST9" s="1"/>
      <c r="SU9" s="39" t="s">
        <v>11</v>
      </c>
      <c r="SV9" s="40"/>
      <c r="SW9" s="39" t="s">
        <v>12</v>
      </c>
      <c r="SX9" s="40"/>
      <c r="SY9" s="4" t="s">
        <v>13</v>
      </c>
      <c r="SZ9" s="4" t="s">
        <v>14</v>
      </c>
      <c r="TA9" s="4" t="s">
        <v>15</v>
      </c>
      <c r="TB9" s="4" t="s">
        <v>16</v>
      </c>
      <c r="TC9" s="4" t="s">
        <v>17</v>
      </c>
      <c r="TD9" s="1"/>
      <c r="TE9" s="39" t="s">
        <v>11</v>
      </c>
      <c r="TF9" s="40"/>
      <c r="TG9" s="39" t="s">
        <v>12</v>
      </c>
      <c r="TH9" s="40"/>
      <c r="TI9" s="4" t="s">
        <v>13</v>
      </c>
      <c r="TJ9" s="4" t="s">
        <v>14</v>
      </c>
      <c r="TK9" s="4" t="s">
        <v>15</v>
      </c>
      <c r="TL9" s="4" t="s">
        <v>16</v>
      </c>
      <c r="TM9" s="4" t="s">
        <v>17</v>
      </c>
      <c r="TN9" s="1"/>
      <c r="TO9" s="39" t="s">
        <v>11</v>
      </c>
      <c r="TP9" s="40"/>
      <c r="TQ9" s="39" t="s">
        <v>12</v>
      </c>
      <c r="TR9" s="40"/>
      <c r="TS9" s="4" t="s">
        <v>13</v>
      </c>
      <c r="TT9" s="4" t="s">
        <v>14</v>
      </c>
      <c r="TU9" s="4" t="s">
        <v>15</v>
      </c>
      <c r="TV9" s="4" t="s">
        <v>16</v>
      </c>
      <c r="TW9" s="4" t="s">
        <v>17</v>
      </c>
      <c r="TX9" s="1"/>
      <c r="TY9" s="39" t="s">
        <v>11</v>
      </c>
      <c r="TZ9" s="40"/>
      <c r="UA9" s="39" t="s">
        <v>12</v>
      </c>
      <c r="UB9" s="40"/>
      <c r="UC9" s="4" t="s">
        <v>13</v>
      </c>
      <c r="UD9" s="4" t="s">
        <v>14</v>
      </c>
      <c r="UE9" s="4" t="s">
        <v>15</v>
      </c>
      <c r="UF9" s="4" t="s">
        <v>16</v>
      </c>
      <c r="UG9" s="4" t="s">
        <v>17</v>
      </c>
      <c r="UH9" s="1"/>
      <c r="UI9" s="39" t="s">
        <v>11</v>
      </c>
      <c r="UJ9" s="40"/>
      <c r="UK9" s="39" t="s">
        <v>12</v>
      </c>
      <c r="UL9" s="40"/>
      <c r="UM9" s="4" t="s">
        <v>13</v>
      </c>
      <c r="UN9" s="4" t="s">
        <v>14</v>
      </c>
      <c r="UO9" s="4" t="s">
        <v>15</v>
      </c>
      <c r="UP9" s="4" t="s">
        <v>16</v>
      </c>
      <c r="UQ9" s="4" t="s">
        <v>17</v>
      </c>
      <c r="UR9" s="1"/>
      <c r="US9" s="39" t="s">
        <v>11</v>
      </c>
      <c r="UT9" s="40"/>
      <c r="UU9" s="39" t="s">
        <v>12</v>
      </c>
      <c r="UV9" s="40"/>
      <c r="UW9" s="4" t="s">
        <v>13</v>
      </c>
      <c r="UX9" s="4" t="s">
        <v>14</v>
      </c>
      <c r="UY9" s="4" t="s">
        <v>15</v>
      </c>
      <c r="UZ9" s="4" t="s">
        <v>16</v>
      </c>
      <c r="VA9" s="4" t="s">
        <v>17</v>
      </c>
      <c r="VB9" s="1"/>
      <c r="VC9" s="39" t="s">
        <v>11</v>
      </c>
      <c r="VD9" s="40"/>
      <c r="VE9" s="39" t="s">
        <v>12</v>
      </c>
      <c r="VF9" s="40"/>
      <c r="VG9" s="4" t="s">
        <v>13</v>
      </c>
      <c r="VH9" s="4" t="s">
        <v>14</v>
      </c>
      <c r="VI9" s="4" t="s">
        <v>15</v>
      </c>
      <c r="VJ9" s="4" t="s">
        <v>16</v>
      </c>
      <c r="VK9" s="4" t="s">
        <v>17</v>
      </c>
      <c r="VL9" s="1"/>
      <c r="VM9" s="39" t="s">
        <v>11</v>
      </c>
      <c r="VN9" s="40"/>
      <c r="VO9" s="39" t="s">
        <v>12</v>
      </c>
      <c r="VP9" s="40"/>
      <c r="VQ9" s="4" t="s">
        <v>13</v>
      </c>
      <c r="VR9" s="4" t="s">
        <v>14</v>
      </c>
      <c r="VS9" s="4" t="s">
        <v>15</v>
      </c>
      <c r="VT9" s="4" t="s">
        <v>16</v>
      </c>
      <c r="VU9" s="4" t="s">
        <v>17</v>
      </c>
      <c r="VV9" s="1"/>
      <c r="VW9" s="39" t="s">
        <v>11</v>
      </c>
      <c r="VX9" s="40"/>
      <c r="VY9" s="39" t="s">
        <v>12</v>
      </c>
      <c r="VZ9" s="40"/>
      <c r="WA9" s="4" t="s">
        <v>13</v>
      </c>
      <c r="WB9" s="4" t="s">
        <v>14</v>
      </c>
      <c r="WC9" s="4" t="s">
        <v>15</v>
      </c>
      <c r="WD9" s="4" t="s">
        <v>16</v>
      </c>
      <c r="WE9" s="4" t="s">
        <v>17</v>
      </c>
      <c r="WF9" s="1"/>
      <c r="WG9" s="39" t="s">
        <v>11</v>
      </c>
      <c r="WH9" s="40"/>
      <c r="WI9" s="39" t="s">
        <v>12</v>
      </c>
      <c r="WJ9" s="40"/>
      <c r="WK9" s="4" t="s">
        <v>13</v>
      </c>
      <c r="WL9" s="4" t="s">
        <v>14</v>
      </c>
      <c r="WM9" s="4" t="s">
        <v>15</v>
      </c>
      <c r="WN9" s="4" t="s">
        <v>16</v>
      </c>
      <c r="WO9" s="4" t="s">
        <v>17</v>
      </c>
      <c r="WP9" s="1"/>
      <c r="WQ9" s="39" t="s">
        <v>11</v>
      </c>
      <c r="WR9" s="40"/>
      <c r="WS9" s="39" t="s">
        <v>12</v>
      </c>
      <c r="WT9" s="40"/>
      <c r="WU9" s="4" t="s">
        <v>13</v>
      </c>
      <c r="WV9" s="4" t="s">
        <v>14</v>
      </c>
      <c r="WW9" s="4" t="s">
        <v>15</v>
      </c>
      <c r="WX9" s="4" t="s">
        <v>16</v>
      </c>
      <c r="WY9" s="4" t="s">
        <v>17</v>
      </c>
      <c r="WZ9" s="1"/>
      <c r="XA9" s="39" t="s">
        <v>11</v>
      </c>
      <c r="XB9" s="40"/>
      <c r="XC9" s="39" t="s">
        <v>12</v>
      </c>
      <c r="XD9" s="40"/>
      <c r="XE9" s="4" t="s">
        <v>13</v>
      </c>
      <c r="XF9" s="4" t="s">
        <v>14</v>
      </c>
      <c r="XG9" s="4" t="s">
        <v>15</v>
      </c>
      <c r="XH9" s="4" t="s">
        <v>16</v>
      </c>
      <c r="XI9" s="4" t="s">
        <v>17</v>
      </c>
      <c r="XJ9" s="1"/>
      <c r="XK9" s="39" t="s">
        <v>11</v>
      </c>
      <c r="XL9" s="40"/>
      <c r="XM9" s="39" t="s">
        <v>12</v>
      </c>
      <c r="XN9" s="40"/>
      <c r="XO9" s="4" t="s">
        <v>13</v>
      </c>
      <c r="XP9" s="4" t="s">
        <v>14</v>
      </c>
      <c r="XQ9" s="4" t="s">
        <v>15</v>
      </c>
      <c r="XR9" s="4" t="s">
        <v>16</v>
      </c>
      <c r="XS9" s="4" t="s">
        <v>17</v>
      </c>
      <c r="XT9" s="1"/>
      <c r="XU9" s="39" t="s">
        <v>11</v>
      </c>
      <c r="XV9" s="40"/>
      <c r="XW9" s="39" t="s">
        <v>12</v>
      </c>
      <c r="XX9" s="40"/>
      <c r="XY9" s="4" t="s">
        <v>13</v>
      </c>
      <c r="XZ9" s="4" t="s">
        <v>14</v>
      </c>
      <c r="YA9" s="4" t="s">
        <v>15</v>
      </c>
      <c r="YB9" s="4" t="s">
        <v>16</v>
      </c>
      <c r="YC9" s="4" t="s">
        <v>17</v>
      </c>
      <c r="YD9" s="1"/>
      <c r="YE9" s="39" t="s">
        <v>11</v>
      </c>
      <c r="YF9" s="40"/>
      <c r="YG9" s="39" t="s">
        <v>12</v>
      </c>
      <c r="YH9" s="40"/>
      <c r="YI9" s="4" t="s">
        <v>13</v>
      </c>
      <c r="YJ9" s="4" t="s">
        <v>14</v>
      </c>
      <c r="YK9" s="4" t="s">
        <v>15</v>
      </c>
      <c r="YL9" s="4" t="s">
        <v>16</v>
      </c>
      <c r="YM9" s="4" t="s">
        <v>17</v>
      </c>
      <c r="YN9" s="1"/>
      <c r="YO9" s="39" t="s">
        <v>11</v>
      </c>
      <c r="YP9" s="40"/>
      <c r="YQ9" s="39" t="s">
        <v>12</v>
      </c>
      <c r="YR9" s="40"/>
      <c r="YS9" s="4" t="s">
        <v>13</v>
      </c>
      <c r="YT9" s="4" t="s">
        <v>14</v>
      </c>
      <c r="YU9" s="4" t="s">
        <v>15</v>
      </c>
      <c r="YV9" s="4" t="s">
        <v>16</v>
      </c>
      <c r="YW9" s="4" t="s">
        <v>17</v>
      </c>
      <c r="YX9" s="1"/>
      <c r="YY9" s="39" t="s">
        <v>11</v>
      </c>
      <c r="YZ9" s="40"/>
      <c r="ZA9" s="39" t="s">
        <v>12</v>
      </c>
      <c r="ZB9" s="40"/>
      <c r="ZC9" s="4" t="s">
        <v>13</v>
      </c>
      <c r="ZD9" s="4" t="s">
        <v>14</v>
      </c>
      <c r="ZE9" s="4" t="s">
        <v>15</v>
      </c>
      <c r="ZF9" s="4" t="s">
        <v>16</v>
      </c>
      <c r="ZG9" s="4" t="s">
        <v>17</v>
      </c>
      <c r="ZH9" s="1"/>
      <c r="ZI9" s="39" t="s">
        <v>11</v>
      </c>
      <c r="ZJ9" s="40"/>
      <c r="ZK9" s="39" t="s">
        <v>12</v>
      </c>
      <c r="ZL9" s="40"/>
      <c r="ZM9" s="4" t="s">
        <v>13</v>
      </c>
      <c r="ZN9" s="4" t="s">
        <v>14</v>
      </c>
      <c r="ZO9" s="4" t="s">
        <v>15</v>
      </c>
      <c r="ZP9" s="4" t="s">
        <v>16</v>
      </c>
      <c r="ZQ9" s="4" t="s">
        <v>17</v>
      </c>
      <c r="ZR9" s="1"/>
      <c r="ZS9" s="39" t="s">
        <v>11</v>
      </c>
      <c r="ZT9" s="40"/>
      <c r="ZU9" s="39" t="s">
        <v>12</v>
      </c>
      <c r="ZV9" s="40"/>
      <c r="ZW9" s="4" t="s">
        <v>13</v>
      </c>
      <c r="ZX9" s="4" t="s">
        <v>14</v>
      </c>
      <c r="ZY9" s="4" t="s">
        <v>15</v>
      </c>
      <c r="ZZ9" s="4" t="s">
        <v>16</v>
      </c>
      <c r="AAA9" s="4" t="s">
        <v>17</v>
      </c>
      <c r="AAB9" s="1"/>
      <c r="AAC9" s="39" t="s">
        <v>11</v>
      </c>
      <c r="AAD9" s="40"/>
      <c r="AAE9" s="39" t="s">
        <v>12</v>
      </c>
      <c r="AAF9" s="40"/>
      <c r="AAG9" s="4" t="s">
        <v>13</v>
      </c>
      <c r="AAH9" s="4" t="s">
        <v>14</v>
      </c>
      <c r="AAI9" s="4" t="s">
        <v>15</v>
      </c>
      <c r="AAJ9" s="4" t="s">
        <v>16</v>
      </c>
      <c r="AAK9" s="4" t="s">
        <v>17</v>
      </c>
      <c r="AAL9" s="1"/>
      <c r="AAM9" s="39" t="s">
        <v>11</v>
      </c>
      <c r="AAN9" s="40"/>
      <c r="AAO9" s="39" t="s">
        <v>12</v>
      </c>
      <c r="AAP9" s="40"/>
      <c r="AAQ9" s="4" t="s">
        <v>13</v>
      </c>
      <c r="AAR9" s="4" t="s">
        <v>14</v>
      </c>
      <c r="AAS9" s="4" t="s">
        <v>15</v>
      </c>
      <c r="AAT9" s="4" t="s">
        <v>16</v>
      </c>
      <c r="AAU9" s="4" t="s">
        <v>17</v>
      </c>
      <c r="AAV9" s="1"/>
      <c r="AAW9" s="39" t="s">
        <v>11</v>
      </c>
      <c r="AAX9" s="40"/>
      <c r="AAY9" s="39" t="s">
        <v>12</v>
      </c>
      <c r="AAZ9" s="40"/>
      <c r="ABA9" s="4" t="s">
        <v>13</v>
      </c>
      <c r="ABB9" s="4" t="s">
        <v>14</v>
      </c>
      <c r="ABC9" s="4" t="s">
        <v>15</v>
      </c>
      <c r="ABD9" s="4" t="s">
        <v>16</v>
      </c>
      <c r="ABE9" s="4" t="s">
        <v>17</v>
      </c>
      <c r="ABF9" s="1"/>
      <c r="ABG9" s="39" t="s">
        <v>11</v>
      </c>
      <c r="ABH9" s="40"/>
      <c r="ABI9" s="39" t="s">
        <v>12</v>
      </c>
      <c r="ABJ9" s="40"/>
      <c r="ABK9" s="4" t="s">
        <v>13</v>
      </c>
      <c r="ABL9" s="4" t="s">
        <v>14</v>
      </c>
      <c r="ABM9" s="4" t="s">
        <v>15</v>
      </c>
      <c r="ABN9" s="4" t="s">
        <v>16</v>
      </c>
      <c r="ABO9" s="4" t="s">
        <v>17</v>
      </c>
      <c r="ABP9" s="1"/>
      <c r="ABQ9" s="39" t="s">
        <v>11</v>
      </c>
      <c r="ABR9" s="40"/>
      <c r="ABS9" s="39" t="s">
        <v>12</v>
      </c>
      <c r="ABT9" s="40"/>
      <c r="ABU9" s="4" t="s">
        <v>13</v>
      </c>
      <c r="ABV9" s="4" t="s">
        <v>14</v>
      </c>
      <c r="ABW9" s="4" t="s">
        <v>15</v>
      </c>
      <c r="ABX9" s="4" t="s">
        <v>16</v>
      </c>
      <c r="ABY9" s="4" t="s">
        <v>17</v>
      </c>
      <c r="ABZ9" s="1"/>
      <c r="ACA9" s="39" t="s">
        <v>11</v>
      </c>
      <c r="ACB9" s="40"/>
      <c r="ACC9" s="39" t="s">
        <v>12</v>
      </c>
      <c r="ACD9" s="40"/>
      <c r="ACE9" s="4" t="s">
        <v>13</v>
      </c>
      <c r="ACF9" s="4" t="s">
        <v>14</v>
      </c>
      <c r="ACG9" s="4" t="s">
        <v>15</v>
      </c>
      <c r="ACH9" s="4" t="s">
        <v>16</v>
      </c>
      <c r="ACI9" s="4" t="s">
        <v>17</v>
      </c>
      <c r="ACJ9" s="1"/>
      <c r="ACK9" s="39" t="s">
        <v>11</v>
      </c>
      <c r="ACL9" s="40"/>
      <c r="ACM9" s="39" t="s">
        <v>12</v>
      </c>
      <c r="ACN9" s="40"/>
      <c r="ACO9" s="4" t="s">
        <v>13</v>
      </c>
      <c r="ACP9" s="4" t="s">
        <v>14</v>
      </c>
      <c r="ACQ9" s="4" t="s">
        <v>15</v>
      </c>
      <c r="ACR9" s="4" t="s">
        <v>16</v>
      </c>
      <c r="ACS9" s="4" t="s">
        <v>17</v>
      </c>
      <c r="ACT9" s="1"/>
      <c r="ACU9" s="39" t="s">
        <v>11</v>
      </c>
      <c r="ACV9" s="40"/>
      <c r="ACW9" s="39" t="s">
        <v>12</v>
      </c>
      <c r="ACX9" s="40"/>
      <c r="ACY9" s="4" t="s">
        <v>13</v>
      </c>
      <c r="ACZ9" s="4" t="s">
        <v>14</v>
      </c>
      <c r="ADA9" s="4" t="s">
        <v>15</v>
      </c>
      <c r="ADB9" s="4" t="s">
        <v>16</v>
      </c>
      <c r="ADC9" s="4" t="s">
        <v>17</v>
      </c>
      <c r="ADD9" s="1"/>
      <c r="ADE9" s="39" t="s">
        <v>11</v>
      </c>
      <c r="ADF9" s="40"/>
      <c r="ADG9" s="39" t="s">
        <v>12</v>
      </c>
      <c r="ADH9" s="40"/>
      <c r="ADI9" s="4" t="s">
        <v>13</v>
      </c>
      <c r="ADJ9" s="4" t="s">
        <v>14</v>
      </c>
      <c r="ADK9" s="4" t="s">
        <v>15</v>
      </c>
      <c r="ADL9" s="4" t="s">
        <v>16</v>
      </c>
      <c r="ADM9" s="4" t="s">
        <v>17</v>
      </c>
      <c r="ADN9" s="1"/>
      <c r="ADO9" s="39" t="s">
        <v>11</v>
      </c>
      <c r="ADP9" s="40"/>
      <c r="ADQ9" s="39" t="s">
        <v>12</v>
      </c>
      <c r="ADR9" s="40"/>
      <c r="ADS9" s="4" t="s">
        <v>13</v>
      </c>
      <c r="ADT9" s="4" t="s">
        <v>14</v>
      </c>
      <c r="ADU9" s="4" t="s">
        <v>15</v>
      </c>
      <c r="ADV9" s="4" t="s">
        <v>16</v>
      </c>
      <c r="ADW9" s="4" t="s">
        <v>17</v>
      </c>
      <c r="ADX9" s="1"/>
      <c r="ADY9" s="39" t="s">
        <v>11</v>
      </c>
      <c r="ADZ9" s="40"/>
      <c r="AEA9" s="39" t="s">
        <v>12</v>
      </c>
      <c r="AEB9" s="40"/>
      <c r="AEC9" s="4" t="s">
        <v>13</v>
      </c>
      <c r="AED9" s="4" t="s">
        <v>14</v>
      </c>
      <c r="AEE9" s="4" t="s">
        <v>15</v>
      </c>
      <c r="AEF9" s="4" t="s">
        <v>16</v>
      </c>
      <c r="AEG9" s="4" t="s">
        <v>17</v>
      </c>
      <c r="AEH9" s="1"/>
      <c r="AEI9" s="39" t="s">
        <v>11</v>
      </c>
      <c r="AEJ9" s="40"/>
      <c r="AEK9" s="39" t="s">
        <v>12</v>
      </c>
      <c r="AEL9" s="40"/>
      <c r="AEM9" s="4" t="s">
        <v>13</v>
      </c>
      <c r="AEN9" s="4" t="s">
        <v>14</v>
      </c>
      <c r="AEO9" s="4" t="s">
        <v>15</v>
      </c>
      <c r="AEP9" s="4" t="s">
        <v>16</v>
      </c>
      <c r="AEQ9" s="4" t="s">
        <v>17</v>
      </c>
      <c r="AER9" s="1"/>
      <c r="AES9" s="39" t="s">
        <v>11</v>
      </c>
      <c r="AET9" s="40"/>
      <c r="AEU9" s="39" t="s">
        <v>12</v>
      </c>
      <c r="AEV9" s="40"/>
      <c r="AEW9" s="4" t="s">
        <v>13</v>
      </c>
      <c r="AEX9" s="4" t="s">
        <v>14</v>
      </c>
      <c r="AEY9" s="4" t="s">
        <v>15</v>
      </c>
      <c r="AEZ9" s="4" t="s">
        <v>16</v>
      </c>
      <c r="AFA9" s="4" t="s">
        <v>17</v>
      </c>
      <c r="AFB9" s="1"/>
      <c r="AFC9" s="39" t="s">
        <v>11</v>
      </c>
      <c r="AFD9" s="40"/>
      <c r="AFE9" s="39" t="s">
        <v>12</v>
      </c>
      <c r="AFF9" s="40"/>
      <c r="AFG9" s="4" t="s">
        <v>13</v>
      </c>
      <c r="AFH9" s="4" t="s">
        <v>14</v>
      </c>
      <c r="AFI9" s="4" t="s">
        <v>15</v>
      </c>
      <c r="AFJ9" s="4" t="s">
        <v>16</v>
      </c>
      <c r="AFK9" s="4" t="s">
        <v>17</v>
      </c>
      <c r="AFL9" s="1"/>
      <c r="AFM9" s="39" t="s">
        <v>11</v>
      </c>
      <c r="AFN9" s="40"/>
      <c r="AFO9" s="39" t="s">
        <v>12</v>
      </c>
      <c r="AFP9" s="40"/>
      <c r="AFQ9" s="4" t="s">
        <v>13</v>
      </c>
      <c r="AFR9" s="4" t="s">
        <v>14</v>
      </c>
      <c r="AFS9" s="4" t="s">
        <v>15</v>
      </c>
      <c r="AFT9" s="4" t="s">
        <v>16</v>
      </c>
      <c r="AFU9" s="4" t="s">
        <v>17</v>
      </c>
      <c r="AFV9" s="1"/>
      <c r="AFW9" s="39" t="s">
        <v>11</v>
      </c>
      <c r="AFX9" s="40"/>
      <c r="AFY9" s="39" t="s">
        <v>12</v>
      </c>
      <c r="AFZ9" s="40"/>
      <c r="AGA9" s="4" t="s">
        <v>13</v>
      </c>
      <c r="AGB9" s="4" t="s">
        <v>14</v>
      </c>
      <c r="AGC9" s="4" t="s">
        <v>15</v>
      </c>
      <c r="AGD9" s="4" t="s">
        <v>16</v>
      </c>
      <c r="AGE9" s="4" t="s">
        <v>17</v>
      </c>
      <c r="AGF9" s="1"/>
      <c r="AGG9" s="39" t="s">
        <v>11</v>
      </c>
      <c r="AGH9" s="40"/>
      <c r="AGI9" s="39" t="s">
        <v>12</v>
      </c>
      <c r="AGJ9" s="40"/>
      <c r="AGK9" s="4" t="s">
        <v>13</v>
      </c>
      <c r="AGL9" s="4" t="s">
        <v>14</v>
      </c>
      <c r="AGM9" s="4" t="s">
        <v>15</v>
      </c>
      <c r="AGN9" s="4" t="s">
        <v>16</v>
      </c>
      <c r="AGO9" s="4" t="s">
        <v>17</v>
      </c>
      <c r="AGP9" s="1"/>
      <c r="AGQ9" s="39" t="s">
        <v>11</v>
      </c>
      <c r="AGR9" s="40"/>
      <c r="AGS9" s="39" t="s">
        <v>12</v>
      </c>
      <c r="AGT9" s="40"/>
      <c r="AGU9" s="4" t="s">
        <v>13</v>
      </c>
      <c r="AGV9" s="4" t="s">
        <v>14</v>
      </c>
      <c r="AGW9" s="4" t="s">
        <v>15</v>
      </c>
      <c r="AGX9" s="4" t="s">
        <v>16</v>
      </c>
      <c r="AGY9" s="4" t="s">
        <v>17</v>
      </c>
      <c r="AGZ9" s="1"/>
      <c r="AHA9" s="39" t="s">
        <v>11</v>
      </c>
      <c r="AHB9" s="40"/>
      <c r="AHC9" s="39" t="s">
        <v>12</v>
      </c>
      <c r="AHD9" s="40"/>
      <c r="AHE9" s="4" t="s">
        <v>13</v>
      </c>
      <c r="AHF9" s="4" t="s">
        <v>14</v>
      </c>
      <c r="AHG9" s="4" t="s">
        <v>15</v>
      </c>
      <c r="AHH9" s="4" t="s">
        <v>16</v>
      </c>
      <c r="AHI9" s="4" t="s">
        <v>17</v>
      </c>
      <c r="AHJ9" s="1"/>
      <c r="AHK9" s="39" t="s">
        <v>11</v>
      </c>
      <c r="AHL9" s="40"/>
      <c r="AHM9" s="39" t="s">
        <v>12</v>
      </c>
      <c r="AHN9" s="40"/>
      <c r="AHO9" s="4" t="s">
        <v>13</v>
      </c>
      <c r="AHP9" s="4" t="s">
        <v>14</v>
      </c>
      <c r="AHQ9" s="4" t="s">
        <v>15</v>
      </c>
      <c r="AHR9" s="4" t="s">
        <v>16</v>
      </c>
      <c r="AHS9" s="4" t="s">
        <v>17</v>
      </c>
      <c r="AHT9" s="1"/>
      <c r="AHU9" s="39" t="s">
        <v>11</v>
      </c>
      <c r="AHV9" s="40"/>
      <c r="AHW9" s="39" t="s">
        <v>12</v>
      </c>
      <c r="AHX9" s="40"/>
      <c r="AHY9" s="4" t="s">
        <v>13</v>
      </c>
      <c r="AHZ9" s="4" t="s">
        <v>14</v>
      </c>
      <c r="AIA9" s="4" t="s">
        <v>15</v>
      </c>
      <c r="AIB9" s="4" t="s">
        <v>16</v>
      </c>
      <c r="AIC9" s="4" t="s">
        <v>17</v>
      </c>
      <c r="AID9" s="1"/>
      <c r="AIE9" s="39" t="s">
        <v>11</v>
      </c>
      <c r="AIF9" s="40"/>
      <c r="AIG9" s="39" t="s">
        <v>12</v>
      </c>
      <c r="AIH9" s="40"/>
      <c r="AII9" s="4" t="s">
        <v>13</v>
      </c>
      <c r="AIJ9" s="4" t="s">
        <v>14</v>
      </c>
      <c r="AIK9" s="4" t="s">
        <v>15</v>
      </c>
      <c r="AIL9" s="4" t="s">
        <v>16</v>
      </c>
      <c r="AIM9" s="4" t="s">
        <v>17</v>
      </c>
      <c r="AIN9" s="1"/>
      <c r="AIO9" s="39" t="s">
        <v>11</v>
      </c>
      <c r="AIP9" s="40"/>
      <c r="AIQ9" s="39" t="s">
        <v>12</v>
      </c>
      <c r="AIR9" s="40"/>
      <c r="AIS9" s="4" t="s">
        <v>13</v>
      </c>
      <c r="AIT9" s="4" t="s">
        <v>14</v>
      </c>
      <c r="AIU9" s="4" t="s">
        <v>15</v>
      </c>
      <c r="AIV9" s="4" t="s">
        <v>16</v>
      </c>
      <c r="AIW9" s="4" t="s">
        <v>17</v>
      </c>
      <c r="AIX9" s="1"/>
      <c r="AIY9" s="39" t="s">
        <v>11</v>
      </c>
      <c r="AIZ9" s="40"/>
      <c r="AJA9" s="39" t="s">
        <v>12</v>
      </c>
      <c r="AJB9" s="40"/>
      <c r="AJC9" s="4" t="s">
        <v>13</v>
      </c>
      <c r="AJD9" s="4" t="s">
        <v>14</v>
      </c>
      <c r="AJE9" s="4" t="s">
        <v>15</v>
      </c>
      <c r="AJF9" s="4" t="s">
        <v>16</v>
      </c>
      <c r="AJG9" s="4" t="s">
        <v>17</v>
      </c>
      <c r="AJH9" s="1"/>
      <c r="AJI9" s="39" t="s">
        <v>11</v>
      </c>
      <c r="AJJ9" s="40"/>
      <c r="AJK9" s="39" t="s">
        <v>12</v>
      </c>
      <c r="AJL9" s="40"/>
      <c r="AJM9" s="4" t="s">
        <v>13</v>
      </c>
      <c r="AJN9" s="4" t="s">
        <v>14</v>
      </c>
      <c r="AJO9" s="4" t="s">
        <v>15</v>
      </c>
      <c r="AJP9" s="4" t="s">
        <v>16</v>
      </c>
      <c r="AJQ9" s="4" t="s">
        <v>17</v>
      </c>
      <c r="AJR9" s="1"/>
      <c r="AJS9" s="39" t="s">
        <v>11</v>
      </c>
      <c r="AJT9" s="40"/>
      <c r="AJU9" s="39" t="s">
        <v>12</v>
      </c>
      <c r="AJV9" s="40"/>
      <c r="AJW9" s="4" t="s">
        <v>13</v>
      </c>
      <c r="AJX9" s="4" t="s">
        <v>14</v>
      </c>
      <c r="AJY9" s="4" t="s">
        <v>15</v>
      </c>
      <c r="AJZ9" s="4" t="s">
        <v>16</v>
      </c>
      <c r="AKA9" s="4" t="s">
        <v>17</v>
      </c>
      <c r="AKB9" s="1"/>
      <c r="AKC9" s="39" t="s">
        <v>11</v>
      </c>
      <c r="AKD9" s="40"/>
      <c r="AKE9" s="39" t="s">
        <v>12</v>
      </c>
      <c r="AKF9" s="40"/>
      <c r="AKG9" s="4" t="s">
        <v>13</v>
      </c>
      <c r="AKH9" s="4" t="s">
        <v>14</v>
      </c>
      <c r="AKI9" s="4" t="s">
        <v>15</v>
      </c>
      <c r="AKJ9" s="4" t="s">
        <v>16</v>
      </c>
      <c r="AKK9" s="4" t="s">
        <v>17</v>
      </c>
      <c r="AKL9" s="1"/>
      <c r="AKM9" s="39" t="s">
        <v>11</v>
      </c>
      <c r="AKN9" s="40"/>
      <c r="AKO9" s="39" t="s">
        <v>12</v>
      </c>
      <c r="AKP9" s="40"/>
      <c r="AKQ9" s="4" t="s">
        <v>13</v>
      </c>
      <c r="AKR9" s="4" t="s">
        <v>14</v>
      </c>
      <c r="AKS9" s="4" t="s">
        <v>15</v>
      </c>
      <c r="AKT9" s="4" t="s">
        <v>16</v>
      </c>
      <c r="AKU9" s="4" t="s">
        <v>17</v>
      </c>
      <c r="AKV9" s="1"/>
      <c r="AKW9" s="39" t="s">
        <v>11</v>
      </c>
      <c r="AKX9" s="40"/>
      <c r="AKY9" s="39" t="s">
        <v>12</v>
      </c>
      <c r="AKZ9" s="40"/>
      <c r="ALA9" s="4" t="s">
        <v>13</v>
      </c>
      <c r="ALB9" s="4" t="s">
        <v>14</v>
      </c>
      <c r="ALC9" s="4" t="s">
        <v>15</v>
      </c>
      <c r="ALD9" s="4" t="s">
        <v>16</v>
      </c>
      <c r="ALE9" s="4" t="s">
        <v>17</v>
      </c>
      <c r="ALF9" s="1"/>
      <c r="ALG9" s="39" t="s">
        <v>11</v>
      </c>
      <c r="ALH9" s="40"/>
      <c r="ALI9" s="39" t="s">
        <v>12</v>
      </c>
      <c r="ALJ9" s="40"/>
      <c r="ALK9" s="4" t="s">
        <v>13</v>
      </c>
      <c r="ALL9" s="4" t="s">
        <v>14</v>
      </c>
      <c r="ALM9" s="4" t="s">
        <v>15</v>
      </c>
      <c r="ALN9" s="4" t="s">
        <v>16</v>
      </c>
      <c r="ALO9" s="4" t="s">
        <v>17</v>
      </c>
      <c r="ALP9" s="1"/>
      <c r="ALQ9" s="39" t="s">
        <v>11</v>
      </c>
      <c r="ALR9" s="40"/>
      <c r="ALS9" s="39" t="s">
        <v>12</v>
      </c>
      <c r="ALT9" s="40"/>
      <c r="ALU9" s="4" t="s">
        <v>13</v>
      </c>
      <c r="ALV9" s="4" t="s">
        <v>14</v>
      </c>
      <c r="ALW9" s="4" t="s">
        <v>15</v>
      </c>
      <c r="ALX9" s="4" t="s">
        <v>16</v>
      </c>
      <c r="ALY9" s="4" t="s">
        <v>17</v>
      </c>
      <c r="ALZ9" s="1"/>
      <c r="AMA9" s="39" t="s">
        <v>11</v>
      </c>
      <c r="AMB9" s="40"/>
      <c r="AMC9" s="39" t="s">
        <v>12</v>
      </c>
      <c r="AMD9" s="40"/>
      <c r="AME9" s="4" t="s">
        <v>13</v>
      </c>
      <c r="AMF9" s="4" t="s">
        <v>14</v>
      </c>
      <c r="AMG9" s="4" t="s">
        <v>15</v>
      </c>
      <c r="AMH9" s="4" t="s">
        <v>16</v>
      </c>
      <c r="AMI9" s="4" t="s">
        <v>17</v>
      </c>
      <c r="AMJ9" s="1"/>
      <c r="AMK9" s="39" t="s">
        <v>11</v>
      </c>
      <c r="AML9" s="40"/>
      <c r="AMM9" s="39" t="s">
        <v>12</v>
      </c>
      <c r="AMN9" s="40"/>
      <c r="AMO9" s="4" t="s">
        <v>13</v>
      </c>
      <c r="AMP9" s="4" t="s">
        <v>14</v>
      </c>
      <c r="AMQ9" s="4" t="s">
        <v>15</v>
      </c>
      <c r="AMR9" s="4" t="s">
        <v>16</v>
      </c>
      <c r="AMS9" s="4" t="s">
        <v>17</v>
      </c>
      <c r="AMT9" s="1"/>
      <c r="AMU9" s="39" t="s">
        <v>11</v>
      </c>
      <c r="AMV9" s="40"/>
      <c r="AMW9" s="39" t="s">
        <v>12</v>
      </c>
      <c r="AMX9" s="40"/>
      <c r="AMY9" s="4" t="s">
        <v>13</v>
      </c>
      <c r="AMZ9" s="4" t="s">
        <v>14</v>
      </c>
      <c r="ANA9" s="4" t="s">
        <v>15</v>
      </c>
      <c r="ANB9" s="4" t="s">
        <v>16</v>
      </c>
      <c r="ANC9" s="4" t="s">
        <v>17</v>
      </c>
      <c r="AND9" s="1"/>
      <c r="ANE9" s="39" t="s">
        <v>11</v>
      </c>
      <c r="ANF9" s="40"/>
      <c r="ANG9" s="39" t="s">
        <v>12</v>
      </c>
      <c r="ANH9" s="40"/>
      <c r="ANI9" s="4" t="s">
        <v>13</v>
      </c>
      <c r="ANJ9" s="4" t="s">
        <v>14</v>
      </c>
      <c r="ANK9" s="4" t="s">
        <v>15</v>
      </c>
      <c r="ANL9" s="4" t="s">
        <v>16</v>
      </c>
      <c r="ANM9" s="4" t="s">
        <v>17</v>
      </c>
      <c r="ANN9" s="1"/>
      <c r="ANO9" s="39" t="s">
        <v>11</v>
      </c>
      <c r="ANP9" s="40"/>
      <c r="ANQ9" s="39" t="s">
        <v>12</v>
      </c>
      <c r="ANR9" s="40"/>
      <c r="ANS9" s="4" t="s">
        <v>13</v>
      </c>
      <c r="ANT9" s="4" t="s">
        <v>14</v>
      </c>
      <c r="ANU9" s="4" t="s">
        <v>15</v>
      </c>
      <c r="ANV9" s="4" t="s">
        <v>16</v>
      </c>
      <c r="ANW9" s="4" t="s">
        <v>17</v>
      </c>
      <c r="ANX9" s="1"/>
      <c r="ANY9" s="39" t="s">
        <v>11</v>
      </c>
      <c r="ANZ9" s="40"/>
      <c r="AOA9" s="39" t="s">
        <v>12</v>
      </c>
      <c r="AOB9" s="40"/>
      <c r="AOC9" s="4" t="s">
        <v>13</v>
      </c>
      <c r="AOD9" s="4" t="s">
        <v>14</v>
      </c>
      <c r="AOE9" s="4" t="s">
        <v>15</v>
      </c>
      <c r="AOF9" s="4" t="s">
        <v>16</v>
      </c>
      <c r="AOG9" s="4" t="s">
        <v>17</v>
      </c>
      <c r="AOH9" s="1"/>
      <c r="AOI9" s="39" t="s">
        <v>11</v>
      </c>
      <c r="AOJ9" s="40"/>
      <c r="AOK9" s="39" t="s">
        <v>12</v>
      </c>
      <c r="AOL9" s="40"/>
      <c r="AOM9" s="4" t="s">
        <v>13</v>
      </c>
      <c r="AON9" s="4" t="s">
        <v>14</v>
      </c>
      <c r="AOO9" s="4" t="s">
        <v>15</v>
      </c>
      <c r="AOP9" s="4" t="s">
        <v>16</v>
      </c>
      <c r="AOQ9" s="4" t="s">
        <v>17</v>
      </c>
      <c r="AOR9" s="1"/>
      <c r="AOS9" s="60" t="s">
        <v>11</v>
      </c>
      <c r="AOT9" s="61"/>
      <c r="AOU9" s="60" t="s">
        <v>12</v>
      </c>
      <c r="AOV9" s="61"/>
      <c r="AOW9" s="4" t="s">
        <v>13</v>
      </c>
      <c r="AOX9" s="4" t="s">
        <v>14</v>
      </c>
      <c r="AOY9" s="4" t="s">
        <v>15</v>
      </c>
      <c r="AOZ9" s="4" t="s">
        <v>16</v>
      </c>
      <c r="APA9" s="4" t="s">
        <v>17</v>
      </c>
    </row>
    <row r="10" spans="1:1093" ht="11.25" x14ac:dyDescent="0.2">
      <c r="A10" s="22" t="s">
        <v>27</v>
      </c>
      <c r="B10" s="14">
        <v>0.25</v>
      </c>
      <c r="C10" s="23">
        <v>1.5</v>
      </c>
      <c r="E10" s="24"/>
      <c r="F10" s="6" t="s">
        <v>20</v>
      </c>
      <c r="G10" s="24">
        <v>1.7</v>
      </c>
      <c r="H10" s="6" t="s">
        <v>20</v>
      </c>
      <c r="I10" s="5">
        <f t="shared" ref="I10:I12" si="326">IF(OR(ISNUMBER(E10), ISNUMBER(G10)), IF(ISNUMBER(E10), E10, 0) + IF(ISNUMBER(G10), G10, 0), "")</f>
        <v>1.7</v>
      </c>
      <c r="J10" s="3"/>
      <c r="K10" s="10"/>
      <c r="L10" s="5"/>
      <c r="M10" s="10" t="str">
        <f t="shared" ref="M10:M12" si="327">IF(ISNUMBER(L10), L10-K10, "")</f>
        <v/>
      </c>
      <c r="O10" s="24"/>
      <c r="P10" s="6" t="s">
        <v>20</v>
      </c>
      <c r="Q10" s="24">
        <v>0.9</v>
      </c>
      <c r="R10" s="6" t="s">
        <v>20</v>
      </c>
      <c r="S10" s="5">
        <f t="shared" ref="S10:S12" si="328">IF(OR(ISNUMBER(O10), ISNUMBER(Q10)), IF(ISNUMBER(O10), O10, 0) + IF(ISNUMBER(Q10), Q10, 0), "")</f>
        <v>0.9</v>
      </c>
      <c r="T10" s="3"/>
      <c r="U10" s="7">
        <f t="shared" ref="U10:U12" si="329">IF(ISNUMBER(S10), (I10+J10)-S10, "")</f>
        <v>0.79999999999999993</v>
      </c>
      <c r="V10" s="5">
        <v>0.33</v>
      </c>
      <c r="W10" s="7">
        <f t="shared" ref="W10:W12" si="330">IF(ISNUMBER(V10), V10-U10, "")</f>
        <v>-0.46999999999999992</v>
      </c>
      <c r="Y10" s="24">
        <v>0</v>
      </c>
      <c r="Z10" s="6" t="s">
        <v>20</v>
      </c>
      <c r="AA10" s="24">
        <v>0.5</v>
      </c>
      <c r="AB10" s="6" t="s">
        <v>20</v>
      </c>
      <c r="AC10" s="5">
        <f t="shared" ref="AC10:AC12" si="331">IF(OR(ISNUMBER(Y10), ISNUMBER(AA10)), IF(ISNUMBER(Y10), Y10, 0) + IF(ISNUMBER(AA10), AA10, 0), "")</f>
        <v>0.5</v>
      </c>
      <c r="AD10" s="3"/>
      <c r="AE10" s="10">
        <f t="shared" ref="AE10:AE12" si="332">IF(ISNUMBER(AC10), (S10+T10)-AC10, "")</f>
        <v>0.4</v>
      </c>
      <c r="AF10" s="5">
        <v>0.28999999999999998</v>
      </c>
      <c r="AG10" s="10">
        <f t="shared" ref="AG10:AG12" si="333">IF(ISNUMBER(AF10), AF10-AE10, "")</f>
        <v>-0.11000000000000004</v>
      </c>
      <c r="AI10" s="24">
        <v>0</v>
      </c>
      <c r="AJ10" s="6" t="s">
        <v>20</v>
      </c>
      <c r="AK10" s="24">
        <v>0.9</v>
      </c>
      <c r="AL10" s="6" t="s">
        <v>20</v>
      </c>
      <c r="AM10" s="5">
        <f t="shared" ref="AM10:AM12" si="334">IF(OR(ISNUMBER(AI10), ISNUMBER(AK10)), IF(ISNUMBER(AI10), AI10, 0) + IF(ISNUMBER(AK10), AK10, 0), "")</f>
        <v>0.9</v>
      </c>
      <c r="AN10" s="3">
        <v>2</v>
      </c>
      <c r="AO10" s="10">
        <f t="shared" ref="AO10:AO12" si="335">IF(ISNUMBER(AM10), (AC10+AD10)-AM10, "")</f>
        <v>-0.4</v>
      </c>
      <c r="AP10" s="5">
        <v>0.26</v>
      </c>
      <c r="AQ10" s="10">
        <f t="shared" ref="AQ10:AQ12" si="336">IF(ISNUMBER(AP10), AP10-AO10, "")</f>
        <v>0.66</v>
      </c>
      <c r="AS10" s="24">
        <v>1</v>
      </c>
      <c r="AT10" s="6" t="s">
        <v>20</v>
      </c>
      <c r="AU10" s="24">
        <v>0.7</v>
      </c>
      <c r="AV10" s="6" t="s">
        <v>20</v>
      </c>
      <c r="AW10" s="5">
        <f t="shared" ref="AW10:AW12" si="337">IF(OR(ISNUMBER(AS10), ISNUMBER(AU10)), IF(ISNUMBER(AS10), AS10, 0) + IF(ISNUMBER(AU10), AU10, 0), "")</f>
        <v>1.7</v>
      </c>
      <c r="AX10" s="3"/>
      <c r="AY10" s="10">
        <f t="shared" ref="AY10:AY12" si="338">IF(ISNUMBER(AW10), (AM10+AN10)-AW10, "")</f>
        <v>1.2</v>
      </c>
      <c r="AZ10" s="5">
        <v>0.28999999999999998</v>
      </c>
      <c r="BA10" s="10">
        <f t="shared" ref="BA10:BA12" si="339">IF(ISNUMBER(AZ10), AZ10-AY10, "")</f>
        <v>-0.90999999999999992</v>
      </c>
      <c r="BC10" s="2">
        <v>1</v>
      </c>
      <c r="BD10" s="6" t="s">
        <v>20</v>
      </c>
      <c r="BE10" s="2">
        <v>0.6</v>
      </c>
      <c r="BF10" s="6" t="s">
        <v>20</v>
      </c>
      <c r="BG10" s="5">
        <f t="shared" ref="BG10:BG12" si="340">IF(OR(ISNUMBER(BC10), ISNUMBER(BE10)), IF(ISNUMBER(BC10), BC10, 0) + IF(ISNUMBER(BE10), BE10, 0), "")</f>
        <v>1.6</v>
      </c>
      <c r="BH10" s="3"/>
      <c r="BI10" s="10">
        <f t="shared" ref="BI10:BI12" si="341">IF(ISNUMBER(BG10), (AW10+AX10)-BG10, "")</f>
        <v>9.9999999999999867E-2</v>
      </c>
      <c r="BJ10" s="5">
        <v>0.27</v>
      </c>
      <c r="BK10" s="10">
        <f t="shared" ref="BK10:BK12" si="342">IF(ISNUMBER(BJ10), BJ10-BI10, "")</f>
        <v>0.17000000000000015</v>
      </c>
      <c r="BM10" s="2">
        <v>1</v>
      </c>
      <c r="BN10" s="6" t="s">
        <v>20</v>
      </c>
      <c r="BO10" s="2">
        <v>0.5</v>
      </c>
      <c r="BP10" s="6" t="s">
        <v>20</v>
      </c>
      <c r="BQ10" s="5">
        <f t="shared" ref="BQ10:BQ12" si="343">IF(OR(ISNUMBER(BM10), ISNUMBER(BO10)), IF(ISNUMBER(BM10), BM10, 0) + IF(ISNUMBER(BO10), BO10, 0), "")</f>
        <v>1.5</v>
      </c>
      <c r="BR10" s="3"/>
      <c r="BS10" s="10">
        <f t="shared" ref="BS10:BS12" si="344">IF(ISNUMBER(BQ10), (BG10+BH10)-BQ10, "")</f>
        <v>0.10000000000000009</v>
      </c>
      <c r="BT10" s="5">
        <v>0.09</v>
      </c>
      <c r="BU10" s="10">
        <f t="shared" ref="BU10:BU12" si="345">IF(ISNUMBER(BT10), BT10-BS10, "")</f>
        <v>-1.0000000000000092E-2</v>
      </c>
      <c r="BW10" s="24">
        <v>0</v>
      </c>
      <c r="BX10" s="6" t="s">
        <v>20</v>
      </c>
      <c r="BY10" s="24">
        <v>1</v>
      </c>
      <c r="BZ10" s="6" t="s">
        <v>20</v>
      </c>
      <c r="CA10" s="5">
        <f t="shared" ref="CA10:CA12" si="346">IF(OR(ISNUMBER(BW10), ISNUMBER(BY10)), IF(ISNUMBER(BW10), BW10, 0) + IF(ISNUMBER(BY10), BY10, 0), "")</f>
        <v>1</v>
      </c>
      <c r="CB10" s="3"/>
      <c r="CC10" s="10">
        <f t="shared" ref="CC10:CC12" si="347">IF(ISNUMBER(CA10), (BQ10+BR10)-CA10, "")</f>
        <v>0.5</v>
      </c>
      <c r="CD10" s="5">
        <v>0.41</v>
      </c>
      <c r="CE10" s="10">
        <f t="shared" ref="CE10:CE12" si="348">IF(ISNUMBER(CD10), CD10-CC10, "")</f>
        <v>-9.0000000000000024E-2</v>
      </c>
      <c r="CG10" s="24">
        <v>0</v>
      </c>
      <c r="CH10" s="6" t="s">
        <v>20</v>
      </c>
      <c r="CI10" s="24">
        <v>0.7</v>
      </c>
      <c r="CJ10" s="6" t="s">
        <v>20</v>
      </c>
      <c r="CK10" s="5">
        <f t="shared" ref="CK10:CK12" si="349">IF(OR(ISNUMBER(CG10), ISNUMBER(CI10)), IF(ISNUMBER(CG10), CG10, 0) + IF(ISNUMBER(CI10), CI10, 0), "")</f>
        <v>0.7</v>
      </c>
      <c r="CL10" s="3">
        <v>1</v>
      </c>
      <c r="CM10" s="10">
        <f t="shared" ref="CM10:CM12" si="350">IF(ISNUMBER(CK10), (CA10+CB10)-CK10, "")</f>
        <v>0.30000000000000004</v>
      </c>
      <c r="CN10" s="5">
        <v>0.31</v>
      </c>
      <c r="CO10" s="10">
        <f t="shared" ref="CO10:CO12" si="351">IF(ISNUMBER(CN10), CN10-CM10, "")</f>
        <v>9.9999999999999534E-3</v>
      </c>
      <c r="CQ10" s="24">
        <v>1</v>
      </c>
      <c r="CR10" s="6" t="s">
        <v>20</v>
      </c>
      <c r="CS10" s="24">
        <v>1</v>
      </c>
      <c r="CT10" s="6" t="s">
        <v>20</v>
      </c>
      <c r="CU10" s="5">
        <f t="shared" ref="CU10:CU12" si="352">IF(OR(ISNUMBER(CQ10), ISNUMBER(CS10)), IF(ISNUMBER(CQ10), CQ10, 0) + IF(ISNUMBER(CS10), CS10, 0), "")</f>
        <v>2</v>
      </c>
      <c r="CV10" s="3"/>
      <c r="CW10" s="10">
        <f t="shared" ref="CW10:CW12" si="353">IF(ISNUMBER(CU10), (CK10+CL10)-CU10, "")</f>
        <v>-0.30000000000000004</v>
      </c>
      <c r="CX10" s="5">
        <v>0.28999999999999998</v>
      </c>
      <c r="CY10" s="10">
        <f t="shared" ref="CY10:CY12" si="354">IF(ISNUMBER(CX10), CX10-CW10, "")</f>
        <v>0.59000000000000008</v>
      </c>
      <c r="DA10" s="24">
        <v>1</v>
      </c>
      <c r="DB10" s="6" t="s">
        <v>20</v>
      </c>
      <c r="DC10" s="24">
        <v>0.9</v>
      </c>
      <c r="DD10" s="6" t="s">
        <v>20</v>
      </c>
      <c r="DE10" s="5">
        <f t="shared" ref="DE10:DE12" si="355">IF(OR(ISNUMBER(DA10), ISNUMBER(DC10)), IF(ISNUMBER(DA10), DA10, 0) + IF(ISNUMBER(DC10), DC10, 0), "")</f>
        <v>1.9</v>
      </c>
      <c r="DF10" s="3"/>
      <c r="DG10" s="10">
        <f t="shared" ref="DG10:DG12" si="356">IF(ISNUMBER(DE10), (CU10+CV10)-DE10, "")</f>
        <v>0.10000000000000009</v>
      </c>
      <c r="DH10" s="5">
        <v>0.15</v>
      </c>
      <c r="DI10" s="10">
        <f t="shared" ref="DI10:DI12" si="357">IF(ISNUMBER(DH10), DH10-DG10, "")</f>
        <v>4.9999999999999906E-2</v>
      </c>
      <c r="DK10" s="24">
        <v>1</v>
      </c>
      <c r="DL10" s="6" t="s">
        <v>20</v>
      </c>
      <c r="DM10" s="24">
        <v>0.3</v>
      </c>
      <c r="DN10" s="6" t="s">
        <v>20</v>
      </c>
      <c r="DO10" s="5">
        <f t="shared" ref="DO10:DO12" si="358">IF(OR(ISNUMBER(DK10), ISNUMBER(DM10)), IF(ISNUMBER(DK10), DK10, 0) + IF(ISNUMBER(DM10), DM10, 0), "")</f>
        <v>1.3</v>
      </c>
      <c r="DP10" s="3"/>
      <c r="DQ10" s="10">
        <f t="shared" ref="DQ10:DQ12" si="359">IF(ISNUMBER(DO10), (DE10+DF10)-DO10, "")</f>
        <v>0.59999999999999987</v>
      </c>
      <c r="DR10" s="5">
        <v>7.0000000000000007E-2</v>
      </c>
      <c r="DS10" s="10">
        <f t="shared" ref="DS10:DS12" si="360">IF(ISNUMBER(DR10), DR10-DQ10, "")</f>
        <v>-0.5299999999999998</v>
      </c>
      <c r="DU10" s="24">
        <v>0</v>
      </c>
      <c r="DV10" s="6" t="s">
        <v>20</v>
      </c>
      <c r="DW10" s="24">
        <v>0.7</v>
      </c>
      <c r="DX10" s="6" t="s">
        <v>20</v>
      </c>
      <c r="DY10" s="5">
        <f t="shared" ref="DY10:DY12" si="361">IF(OR(ISNUMBER(DU10), ISNUMBER(DW10)), IF(ISNUMBER(DU10), DU10, 0) + IF(ISNUMBER(DW10), DW10, 0), "")</f>
        <v>0.7</v>
      </c>
      <c r="DZ10" s="3">
        <v>1</v>
      </c>
      <c r="EA10" s="10">
        <f t="shared" ref="EA10:EA12" si="362">IF(ISNUMBER(DY10), (DO10+DP10)-DY10, "")</f>
        <v>0.60000000000000009</v>
      </c>
      <c r="EB10" s="5">
        <v>0.38</v>
      </c>
      <c r="EC10" s="10">
        <f t="shared" ref="EC10:EC12" si="363">IF(ISNUMBER(EB10), EB10-EA10, "")</f>
        <v>-0.22000000000000008</v>
      </c>
      <c r="EE10" s="24">
        <v>1</v>
      </c>
      <c r="EF10" s="6" t="s">
        <v>20</v>
      </c>
      <c r="EG10" s="24">
        <v>0.5</v>
      </c>
      <c r="EH10" s="6" t="s">
        <v>20</v>
      </c>
      <c r="EI10" s="5">
        <f t="shared" ref="EI10:EI12" si="364">IF(OR(ISNUMBER(EE10), ISNUMBER(EG10)), IF(ISNUMBER(EE10), EE10, 0) + IF(ISNUMBER(EG10), EG10, 0), "")</f>
        <v>1.5</v>
      </c>
      <c r="EJ10" s="3"/>
      <c r="EK10" s="10">
        <f t="shared" ref="EK10:EK12" si="365">IF(ISNUMBER(EI10), (DY10+DZ10)-EI10, "")</f>
        <v>0.19999999999999996</v>
      </c>
      <c r="EL10" s="5">
        <v>0.19</v>
      </c>
      <c r="EM10" s="10">
        <f t="shared" ref="EM10:EM12" si="366">IF(ISNUMBER(EL10), EL10-EK10, "")</f>
        <v>-9.9999999999999534E-3</v>
      </c>
      <c r="EO10" s="24">
        <v>1</v>
      </c>
      <c r="EP10" s="6" t="s">
        <v>20</v>
      </c>
      <c r="EQ10" s="24">
        <v>0.1</v>
      </c>
      <c r="ER10" s="6" t="s">
        <v>20</v>
      </c>
      <c r="ES10" s="5">
        <f t="shared" ref="ES10:ES12" si="367">IF(OR(ISNUMBER(EO10), ISNUMBER(EQ10)), IF(ISNUMBER(EO10), EO10, 0) + IF(ISNUMBER(EQ10), EQ10, 0), "")</f>
        <v>1.1000000000000001</v>
      </c>
      <c r="ET10" s="3"/>
      <c r="EU10" s="10">
        <f t="shared" ref="EU10:EU12" si="368">IF(ISNUMBER(ES10), (EI10+EJ10)-ES10, "")</f>
        <v>0.39999999999999991</v>
      </c>
      <c r="EV10" s="5">
        <v>7.0000000000000007E-2</v>
      </c>
      <c r="EW10" s="10">
        <f t="shared" ref="EW10:EW12" si="369">IF(ISNUMBER(EV10), EV10-EU10, "")</f>
        <v>-0.3299999999999999</v>
      </c>
      <c r="EY10" s="24">
        <v>1</v>
      </c>
      <c r="EZ10" s="6" t="s">
        <v>20</v>
      </c>
      <c r="FA10" s="24">
        <v>0.1</v>
      </c>
      <c r="FB10" s="6" t="s">
        <v>20</v>
      </c>
      <c r="FC10" s="5">
        <f t="shared" ref="FC10:FC12" si="370">IF(OR(ISNUMBER(EY10), ISNUMBER(FA10)), IF(ISNUMBER(EY10), EY10, 0) + IF(ISNUMBER(FA10), FA10, 0), "")</f>
        <v>1.1000000000000001</v>
      </c>
      <c r="FD10" s="3"/>
      <c r="FE10" s="10">
        <f t="shared" ref="FE10:FE12" si="371">IF(ISNUMBER(FC10), (ES10+ET10)-FC10, "")</f>
        <v>0</v>
      </c>
      <c r="FF10" s="5">
        <v>7.0000000000000007E-2</v>
      </c>
      <c r="FG10" s="10">
        <f t="shared" ref="FG10:FG12" si="372">IF(ISNUMBER(FF10), FF10-FE10, "")</f>
        <v>7.0000000000000007E-2</v>
      </c>
      <c r="FI10" s="24">
        <v>0</v>
      </c>
      <c r="FJ10" s="6" t="s">
        <v>20</v>
      </c>
      <c r="FK10" s="24">
        <v>0.7</v>
      </c>
      <c r="FL10" s="6" t="s">
        <v>20</v>
      </c>
      <c r="FM10" s="5">
        <f t="shared" ref="FM10:FM12" si="373">IF(OR(ISNUMBER(FI10), ISNUMBER(FK10)), IF(ISNUMBER(FI10), FI10, 0) + IF(ISNUMBER(FK10), FK10, 0), "")</f>
        <v>0.7</v>
      </c>
      <c r="FN10" s="3"/>
      <c r="FO10" s="10">
        <f t="shared" ref="FO10:FO12" si="374">IF(ISNUMBER(FM10), (FC10+FD10)-FM10, "")</f>
        <v>0.40000000000000013</v>
      </c>
      <c r="FP10" s="5">
        <v>0.24</v>
      </c>
      <c r="FQ10" s="10">
        <f t="shared" ref="FQ10:FQ12" si="375">IF(ISNUMBER(FP10), FP10-FO10, "")</f>
        <v>-0.16000000000000014</v>
      </c>
      <c r="FS10" s="24">
        <v>0</v>
      </c>
      <c r="FT10" s="6" t="s">
        <v>20</v>
      </c>
      <c r="FU10" s="24">
        <v>0.5</v>
      </c>
      <c r="FV10" s="6" t="s">
        <v>20</v>
      </c>
      <c r="FW10" s="5">
        <f t="shared" ref="FW10:FW12" si="376">IF(OR(ISNUMBER(FS10), ISNUMBER(FU10)), IF(ISNUMBER(FS10), FS10, 0) + IF(ISNUMBER(FU10), FU10, 0), "")</f>
        <v>0.5</v>
      </c>
      <c r="FX10" s="3">
        <v>1</v>
      </c>
      <c r="FY10" s="10">
        <f t="shared" ref="FY10:FY12" si="377">IF(ISNUMBER(FW10), (FM10+FN10)-FW10, "")</f>
        <v>0.19999999999999996</v>
      </c>
      <c r="FZ10" s="5">
        <v>0.22</v>
      </c>
      <c r="GA10" s="10">
        <f t="shared" ref="GA10:GA12" si="378">IF(ISNUMBER(FZ10), FZ10-FY10, "")</f>
        <v>2.0000000000000046E-2</v>
      </c>
      <c r="GC10" s="24">
        <v>1</v>
      </c>
      <c r="GD10" s="6" t="s">
        <v>20</v>
      </c>
      <c r="GE10" s="24">
        <v>0.5</v>
      </c>
      <c r="GF10" s="6" t="s">
        <v>20</v>
      </c>
      <c r="GG10" s="5">
        <f t="shared" ref="GG10:GG12" si="379">IF(OR(ISNUMBER(GC10), ISNUMBER(GE10)), IF(ISNUMBER(GC10), GC10, 0) + IF(ISNUMBER(GE10), GE10, 0), "")</f>
        <v>1.5</v>
      </c>
      <c r="GH10" s="3"/>
      <c r="GI10" s="10">
        <f t="shared" ref="GI10:GI12" si="380">IF(ISNUMBER(GG10), (FW10+FX10)-GG10, "")</f>
        <v>0</v>
      </c>
      <c r="GJ10" s="5">
        <v>0.17</v>
      </c>
      <c r="GK10" s="10">
        <f t="shared" ref="GK10:GK12" si="381">IF(ISNUMBER(GJ10), GJ10-GI10, "")</f>
        <v>0.17</v>
      </c>
      <c r="GM10" s="24">
        <v>0</v>
      </c>
      <c r="GN10" s="6" t="s">
        <v>20</v>
      </c>
      <c r="GO10" s="24">
        <v>1</v>
      </c>
      <c r="GP10" s="6" t="s">
        <v>20</v>
      </c>
      <c r="GQ10" s="5">
        <f t="shared" ref="GQ10:GQ12" si="382">IF(OR(ISNUMBER(GM10), ISNUMBER(GO10)), IF(ISNUMBER(GM10), GM10, 0) + IF(ISNUMBER(GO10), GO10, 0), "")</f>
        <v>1</v>
      </c>
      <c r="GR10" s="3"/>
      <c r="GS10" s="10">
        <f t="shared" ref="GS10:GS12" si="383">IF(ISNUMBER(GQ10), (GG10+GH10)-GQ10, "")</f>
        <v>0.5</v>
      </c>
      <c r="GT10" s="5">
        <v>0.17</v>
      </c>
      <c r="GU10" s="10">
        <f t="shared" ref="GU10:GU12" si="384">IF(ISNUMBER(GT10), GT10-GS10, "")</f>
        <v>-0.32999999999999996</v>
      </c>
      <c r="GW10" s="24">
        <v>0</v>
      </c>
      <c r="GX10" s="6" t="s">
        <v>20</v>
      </c>
      <c r="GY10" s="24">
        <v>0.9</v>
      </c>
      <c r="GZ10" s="6" t="s">
        <v>20</v>
      </c>
      <c r="HA10" s="5">
        <f t="shared" ref="HA10:HA12" si="385">IF(OR(ISNUMBER(GW10), ISNUMBER(GY10)), IF(ISNUMBER(GW10), GW10, 0) + IF(ISNUMBER(GY10), GY10, 0), "")</f>
        <v>0.9</v>
      </c>
      <c r="HB10" s="3"/>
      <c r="HC10" s="10">
        <f t="shared" ref="HC10:HC12" si="386">IF(ISNUMBER(HA10), (GQ10+GR10)-HA10, "")</f>
        <v>9.9999999999999978E-2</v>
      </c>
      <c r="HD10" s="5">
        <v>0.15</v>
      </c>
      <c r="HE10" s="10">
        <f t="shared" ref="HE10:HE12" si="387">IF(ISNUMBER(HD10), HD10-HC10, "")</f>
        <v>5.0000000000000017E-2</v>
      </c>
      <c r="HG10" s="24">
        <v>0</v>
      </c>
      <c r="HH10" s="6" t="s">
        <v>20</v>
      </c>
      <c r="HI10" s="24">
        <v>0</v>
      </c>
      <c r="HJ10" s="6" t="s">
        <v>20</v>
      </c>
      <c r="HK10" s="5">
        <f t="shared" ref="HK10:HK12" si="388">IF(OR(ISNUMBER(HG10), ISNUMBER(HI10)), IF(ISNUMBER(HG10), HG10, 0) + IF(ISNUMBER(HI10), HI10, 0), "")</f>
        <v>0</v>
      </c>
      <c r="HL10" s="3"/>
      <c r="HM10" s="10">
        <f t="shared" ref="HM10:HM12" si="389">IF(ISNUMBER(HK10), (HA10+HB10)-HK10, "")</f>
        <v>0.9</v>
      </c>
      <c r="HN10" s="5">
        <v>0.19</v>
      </c>
      <c r="HO10" s="10">
        <f t="shared" ref="HO10:HO12" si="390">IF(ISNUMBER(HN10), HN10-HM10, "")</f>
        <v>-0.71</v>
      </c>
      <c r="HQ10" s="24">
        <v>0</v>
      </c>
      <c r="HR10" s="6" t="s">
        <v>20</v>
      </c>
      <c r="HS10" s="24">
        <v>0.5</v>
      </c>
      <c r="HT10" s="6" t="s">
        <v>20</v>
      </c>
      <c r="HU10" s="5">
        <f t="shared" ref="HU10:HU12" si="391">IF(OR(ISNUMBER(HQ10), ISNUMBER(HS10)), IF(ISNUMBER(HQ10), HQ10, 0) + IF(ISNUMBER(HS10), HS10, 0), "")</f>
        <v>0.5</v>
      </c>
      <c r="HV10" s="3">
        <v>0</v>
      </c>
      <c r="HW10" s="10">
        <f t="shared" ref="HW10:HW12" si="392">IF(ISNUMBER(HU10), (HK10+HL10)-HU10, "")</f>
        <v>-0.5</v>
      </c>
      <c r="HX10" s="5">
        <v>0.14000000000000001</v>
      </c>
      <c r="HY10" s="10">
        <f t="shared" ref="HY10:HY12" si="393">IF(ISNUMBER(HX10), HX10-HW10, "")</f>
        <v>0.64</v>
      </c>
      <c r="IA10" s="24">
        <v>0</v>
      </c>
      <c r="IB10" s="6" t="s">
        <v>20</v>
      </c>
      <c r="IC10" s="24">
        <v>0</v>
      </c>
      <c r="ID10" s="6" t="s">
        <v>20</v>
      </c>
      <c r="IE10" s="5">
        <f t="shared" ref="IE10:IE12" si="394">IF(OR(ISNUMBER(IA10), ISNUMBER(IC10)), IF(ISNUMBER(IA10), IA10, 0) + IF(ISNUMBER(IC10), IC10, 0), "")</f>
        <v>0</v>
      </c>
      <c r="IF10" s="3"/>
      <c r="IG10" s="10">
        <f t="shared" ref="IG10:IG12" si="395">IF(ISNUMBER(IE10), (HU10+HV10)-IE10, "")</f>
        <v>0.5</v>
      </c>
      <c r="IH10" s="5">
        <v>0.31</v>
      </c>
      <c r="II10" s="10">
        <f t="shared" ref="II10:II12" si="396">IF(ISNUMBER(IH10), IH10-IG10, "")</f>
        <v>-0.19</v>
      </c>
      <c r="IK10" s="24">
        <v>0</v>
      </c>
      <c r="IL10" s="6" t="s">
        <v>20</v>
      </c>
      <c r="IM10" s="24">
        <v>0</v>
      </c>
      <c r="IN10" s="6" t="s">
        <v>20</v>
      </c>
      <c r="IO10" s="5">
        <f t="shared" ref="IO10:IO12" si="397">IF(OR(ISNUMBER(IK10), ISNUMBER(IM10)), IF(ISNUMBER(IK10), IK10, 0) + IF(ISNUMBER(IM10), IM10, 0), "")</f>
        <v>0</v>
      </c>
      <c r="IP10" s="3">
        <v>2</v>
      </c>
      <c r="IQ10" s="10">
        <f t="shared" ref="IQ10:IQ12" si="398">IF(ISNUMBER(IO10), (IE10+IF10)-IO10, "")</f>
        <v>0</v>
      </c>
      <c r="IR10" s="5"/>
      <c r="IS10" s="10" t="str">
        <f t="shared" ref="IS10:IS12" si="399">IF(ISNUMBER(IR10), IR10-IQ10, "")</f>
        <v/>
      </c>
      <c r="IU10" s="24">
        <v>1</v>
      </c>
      <c r="IV10" s="6" t="s">
        <v>20</v>
      </c>
      <c r="IW10" s="24">
        <v>0.7</v>
      </c>
      <c r="IX10" s="6" t="s">
        <v>20</v>
      </c>
      <c r="IY10" s="5">
        <f t="shared" ref="IY10:IY12" si="400">IF(OR(ISNUMBER(IU10), ISNUMBER(IW10)), IF(ISNUMBER(IU10), IU10, 0) + IF(ISNUMBER(IW10), IW10, 0), "")</f>
        <v>1.7</v>
      </c>
      <c r="IZ10" s="3"/>
      <c r="JA10" s="10">
        <f t="shared" ref="JA10:JA12" si="401">IF(ISNUMBER(IY10), (IO10+IP10)-IY10, "")</f>
        <v>0.30000000000000004</v>
      </c>
      <c r="JB10" s="5">
        <v>0.1</v>
      </c>
      <c r="JC10" s="10">
        <f t="shared" ref="JC10:JC12" si="402">IF(ISNUMBER(JB10), JB10-JA10, "")</f>
        <v>-0.20000000000000004</v>
      </c>
      <c r="JE10" s="24">
        <v>0</v>
      </c>
      <c r="JF10" s="6" t="s">
        <v>20</v>
      </c>
      <c r="JG10" s="24">
        <v>1</v>
      </c>
      <c r="JH10" s="6" t="s">
        <v>20</v>
      </c>
      <c r="JI10" s="5">
        <f t="shared" ref="JI10:JI12" si="403">IF(OR(ISNUMBER(JE10), ISNUMBER(JG10)), IF(ISNUMBER(JE10), JE10, 0) + IF(ISNUMBER(JG10), JG10, 0), "")</f>
        <v>1</v>
      </c>
      <c r="JJ10" s="3">
        <v>1</v>
      </c>
      <c r="JK10" s="10">
        <f t="shared" ref="JK10:JK12" si="404">IF(ISNUMBER(JI10), (IY10+IZ10)-JI10, "")</f>
        <v>0.7</v>
      </c>
      <c r="JL10" s="5">
        <v>0.48</v>
      </c>
      <c r="JM10" s="10">
        <f t="shared" ref="JM10:JM12" si="405">IF(ISNUMBER(JL10), JL10-JK10, "")</f>
        <v>-0.21999999999999997</v>
      </c>
      <c r="JO10" s="24">
        <v>1</v>
      </c>
      <c r="JP10" s="6" t="s">
        <v>20</v>
      </c>
      <c r="JQ10" s="24">
        <v>1</v>
      </c>
      <c r="JR10" s="6" t="s">
        <v>20</v>
      </c>
      <c r="JS10" s="5">
        <f t="shared" ref="JS10:JS12" si="406">IF(OR(ISNUMBER(JO10), ISNUMBER(JQ10)), IF(ISNUMBER(JO10), JO10, 0) + IF(ISNUMBER(JQ10), JQ10, 0), "")</f>
        <v>2</v>
      </c>
      <c r="JT10" s="3"/>
      <c r="JU10" s="10">
        <f t="shared" ref="JU10:JU12" si="407">IF(ISNUMBER(JS10), (JI10+JJ10)-JS10, "")</f>
        <v>0</v>
      </c>
      <c r="JV10" s="5">
        <v>0.19</v>
      </c>
      <c r="JW10" s="10">
        <f t="shared" ref="JW10:JW12" si="408">IF(ISNUMBER(JV10), JV10-JU10, "")</f>
        <v>0.19</v>
      </c>
      <c r="JY10" s="24">
        <v>1</v>
      </c>
      <c r="JZ10" s="6" t="s">
        <v>20</v>
      </c>
      <c r="KA10" s="24">
        <v>0.1</v>
      </c>
      <c r="KB10" s="6" t="s">
        <v>20</v>
      </c>
      <c r="KC10" s="5">
        <f t="shared" ref="KC10:KC12" si="409">IF(OR(ISNUMBER(JY10), ISNUMBER(KA10)), IF(ISNUMBER(JY10), JY10, 0) + IF(ISNUMBER(KA10), KA10, 0), "")</f>
        <v>1.1000000000000001</v>
      </c>
      <c r="KD10" s="3">
        <v>1</v>
      </c>
      <c r="KE10" s="10">
        <f t="shared" ref="KE10:KE12" si="410">IF(ISNUMBER(KC10), (JS10+JT10)-KC10, "")</f>
        <v>0.89999999999999991</v>
      </c>
      <c r="KF10" s="5">
        <v>0.77</v>
      </c>
      <c r="KG10" s="10">
        <f t="shared" ref="KG10:KG12" si="411">IF(ISNUMBER(KF10), KF10-KE10, "")</f>
        <v>-0.12999999999999989</v>
      </c>
      <c r="KI10" s="24">
        <v>1</v>
      </c>
      <c r="KJ10" s="6" t="s">
        <v>20</v>
      </c>
      <c r="KK10" s="24">
        <v>0.7</v>
      </c>
      <c r="KL10" s="6" t="s">
        <v>20</v>
      </c>
      <c r="KM10" s="5">
        <f t="shared" ref="KM10:KM12" si="412">IF(OR(ISNUMBER(KI10), ISNUMBER(KK10)), IF(ISNUMBER(KI10), KI10, 0) + IF(ISNUMBER(KK10), KK10, 0), "")</f>
        <v>1.7</v>
      </c>
      <c r="KN10" s="3"/>
      <c r="KO10" s="10">
        <f t="shared" ref="KO10:KO12" si="413">IF(ISNUMBER(KM10), (KC10+KD10)-KM10, "")</f>
        <v>0.40000000000000013</v>
      </c>
      <c r="KP10" s="5">
        <v>0.57999999999999996</v>
      </c>
      <c r="KQ10" s="10">
        <f t="shared" ref="KQ10:KQ12" si="414">IF(ISNUMBER(KP10), KP10-KO10, "")</f>
        <v>0.17999999999999983</v>
      </c>
      <c r="KS10" s="24">
        <v>1</v>
      </c>
      <c r="KT10" s="6" t="s">
        <v>20</v>
      </c>
      <c r="KU10" s="24">
        <v>0.1</v>
      </c>
      <c r="KV10" s="6" t="s">
        <v>20</v>
      </c>
      <c r="KW10" s="5">
        <f t="shared" ref="KW10:KW12" si="415">IF(OR(ISNUMBER(KS10), ISNUMBER(KU10)), IF(ISNUMBER(KS10), KS10, 0) + IF(ISNUMBER(KU10), KU10, 0), "")</f>
        <v>1.1000000000000001</v>
      </c>
      <c r="KX10" s="3">
        <v>1</v>
      </c>
      <c r="KY10" s="10">
        <f t="shared" ref="KY10:KY12" si="416">IF(ISNUMBER(KW10), (KM10+KN10)-KW10, "")</f>
        <v>0.59999999999999987</v>
      </c>
      <c r="KZ10" s="5">
        <v>0.36</v>
      </c>
      <c r="LA10" s="10">
        <f t="shared" ref="LA10:LA12" si="417">IF(ISNUMBER(KZ10), KZ10-KY10, "")</f>
        <v>-0.23999999999999988</v>
      </c>
      <c r="LC10" s="24">
        <v>2</v>
      </c>
      <c r="LD10" s="6" t="s">
        <v>20</v>
      </c>
      <c r="LE10" s="24">
        <v>0</v>
      </c>
      <c r="LF10" s="6" t="s">
        <v>20</v>
      </c>
      <c r="LG10" s="5">
        <f t="shared" ref="LG10:LG12" si="418">IF(OR(ISNUMBER(LC10), ISNUMBER(LE10)), IF(ISNUMBER(LC10), LC10, 0) + IF(ISNUMBER(LE10), LE10, 0), "")</f>
        <v>2</v>
      </c>
      <c r="LH10" s="3"/>
      <c r="LI10" s="10">
        <f t="shared" ref="LI10:LI12" si="419">IF(ISNUMBER(LG10), (KW10+KX10)-LG10, "")</f>
        <v>0.10000000000000009</v>
      </c>
      <c r="LJ10" s="5">
        <v>0.21</v>
      </c>
      <c r="LK10" s="10">
        <f t="shared" ref="LK10:LK12" si="420">IF(ISNUMBER(LJ10), LJ10-LI10, "")</f>
        <v>0.1099999999999999</v>
      </c>
      <c r="LM10" s="24">
        <v>1</v>
      </c>
      <c r="LN10" s="6" t="s">
        <v>20</v>
      </c>
      <c r="LO10" s="24">
        <v>0.1</v>
      </c>
      <c r="LP10" s="6" t="s">
        <v>20</v>
      </c>
      <c r="LQ10" s="5">
        <f t="shared" ref="LQ10:LQ12" si="421">IF(OR(ISNUMBER(LM10), ISNUMBER(LO10)), IF(ISNUMBER(LM10), LM10, 0) + IF(ISNUMBER(LO10), LO10, 0), "")</f>
        <v>1.1000000000000001</v>
      </c>
      <c r="LR10" s="3">
        <v>1</v>
      </c>
      <c r="LS10" s="10">
        <f t="shared" ref="LS10:LS12" si="422">IF(ISNUMBER(LQ10), (LG10+LH10)-LQ10, "")</f>
        <v>0.89999999999999991</v>
      </c>
      <c r="LT10" s="5">
        <v>0.38</v>
      </c>
      <c r="LU10" s="10">
        <f t="shared" ref="LU10:LU12" si="423">IF(ISNUMBER(LT10), LT10-LS10, "")</f>
        <v>-0.51999999999999991</v>
      </c>
      <c r="LW10" s="24">
        <v>2</v>
      </c>
      <c r="LX10" s="6" t="s">
        <v>20</v>
      </c>
      <c r="LY10" s="24">
        <v>0.1</v>
      </c>
      <c r="LZ10" s="6" t="s">
        <v>20</v>
      </c>
      <c r="MA10" s="5">
        <f t="shared" ref="MA10:MA12" si="424">IF(OR(ISNUMBER(LW10), ISNUMBER(LY10)), IF(ISNUMBER(LW10), LW10, 0) + IF(ISNUMBER(LY10), LY10, 0), "")</f>
        <v>2.1</v>
      </c>
      <c r="MB10" s="3"/>
      <c r="MC10" s="10">
        <f t="shared" ref="MC10:MC12" si="425">IF(ISNUMBER(MA10), (LQ10+LR10)-MA10, "")</f>
        <v>0</v>
      </c>
      <c r="MD10" s="5">
        <v>0.12</v>
      </c>
      <c r="ME10" s="10">
        <f t="shared" ref="ME10:ME12" si="426">IF(ISNUMBER(MD10), MD10-MC10, "")</f>
        <v>0.12</v>
      </c>
      <c r="MG10" s="24">
        <v>1</v>
      </c>
      <c r="MH10" s="6" t="s">
        <v>20</v>
      </c>
      <c r="MI10" s="24">
        <v>0.9</v>
      </c>
      <c r="MJ10" s="6" t="s">
        <v>20</v>
      </c>
      <c r="MK10" s="5">
        <f t="shared" ref="MK10:MK12" si="427">IF(OR(ISNUMBER(MG10), ISNUMBER(MI10)), IF(ISNUMBER(MG10), MG10, 0) + IF(ISNUMBER(MI10), MI10, 0), "")</f>
        <v>1.9</v>
      </c>
      <c r="ML10" s="3"/>
      <c r="MM10" s="10">
        <f t="shared" ref="MM10:MM12" si="428">IF(ISNUMBER(MK10), (MA10+MB10)-MK10, "")</f>
        <v>0.20000000000000018</v>
      </c>
      <c r="MN10" s="5">
        <v>0.28999999999999998</v>
      </c>
      <c r="MO10" s="10">
        <f t="shared" ref="MO10:MO12" si="429">IF(ISNUMBER(MN10), MN10-MM10, "")</f>
        <v>8.9999999999999802E-2</v>
      </c>
      <c r="MQ10" s="2">
        <v>1</v>
      </c>
      <c r="MR10" s="6" t="s">
        <v>20</v>
      </c>
      <c r="MS10" s="2">
        <v>0.1</v>
      </c>
      <c r="MT10" s="6" t="s">
        <v>20</v>
      </c>
      <c r="MU10" s="5">
        <f t="shared" ref="MU10:MU12" si="430">IF(OR(ISNUMBER(MQ10), ISNUMBER(MS10)), IF(ISNUMBER(MQ10), MQ10, 0) + IF(ISNUMBER(MS10), MS10, 0), "")</f>
        <v>1.1000000000000001</v>
      </c>
      <c r="MV10" s="3"/>
      <c r="MW10" s="10">
        <f t="shared" ref="MW10:MW12" si="431">IF(ISNUMBER(MU10), (MK10+ML10)-MU10, "")</f>
        <v>0.79999999999999982</v>
      </c>
      <c r="MX10" s="5">
        <v>0.65</v>
      </c>
      <c r="MY10" s="10">
        <f t="shared" ref="MY10:MY12" si="432">IF(ISNUMBER(MX10), MX10-MW10, "")</f>
        <v>-0.1499999999999998</v>
      </c>
      <c r="NA10" s="24">
        <v>0</v>
      </c>
      <c r="NB10" s="6" t="s">
        <v>20</v>
      </c>
      <c r="NC10" s="24">
        <v>0.9</v>
      </c>
      <c r="ND10" s="6" t="s">
        <v>20</v>
      </c>
      <c r="NE10" s="5">
        <f t="shared" ref="NE10:NE12" si="433">IF(OR(ISNUMBER(NA10), ISNUMBER(NC10)), IF(ISNUMBER(NA10), NA10, 0) + IF(ISNUMBER(NC10), NC10, 0), "")</f>
        <v>0.9</v>
      </c>
      <c r="NF10" s="3">
        <v>2</v>
      </c>
      <c r="NG10" s="10">
        <f t="shared" ref="NG10:NG12" si="434">IF(ISNUMBER(NE10), (MU10+MV10)-NE10, "")</f>
        <v>0.20000000000000007</v>
      </c>
      <c r="NH10" s="5">
        <v>0.39</v>
      </c>
      <c r="NI10" s="10">
        <f t="shared" ref="NI10:NI12" si="435">IF(ISNUMBER(NH10), NH10-NG10, "")</f>
        <v>0.18999999999999995</v>
      </c>
      <c r="NK10" s="24">
        <v>1</v>
      </c>
      <c r="NL10" s="6" t="s">
        <v>20</v>
      </c>
      <c r="NM10" s="24">
        <v>1</v>
      </c>
      <c r="NN10" s="6" t="s">
        <v>20</v>
      </c>
      <c r="NO10" s="5">
        <f t="shared" ref="NO10:NO12" si="436">IF(OR(ISNUMBER(NK10), ISNUMBER(NM10)), IF(ISNUMBER(NK10), NK10, 0) + IF(ISNUMBER(NM10), NM10, 0), "")</f>
        <v>2</v>
      </c>
      <c r="NP10" s="3"/>
      <c r="NQ10" s="10">
        <f t="shared" ref="NQ10:NQ12" si="437">IF(ISNUMBER(NO10), (NE10+NF10)-NO10, "")</f>
        <v>0.89999999999999991</v>
      </c>
      <c r="NR10" s="5">
        <v>0.56999999999999995</v>
      </c>
      <c r="NS10" s="10">
        <f t="shared" ref="NS10:NS12" si="438">IF(ISNUMBER(NR10), NR10-NQ10, "")</f>
        <v>-0.32999999999999996</v>
      </c>
      <c r="NU10" s="24">
        <v>1</v>
      </c>
      <c r="NV10" s="6" t="s">
        <v>20</v>
      </c>
      <c r="NW10" s="24">
        <v>0.7</v>
      </c>
      <c r="NX10" s="6" t="s">
        <v>20</v>
      </c>
      <c r="NY10" s="5">
        <f t="shared" ref="NY10:NY12" si="439">IF(OR(ISNUMBER(NU10), ISNUMBER(NW10)), IF(ISNUMBER(NU10), NU10, 0) + IF(ISNUMBER(NW10), NW10, 0), "")</f>
        <v>1.7</v>
      </c>
      <c r="NZ10" s="3"/>
      <c r="OA10" s="10">
        <f t="shared" ref="OA10:OA12" si="440">IF(ISNUMBER(NY10), (NO10+NP10)-NY10, "")</f>
        <v>0.30000000000000004</v>
      </c>
      <c r="OB10" s="5">
        <v>0.24</v>
      </c>
      <c r="OC10" s="10">
        <f t="shared" ref="OC10:OC12" si="441">IF(ISNUMBER(OB10), OB10-OA10, "")</f>
        <v>-6.0000000000000053E-2</v>
      </c>
      <c r="OE10" s="2">
        <v>0</v>
      </c>
      <c r="OF10" s="6" t="s">
        <v>20</v>
      </c>
      <c r="OG10" s="2">
        <v>1</v>
      </c>
      <c r="OH10" s="6" t="s">
        <v>20</v>
      </c>
      <c r="OI10" s="5">
        <f t="shared" ref="OI10:OI12" si="442">IF(OR(ISNUMBER(OE10), ISNUMBER(OG10)), IF(ISNUMBER(OE10), OE10, 0) + IF(ISNUMBER(OG10), OG10, 0), "")</f>
        <v>1</v>
      </c>
      <c r="OJ10" s="3"/>
      <c r="OK10" s="10">
        <f t="shared" ref="OK10:OK12" si="443">IF(ISNUMBER(OI10), (NY10+NZ10)-OI10, "")</f>
        <v>0.7</v>
      </c>
      <c r="OL10" s="5">
        <v>0.33</v>
      </c>
      <c r="OM10" s="10">
        <f t="shared" ref="OM10:OM12" si="444">IF(ISNUMBER(OL10), OL10-OK10, "")</f>
        <v>-0.36999999999999994</v>
      </c>
      <c r="OO10" s="24">
        <v>0</v>
      </c>
      <c r="OP10" s="6" t="s">
        <v>20</v>
      </c>
      <c r="OQ10" s="24">
        <v>0</v>
      </c>
      <c r="OR10" s="6" t="s">
        <v>20</v>
      </c>
      <c r="OS10" s="5">
        <f t="shared" ref="OS10:OS12" si="445">IF(OR(ISNUMBER(OO10), ISNUMBER(OQ10)), IF(ISNUMBER(OO10), OO10, 0) + IF(ISNUMBER(OQ10), OQ10, 0), "")</f>
        <v>0</v>
      </c>
      <c r="OT10" s="3">
        <v>2</v>
      </c>
      <c r="OU10" s="10">
        <f t="shared" ref="OU10:OU12" si="446">IF(ISNUMBER(OS10), (OI10+OJ10)-OS10, "")</f>
        <v>1</v>
      </c>
      <c r="OV10" s="5">
        <v>0.74</v>
      </c>
      <c r="OW10" s="10">
        <f t="shared" ref="OW10:OW12" si="447">IF(ISNUMBER(OV10), OV10-OU10, "")</f>
        <v>-0.26</v>
      </c>
      <c r="OY10" s="24">
        <v>1</v>
      </c>
      <c r="OZ10" s="6" t="s">
        <v>20</v>
      </c>
      <c r="PA10" s="24">
        <v>0.9</v>
      </c>
      <c r="PB10" s="6" t="s">
        <v>20</v>
      </c>
      <c r="PC10" s="5">
        <f t="shared" ref="PC10:PC12" si="448">IF(OR(ISNUMBER(OY10), ISNUMBER(PA10)), IF(ISNUMBER(OY10), OY10, 0) + IF(ISNUMBER(PA10), PA10, 0), "")</f>
        <v>1.9</v>
      </c>
      <c r="PD10" s="3"/>
      <c r="PE10" s="10">
        <f t="shared" ref="PE10:PE12" si="449">IF(ISNUMBER(PC10), (OS10+OT10)-PC10, "")</f>
        <v>0.10000000000000009</v>
      </c>
      <c r="PF10" s="5">
        <v>0.17</v>
      </c>
      <c r="PG10" s="10">
        <f t="shared" ref="PG10:PG12" si="450">IF(ISNUMBER(PF10), PF10-PE10, "")</f>
        <v>6.9999999999999923E-2</v>
      </c>
      <c r="PI10" s="24">
        <v>1</v>
      </c>
      <c r="PJ10" s="6" t="s">
        <v>20</v>
      </c>
      <c r="PK10" s="24">
        <v>0.5</v>
      </c>
      <c r="PL10" s="6" t="s">
        <v>20</v>
      </c>
      <c r="PM10" s="5">
        <f t="shared" ref="PM10:PM12" si="451">IF(OR(ISNUMBER(PI10), ISNUMBER(PK10)), IF(ISNUMBER(PI10), PI10, 0) + IF(ISNUMBER(PK10), PK10, 0), "")</f>
        <v>1.5</v>
      </c>
      <c r="PN10" s="3"/>
      <c r="PO10" s="10">
        <f t="shared" ref="PO10:PO12" si="452">IF(ISNUMBER(PM10), (PC10+PD10)-PM10, "")</f>
        <v>0.39999999999999991</v>
      </c>
      <c r="PP10" s="5">
        <v>0.28999999999999998</v>
      </c>
      <c r="PQ10" s="10">
        <f t="shared" ref="PQ10:PQ12" si="453">IF(ISNUMBER(PP10), PP10-PO10, "")</f>
        <v>-0.10999999999999993</v>
      </c>
      <c r="PS10" s="2">
        <v>1</v>
      </c>
      <c r="PT10" s="6" t="s">
        <v>20</v>
      </c>
      <c r="PU10" s="2">
        <v>0.3</v>
      </c>
      <c r="PV10" s="6" t="s">
        <v>20</v>
      </c>
      <c r="PW10" s="5">
        <f t="shared" ref="PW10:PW12" si="454">IF(OR(ISNUMBER(PS10), ISNUMBER(PU10)), IF(ISNUMBER(PS10), PS10, 0) + IF(ISNUMBER(PU10), PU10, 0), "")</f>
        <v>1.3</v>
      </c>
      <c r="PX10" s="3"/>
      <c r="PY10" s="10">
        <f t="shared" ref="PY10:PY12" si="455">IF(ISNUMBER(PW10), (PM10+PN10)-PW10, "")</f>
        <v>0.19999999999999996</v>
      </c>
      <c r="PZ10" s="5">
        <v>0.17</v>
      </c>
      <c r="QA10" s="10">
        <f t="shared" ref="QA10:QA12" si="456">IF(ISNUMBER(PZ10), PZ10-PY10, "")</f>
        <v>-2.9999999999999943E-2</v>
      </c>
      <c r="QC10" s="24">
        <v>1</v>
      </c>
      <c r="QD10" s="6" t="s">
        <v>20</v>
      </c>
      <c r="QE10" s="24">
        <v>0</v>
      </c>
      <c r="QF10" s="6" t="s">
        <v>20</v>
      </c>
      <c r="QG10" s="5">
        <f t="shared" ref="QG10:QG12" si="457">IF(OR(ISNUMBER(QC10), ISNUMBER(QE10)), IF(ISNUMBER(QC10), QC10, 0) + IF(ISNUMBER(QE10), QE10, 0), "")</f>
        <v>1</v>
      </c>
      <c r="QH10" s="3">
        <v>1</v>
      </c>
      <c r="QI10" s="10">
        <f t="shared" ref="QI10:QI12" si="458">IF(ISNUMBER(QG10), (PW10+PX10)-QG10, "")</f>
        <v>0.30000000000000004</v>
      </c>
      <c r="QJ10" s="5">
        <v>0.15</v>
      </c>
      <c r="QK10" s="10">
        <f t="shared" ref="QK10:QK12" si="459">IF(ISNUMBER(QJ10), QJ10-QI10, "")</f>
        <v>-0.15000000000000005</v>
      </c>
      <c r="QM10" s="24">
        <v>1</v>
      </c>
      <c r="QN10" s="6" t="s">
        <v>20</v>
      </c>
      <c r="QO10" s="24">
        <v>0.9</v>
      </c>
      <c r="QP10" s="6" t="s">
        <v>20</v>
      </c>
      <c r="QQ10" s="5">
        <f t="shared" ref="QQ10:QQ12" si="460">IF(OR(ISNUMBER(QM10), ISNUMBER(QO10)), IF(ISNUMBER(QM10), QM10, 0) + IF(ISNUMBER(QO10), QO10, 0), "")</f>
        <v>1.9</v>
      </c>
      <c r="QR10" s="3"/>
      <c r="QS10" s="10">
        <f t="shared" ref="QS10:QS12" si="461">IF(ISNUMBER(QQ10), (QG10+QH10)-QQ10, "")</f>
        <v>0.10000000000000009</v>
      </c>
      <c r="QT10" s="5">
        <v>0.14000000000000001</v>
      </c>
      <c r="QU10" s="10">
        <f t="shared" ref="QU10:QU12" si="462">IF(ISNUMBER(QT10), QT10-QS10, "")</f>
        <v>3.9999999999999925E-2</v>
      </c>
      <c r="QW10" s="24">
        <v>1</v>
      </c>
      <c r="QX10" s="6" t="s">
        <v>20</v>
      </c>
      <c r="QY10" s="24">
        <v>0.4</v>
      </c>
      <c r="QZ10" s="6" t="s">
        <v>20</v>
      </c>
      <c r="RA10" s="5">
        <f t="shared" ref="RA10:RA12" si="463">IF(OR(ISNUMBER(QW10), ISNUMBER(QY10)), IF(ISNUMBER(QW10), QW10, 0) + IF(ISNUMBER(QY10), QY10, 0), "")</f>
        <v>1.4</v>
      </c>
      <c r="RB10" s="3"/>
      <c r="RC10" s="10">
        <f t="shared" ref="RC10:RC12" si="464">IF(ISNUMBER(RA10), (QQ10+QR10)-RA10, "")</f>
        <v>0.5</v>
      </c>
      <c r="RD10" s="5">
        <v>0.28999999999999998</v>
      </c>
      <c r="RE10" s="10">
        <f t="shared" ref="RE10:RE12" si="465">IF(ISNUMBER(RD10), RD10-RC10, "")</f>
        <v>-0.21000000000000002</v>
      </c>
      <c r="RG10" s="24">
        <v>1</v>
      </c>
      <c r="RH10" s="6" t="s">
        <v>20</v>
      </c>
      <c r="RI10" s="24">
        <v>0.3</v>
      </c>
      <c r="RJ10" s="6" t="s">
        <v>20</v>
      </c>
      <c r="RK10" s="5">
        <f t="shared" ref="RK10:RK12" si="466">IF(OR(ISNUMBER(RG10), ISNUMBER(RI10)), IF(ISNUMBER(RG10), RG10, 0) + IF(ISNUMBER(RI10), RI10, 0), "")</f>
        <v>1.3</v>
      </c>
      <c r="RL10" s="3"/>
      <c r="RM10" s="10">
        <f t="shared" ref="RM10:RM12" si="467">IF(ISNUMBER(RK10), (RA10+RB10)-RK10, "")</f>
        <v>9.9999999999999867E-2</v>
      </c>
      <c r="RN10" s="5">
        <v>0.1</v>
      </c>
      <c r="RO10" s="10">
        <f t="shared" ref="RO10:RO12" si="468">IF(ISNUMBER(RN10), RN10-RM10, "")</f>
        <v>1.3877787807814457E-16</v>
      </c>
      <c r="RQ10" s="24">
        <v>1</v>
      </c>
      <c r="RR10" s="6" t="s">
        <v>20</v>
      </c>
      <c r="RS10" s="24">
        <v>0.1</v>
      </c>
      <c r="RT10" s="6" t="s">
        <v>20</v>
      </c>
      <c r="RU10" s="5">
        <f t="shared" ref="RU10:RU12" si="469">IF(OR(ISNUMBER(RQ10), ISNUMBER(RS10)), IF(ISNUMBER(RQ10), RQ10, 0) + IF(ISNUMBER(RS10), RS10, 0), "")</f>
        <v>1.1000000000000001</v>
      </c>
      <c r="RV10" s="3"/>
      <c r="RW10" s="10">
        <f t="shared" ref="RW10:RW12" si="470">IF(ISNUMBER(RU10), (RK10+RL10)-RU10, "")</f>
        <v>0.19999999999999996</v>
      </c>
      <c r="RX10" s="5">
        <v>0.12</v>
      </c>
      <c r="RY10" s="10">
        <f t="shared" ref="RY10:RY12" si="471">IF(ISNUMBER(RX10), RX10-RW10, "")</f>
        <v>-7.999999999999996E-2</v>
      </c>
      <c r="SA10" s="2">
        <v>0</v>
      </c>
      <c r="SB10" s="6" t="s">
        <v>20</v>
      </c>
      <c r="SC10" s="2">
        <v>0.9</v>
      </c>
      <c r="SD10" s="6" t="s">
        <v>20</v>
      </c>
      <c r="SE10" s="5">
        <f t="shared" ref="SE10:SE12" si="472">IF(OR(ISNUMBER(SA10), ISNUMBER(SC10)), IF(ISNUMBER(SA10), SA10, 0) + IF(ISNUMBER(SC10), SC10, 0), "")</f>
        <v>0.9</v>
      </c>
      <c r="SF10" s="3"/>
      <c r="SG10" s="10">
        <f t="shared" ref="SG10:SG12" si="473">IF(ISNUMBER(SE10), (RU10+RV10)-SE10, "")</f>
        <v>0.20000000000000007</v>
      </c>
      <c r="SH10" s="5">
        <v>0.33</v>
      </c>
      <c r="SI10" s="10">
        <f t="shared" ref="SI10:SI12" si="474">IF(ISNUMBER(SH10), SH10-SG10, "")</f>
        <v>0.12999999999999995</v>
      </c>
      <c r="SK10" s="24">
        <v>0</v>
      </c>
      <c r="SL10" s="6" t="s">
        <v>20</v>
      </c>
      <c r="SM10" s="24">
        <v>0.7</v>
      </c>
      <c r="SN10" s="6" t="s">
        <v>20</v>
      </c>
      <c r="SO10" s="5">
        <f t="shared" ref="SO10:SO12" si="475">IF(OR(ISNUMBER(SK10), ISNUMBER(SM10)), IF(ISNUMBER(SK10), SK10, 0) + IF(ISNUMBER(SM10), SM10, 0), "")</f>
        <v>0.7</v>
      </c>
      <c r="SP10" s="3">
        <v>1</v>
      </c>
      <c r="SQ10" s="10">
        <f t="shared" ref="SQ10:SQ12" si="476">IF(ISNUMBER(SO10), (SE10+SF10)-SO10, "")</f>
        <v>0.20000000000000007</v>
      </c>
      <c r="SR10" s="5">
        <v>0.26</v>
      </c>
      <c r="SS10" s="10">
        <f t="shared" ref="SS10:SS12" si="477">IF(ISNUMBER(SR10), SR10-SQ10, "")</f>
        <v>5.9999999999999942E-2</v>
      </c>
      <c r="SU10" s="24">
        <v>0</v>
      </c>
      <c r="SV10" s="6" t="s">
        <v>20</v>
      </c>
      <c r="SW10" s="24">
        <v>0.7</v>
      </c>
      <c r="SX10" s="6" t="s">
        <v>20</v>
      </c>
      <c r="SY10" s="36">
        <f t="shared" ref="SY10:SY12" si="478">IF(OR(ISNUMBER(SU10), ISNUMBER(SW10)), IF(ISNUMBER(SU10), SU10, 0) + IF(ISNUMBER(SW10), SW10, 0), "")</f>
        <v>0.7</v>
      </c>
      <c r="SZ10" s="3"/>
      <c r="TA10" s="10">
        <f t="shared" ref="TA10:TA12" si="479">IF(ISNUMBER(SY10), (SO10+SP10)-SY10, "")</f>
        <v>1</v>
      </c>
      <c r="TB10" s="5">
        <v>0.39</v>
      </c>
      <c r="TC10" s="10">
        <f t="shared" ref="TC10:TC12" si="480">IF(ISNUMBER(TB10), TB10-TA10, "")</f>
        <v>-0.61</v>
      </c>
      <c r="TE10" s="24">
        <v>0</v>
      </c>
      <c r="TF10" s="6" t="s">
        <v>20</v>
      </c>
      <c r="TG10" s="24">
        <v>0.3</v>
      </c>
      <c r="TH10" s="6" t="s">
        <v>20</v>
      </c>
      <c r="TI10" s="5">
        <f t="shared" ref="TI10:TI12" si="481">IF(OR(ISNUMBER(TE10), ISNUMBER(TG10)), IF(ISNUMBER(TE10), TE10, 0) + IF(ISNUMBER(TG10), TG10, 0), "")</f>
        <v>0.3</v>
      </c>
      <c r="TJ10" s="3">
        <v>1</v>
      </c>
      <c r="TK10" s="10">
        <f t="shared" ref="TK10:TK12" si="482">IF(ISNUMBER(TI10), (SY10+SZ10)-TI10, "")</f>
        <v>0.39999999999999997</v>
      </c>
      <c r="TL10" s="5">
        <v>0.12</v>
      </c>
      <c r="TM10" s="10">
        <f t="shared" ref="TM10:TM12" si="483">IF(ISNUMBER(TL10), TL10-TK10, "")</f>
        <v>-0.27999999999999997</v>
      </c>
      <c r="TO10" s="24">
        <v>1</v>
      </c>
      <c r="TP10" s="6" t="s">
        <v>20</v>
      </c>
      <c r="TQ10" s="24">
        <v>0.1</v>
      </c>
      <c r="TR10" s="6" t="s">
        <v>20</v>
      </c>
      <c r="TS10" s="5">
        <f t="shared" ref="TS10:TS12" si="484">IF(OR(ISNUMBER(TO10), ISNUMBER(TQ10)), IF(ISNUMBER(TO10), TO10, 0) + IF(ISNUMBER(TQ10), TQ10, 0), "")</f>
        <v>1.1000000000000001</v>
      </c>
      <c r="TT10" s="3"/>
      <c r="TU10" s="10">
        <f t="shared" ref="TU10:TU12" si="485">IF(ISNUMBER(TS10), (TI10+TJ10)-TS10, "")</f>
        <v>0.19999999999999996</v>
      </c>
      <c r="TV10" s="5">
        <v>0.1</v>
      </c>
      <c r="TW10" s="10">
        <f t="shared" ref="TW10:TW12" si="486">IF(ISNUMBER(TV10), TV10-TU10, "")</f>
        <v>-9.999999999999995E-2</v>
      </c>
      <c r="TY10" s="24">
        <v>1</v>
      </c>
      <c r="TZ10" s="6" t="s">
        <v>20</v>
      </c>
      <c r="UA10" s="24">
        <v>0</v>
      </c>
      <c r="UB10" s="6" t="s">
        <v>20</v>
      </c>
      <c r="UC10" s="5">
        <f t="shared" ref="UC10:UC12" si="487">IF(OR(ISNUMBER(TY10), ISNUMBER(UA10)), IF(ISNUMBER(TY10), TY10, 0) + IF(ISNUMBER(UA10), UA10, 0), "")</f>
        <v>1</v>
      </c>
      <c r="UD10" s="3">
        <v>1</v>
      </c>
      <c r="UE10" s="10">
        <f t="shared" ref="UE10:UE12" si="488">IF(ISNUMBER(UC10), (TS10+TT10)-UC10, "")</f>
        <v>0.10000000000000009</v>
      </c>
      <c r="UF10" s="5">
        <v>0.15</v>
      </c>
      <c r="UG10" s="10">
        <f t="shared" ref="UG10:UG12" si="489">IF(ISNUMBER(UF10), UF10-UE10, "")</f>
        <v>4.9999999999999906E-2</v>
      </c>
      <c r="UI10" s="2">
        <v>1</v>
      </c>
      <c r="UJ10" s="6" t="s">
        <v>20</v>
      </c>
      <c r="UK10" s="2">
        <v>0.5</v>
      </c>
      <c r="UL10" s="6" t="s">
        <v>20</v>
      </c>
      <c r="UM10" s="5">
        <f t="shared" ref="UM10:UM12" si="490">IF(OR(ISNUMBER(UI10), ISNUMBER(UK10)), IF(ISNUMBER(UI10), UI10, 0) + IF(ISNUMBER(UK10), UK10, 0), "")</f>
        <v>1.5</v>
      </c>
      <c r="UN10" s="3"/>
      <c r="UO10" s="10">
        <f t="shared" ref="UO10:UO12" si="491">IF(ISNUMBER(UM10), (UC10+UD10)-UM10, "")</f>
        <v>0.5</v>
      </c>
      <c r="UP10" s="5">
        <v>0.53</v>
      </c>
      <c r="UQ10" s="10">
        <f t="shared" ref="UQ10:UQ12" si="492">IF(ISNUMBER(UP10), UP10-UO10, "")</f>
        <v>3.0000000000000027E-2</v>
      </c>
      <c r="US10" s="24">
        <v>0</v>
      </c>
      <c r="UT10" s="6" t="s">
        <v>20</v>
      </c>
      <c r="UU10" s="24">
        <v>0.5</v>
      </c>
      <c r="UV10" s="6" t="s">
        <v>20</v>
      </c>
      <c r="UW10" s="5">
        <f t="shared" ref="UW10:UW12" si="493">IF(OR(ISNUMBER(US10), ISNUMBER(UU10)), IF(ISNUMBER(US10), US10, 0) + IF(ISNUMBER(UU10), UU10, 0), "")</f>
        <v>0.5</v>
      </c>
      <c r="UX10" s="3">
        <v>1</v>
      </c>
      <c r="UY10" s="10">
        <f t="shared" ref="UY10:UY12" si="494">IF(ISNUMBER(UW10), (UM10+UN10)-UW10, "")</f>
        <v>1</v>
      </c>
      <c r="UZ10" s="5">
        <v>0.39</v>
      </c>
      <c r="VA10" s="10">
        <f t="shared" ref="VA10:VA12" si="495">IF(ISNUMBER(UZ10), UZ10-UY10, "")</f>
        <v>-0.61</v>
      </c>
      <c r="VC10" s="2">
        <v>1</v>
      </c>
      <c r="VD10" s="6" t="s">
        <v>20</v>
      </c>
      <c r="VE10" s="2">
        <v>0.3</v>
      </c>
      <c r="VF10" s="6" t="s">
        <v>20</v>
      </c>
      <c r="VG10" s="5">
        <f t="shared" ref="VG10:VG12" si="496">IF(OR(ISNUMBER(VC10), ISNUMBER(VE10)), IF(ISNUMBER(VC10), VC10, 0) + IF(ISNUMBER(VE10), VE10, 0), "")</f>
        <v>1.3</v>
      </c>
      <c r="VH10" s="3"/>
      <c r="VI10" s="10">
        <f t="shared" ref="VI10:VI12" si="497">IF(ISNUMBER(VG10), (UW10+UX10)-VG10, "")</f>
        <v>0.19999999999999996</v>
      </c>
      <c r="VJ10" s="5">
        <v>0.17</v>
      </c>
      <c r="VK10" s="10">
        <f t="shared" ref="VK10:VK12" si="498">IF(ISNUMBER(VJ10), VJ10-VI10, "")</f>
        <v>-2.9999999999999943E-2</v>
      </c>
      <c r="VM10" s="24">
        <v>1</v>
      </c>
      <c r="VN10" s="6" t="s">
        <v>20</v>
      </c>
      <c r="VO10" s="24">
        <v>0.1</v>
      </c>
      <c r="VP10" s="6" t="s">
        <v>20</v>
      </c>
      <c r="VQ10" s="5">
        <f t="shared" ref="VQ10:VQ12" si="499">IF(OR(ISNUMBER(VM10), ISNUMBER(VO10)), IF(ISNUMBER(VM10), VM10, 0) + IF(ISNUMBER(VO10), VO10, 0), "")</f>
        <v>1.1000000000000001</v>
      </c>
      <c r="VR10" s="3">
        <v>1</v>
      </c>
      <c r="VS10" s="10">
        <f t="shared" ref="VS10:VS12" si="500">IF(ISNUMBER(VQ10), (VG10+VH10)-VQ10, "")</f>
        <v>0.19999999999999996</v>
      </c>
      <c r="VT10" s="5">
        <v>0.22</v>
      </c>
      <c r="VU10" s="10">
        <f t="shared" ref="VU10:VU12" si="501">IF(ISNUMBER(VT10), VT10-VS10, "")</f>
        <v>2.0000000000000046E-2</v>
      </c>
      <c r="VW10" s="2">
        <v>2</v>
      </c>
      <c r="VX10" s="6" t="s">
        <v>20</v>
      </c>
      <c r="VY10" s="2">
        <v>0.1</v>
      </c>
      <c r="VZ10" s="6" t="s">
        <v>20</v>
      </c>
      <c r="WA10" s="5">
        <f t="shared" ref="WA10:WA12" si="502">IF(OR(ISNUMBER(VW10), ISNUMBER(VY10)), IF(ISNUMBER(VW10), VW10, 0) + IF(ISNUMBER(VY10), VY10, 0), "")</f>
        <v>2.1</v>
      </c>
      <c r="WB10" s="3"/>
      <c r="WC10" s="10">
        <f t="shared" ref="WC10:WC12" si="503">IF(ISNUMBER(WA10), (VQ10+VR10)-WA10, "")</f>
        <v>0</v>
      </c>
      <c r="WD10" s="5">
        <v>0.14000000000000001</v>
      </c>
      <c r="WE10" s="10">
        <f t="shared" ref="WE10:WE12" si="504">IF(ISNUMBER(WD10), WD10-WC10, "")</f>
        <v>0.14000000000000001</v>
      </c>
      <c r="WG10" s="2">
        <v>1</v>
      </c>
      <c r="WH10" s="6" t="s">
        <v>20</v>
      </c>
      <c r="WI10" s="2">
        <v>0.4</v>
      </c>
      <c r="WJ10" s="6" t="s">
        <v>20</v>
      </c>
      <c r="WK10" s="36">
        <f t="shared" ref="WK10:WK12" si="505">IF(OR(ISNUMBER(WG10), ISNUMBER(WI10)), IF(ISNUMBER(WG10), WG10, 0) + IF(ISNUMBER(WI10), WI10, 0), "")</f>
        <v>1.4</v>
      </c>
      <c r="WL10" s="3"/>
      <c r="WM10" s="10">
        <f t="shared" ref="WM10:WM12" si="506">IF(ISNUMBER(WK10), (WA10+WB10)-WK10, "")</f>
        <v>0.70000000000000018</v>
      </c>
      <c r="WN10" s="5">
        <v>0.45</v>
      </c>
      <c r="WO10" s="10">
        <f t="shared" ref="WO10:WO12" si="507">IF(ISNUMBER(WN10), WN10-WM10, "")</f>
        <v>-0.25000000000000017</v>
      </c>
      <c r="WQ10" s="2">
        <v>0</v>
      </c>
      <c r="WR10" s="6" t="s">
        <v>20</v>
      </c>
      <c r="WS10" s="2">
        <v>0.7</v>
      </c>
      <c r="WT10" s="6" t="s">
        <v>20</v>
      </c>
      <c r="WU10" s="5">
        <f t="shared" ref="WU10:WU12" si="508">IF(OR(ISNUMBER(WQ10), ISNUMBER(WS10)), IF(ISNUMBER(WQ10), WQ10, 0) + IF(ISNUMBER(WS10), WS10, 0), "")</f>
        <v>0.7</v>
      </c>
      <c r="WV10" s="3"/>
      <c r="WW10" s="10">
        <f t="shared" ref="WW10:WW12" si="509">IF(ISNUMBER(WU10), (WK10+WL10)-WU10, "")</f>
        <v>0.7</v>
      </c>
      <c r="WX10" s="5">
        <v>0.75</v>
      </c>
      <c r="WY10" s="10">
        <f t="shared" ref="WY10:WY12" si="510">IF(ISNUMBER(WX10), WX10-WW10, "")</f>
        <v>5.0000000000000044E-2</v>
      </c>
      <c r="XA10" s="24">
        <v>0</v>
      </c>
      <c r="XB10" s="6" t="s">
        <v>20</v>
      </c>
      <c r="XC10" s="24">
        <v>0</v>
      </c>
      <c r="XD10" s="6" t="s">
        <v>20</v>
      </c>
      <c r="XE10" s="5">
        <f t="shared" ref="XE10:XE12" si="511">IF(OR(ISNUMBER(XA10), ISNUMBER(XC10)), IF(ISNUMBER(XA10), XA10, 0) + IF(ISNUMBER(XC10), XC10, 0), "")</f>
        <v>0</v>
      </c>
      <c r="XF10" s="3">
        <v>2</v>
      </c>
      <c r="XG10" s="10">
        <f t="shared" ref="XG10:XG12" si="512">IF(ISNUMBER(XE10), (WU10+WV10)-XE10, "")</f>
        <v>0.7</v>
      </c>
      <c r="XH10" s="5">
        <v>0.26</v>
      </c>
      <c r="XI10" s="10">
        <f t="shared" ref="XI10:XI12" si="513">IF(ISNUMBER(XH10), XH10-XG10, "")</f>
        <v>-0.43999999999999995</v>
      </c>
      <c r="XK10" s="24">
        <v>1</v>
      </c>
      <c r="XL10" s="6" t="s">
        <v>20</v>
      </c>
      <c r="XM10" s="24">
        <v>0.9</v>
      </c>
      <c r="XN10" s="6" t="s">
        <v>20</v>
      </c>
      <c r="XO10" s="5">
        <f t="shared" ref="XO10:XO12" si="514">IF(OR(ISNUMBER(XK10), ISNUMBER(XM10)), IF(ISNUMBER(XK10), XK10, 0) + IF(ISNUMBER(XM10), XM10, 0), "")</f>
        <v>1.9</v>
      </c>
      <c r="XP10" s="3"/>
      <c r="XQ10" s="10">
        <f t="shared" ref="XQ10:XQ12" si="515">IF(ISNUMBER(XO10), (XE10+XF10)-XO10, "")</f>
        <v>0.10000000000000009</v>
      </c>
      <c r="XR10" s="5">
        <v>0.27</v>
      </c>
      <c r="XS10" s="10">
        <f t="shared" ref="XS10:XS12" si="516">IF(ISNUMBER(XR10), XR10-XQ10, "")</f>
        <v>0.16999999999999993</v>
      </c>
      <c r="XU10" s="24">
        <v>1</v>
      </c>
      <c r="XV10" s="6" t="s">
        <v>20</v>
      </c>
      <c r="XW10" s="24">
        <v>0.7</v>
      </c>
      <c r="XX10" s="6" t="s">
        <v>20</v>
      </c>
      <c r="XY10" s="5">
        <f t="shared" ref="XY10:XY12" si="517">IF(OR(ISNUMBER(XU10), ISNUMBER(XW10)), IF(ISNUMBER(XU10), XU10, 0) + IF(ISNUMBER(XW10), XW10, 0), "")</f>
        <v>1.7</v>
      </c>
      <c r="XZ10" s="3"/>
      <c r="YA10" s="10">
        <f t="shared" ref="YA10:YA12" si="518">IF(ISNUMBER(XY10), (XO10+XP10)-XY10, "")</f>
        <v>0.19999999999999996</v>
      </c>
      <c r="YB10" s="5">
        <v>0.33</v>
      </c>
      <c r="YC10" s="10">
        <f t="shared" ref="YC10:YC12" si="519">IF(ISNUMBER(YB10), YB10-YA10, "")</f>
        <v>0.13000000000000006</v>
      </c>
      <c r="YE10" s="24">
        <v>1</v>
      </c>
      <c r="YF10" s="6" t="s">
        <v>20</v>
      </c>
      <c r="YG10" s="24">
        <v>0.5</v>
      </c>
      <c r="YH10" s="6" t="s">
        <v>20</v>
      </c>
      <c r="YI10" s="5">
        <f t="shared" ref="YI10:YI12" si="520">IF(OR(ISNUMBER(YE10), ISNUMBER(YG10)), IF(ISNUMBER(YE10), YE10, 0) + IF(ISNUMBER(YG10), YG10, 0), "")</f>
        <v>1.5</v>
      </c>
      <c r="YJ10" s="3"/>
      <c r="YK10" s="10">
        <f t="shared" ref="YK10:YK12" si="521">IF(ISNUMBER(YI10), (XY10+XZ10)-YI10, "")</f>
        <v>0.19999999999999996</v>
      </c>
      <c r="YL10" s="5">
        <v>0.19</v>
      </c>
      <c r="YM10" s="10">
        <f t="shared" ref="YM10:YM12" si="522">IF(ISNUMBER(YL10), YL10-YK10, "")</f>
        <v>-9.9999999999999534E-3</v>
      </c>
      <c r="YO10" s="24"/>
      <c r="YP10" s="6" t="s">
        <v>20</v>
      </c>
      <c r="YQ10" s="24">
        <v>0.6</v>
      </c>
      <c r="YR10" s="6" t="s">
        <v>20</v>
      </c>
      <c r="YS10" s="5">
        <f t="shared" ref="YS10:YS12" si="523">IF(OR(ISNUMBER(YO10), ISNUMBER(YQ10)), IF(ISNUMBER(YO10), YO10, 0) + IF(ISNUMBER(YQ10), YQ10, 0), "")</f>
        <v>0.6</v>
      </c>
      <c r="YT10" s="3">
        <v>1</v>
      </c>
      <c r="YU10" s="10">
        <f t="shared" ref="YU10:YU12" si="524">IF(ISNUMBER(YS10), (YI10+YJ10)-YS10, "")</f>
        <v>0.9</v>
      </c>
      <c r="YV10" s="5">
        <v>0.38</v>
      </c>
      <c r="YW10" s="10">
        <f t="shared" ref="YW10:YW12" si="525">IF(ISNUMBER(YV10), YV10-YU10, "")</f>
        <v>-0.52</v>
      </c>
      <c r="YY10" s="24">
        <v>1</v>
      </c>
      <c r="YZ10" s="6" t="s">
        <v>20</v>
      </c>
      <c r="ZA10" s="24">
        <v>0.1</v>
      </c>
      <c r="ZB10" s="6" t="s">
        <v>20</v>
      </c>
      <c r="ZC10" s="5">
        <f t="shared" ref="ZC10:ZC12" si="526">IF(OR(ISNUMBER(YY10), ISNUMBER(ZA10)), IF(ISNUMBER(YY10), YY10, 0) + IF(ISNUMBER(ZA10), ZA10, 0), "")</f>
        <v>1.1000000000000001</v>
      </c>
      <c r="ZD10" s="3"/>
      <c r="ZE10" s="10">
        <f t="shared" ref="ZE10:ZE12" si="527">IF(ISNUMBER(ZC10), (YS10+YT10)-ZC10, "")</f>
        <v>0.5</v>
      </c>
      <c r="ZF10" s="5">
        <v>0.48</v>
      </c>
      <c r="ZG10" s="10">
        <f t="shared" ref="ZG10:ZG12" si="528">IF(ISNUMBER(ZF10), ZF10-ZE10, "")</f>
        <v>-2.0000000000000018E-2</v>
      </c>
      <c r="ZI10" s="24"/>
      <c r="ZJ10" s="6" t="s">
        <v>20</v>
      </c>
      <c r="ZK10" s="24">
        <v>0.7</v>
      </c>
      <c r="ZL10" s="6" t="s">
        <v>20</v>
      </c>
      <c r="ZM10" s="5">
        <f t="shared" ref="ZM10:ZM12" si="529">IF(OR(ISNUMBER(ZI10), ISNUMBER(ZK10)), IF(ISNUMBER(ZI10), ZI10, 0) + IF(ISNUMBER(ZK10), ZK10, 0), "")</f>
        <v>0.7</v>
      </c>
      <c r="ZN10" s="3"/>
      <c r="ZO10" s="10">
        <f t="shared" ref="ZO10:ZO12" si="530">IF(ISNUMBER(ZM10), (ZC10+ZD10)-ZM10, "")</f>
        <v>0.40000000000000013</v>
      </c>
      <c r="ZP10" s="5">
        <v>0.19</v>
      </c>
      <c r="ZQ10" s="10">
        <f t="shared" ref="ZQ10:ZQ12" si="531">IF(ISNUMBER(ZP10), ZP10-ZO10, "")</f>
        <v>-0.21000000000000013</v>
      </c>
      <c r="ZS10" s="24"/>
      <c r="ZT10" s="6" t="s">
        <v>20</v>
      </c>
      <c r="ZU10" s="24">
        <v>0.5</v>
      </c>
      <c r="ZV10" s="6" t="s">
        <v>20</v>
      </c>
      <c r="ZW10" s="5">
        <f t="shared" ref="ZW10:ZW12" si="532">IF(OR(ISNUMBER(ZS10), ISNUMBER(ZU10)), IF(ISNUMBER(ZS10), ZS10, 0) + IF(ISNUMBER(ZU10), ZU10, 0), "")</f>
        <v>0.5</v>
      </c>
      <c r="ZX10" s="3">
        <v>2</v>
      </c>
      <c r="ZY10" s="10">
        <f t="shared" ref="ZY10:ZY12" si="533">IF(ISNUMBER(ZW10), (ZM10+ZN10)-ZW10, "")</f>
        <v>0.19999999999999996</v>
      </c>
      <c r="ZZ10" s="5">
        <v>0.38</v>
      </c>
      <c r="AAA10" s="10">
        <f t="shared" ref="AAA10:AAA12" si="534">IF(ISNUMBER(ZZ10), ZZ10-ZY10, "")</f>
        <v>0.18000000000000005</v>
      </c>
      <c r="AAC10" s="24">
        <v>2</v>
      </c>
      <c r="AAD10" s="6" t="s">
        <v>20</v>
      </c>
      <c r="AAE10" s="24">
        <v>0.2</v>
      </c>
      <c r="AAF10" s="6" t="s">
        <v>20</v>
      </c>
      <c r="AAG10" s="5">
        <f t="shared" ref="AAG10:AAG12" si="535">IF(OR(ISNUMBER(AAC10), ISNUMBER(AAE10)), IF(ISNUMBER(AAC10), AAC10, 0) + IF(ISNUMBER(AAE10), AAE10, 0), "")</f>
        <v>2.2000000000000002</v>
      </c>
      <c r="AAH10" s="3"/>
      <c r="AAI10" s="10">
        <f t="shared" ref="AAI10:AAI12" si="536">IF(ISNUMBER(AAG10), (ZW10+ZX10)-AAG10, "")</f>
        <v>0.29999999999999982</v>
      </c>
      <c r="AAJ10" s="5">
        <v>0.34</v>
      </c>
      <c r="AAK10" s="10">
        <f t="shared" ref="AAK10:AAK12" si="537">IF(ISNUMBER(AAJ10), AAJ10-AAI10, "")</f>
        <v>4.0000000000000202E-2</v>
      </c>
      <c r="AAM10" s="2">
        <v>1</v>
      </c>
      <c r="AAN10" s="6" t="s">
        <v>20</v>
      </c>
      <c r="AAO10" s="2">
        <v>0.7</v>
      </c>
      <c r="AAP10" s="6" t="s">
        <v>20</v>
      </c>
      <c r="AAQ10" s="5">
        <f t="shared" ref="AAQ10:AAQ12" si="538">IF(OR(ISNUMBER(AAM10), ISNUMBER(AAO10)), IF(ISNUMBER(AAM10), AAM10, 0) + IF(ISNUMBER(AAO10), AAO10, 0), "")</f>
        <v>1.7</v>
      </c>
      <c r="AAR10" s="3"/>
      <c r="AAS10" s="10">
        <f t="shared" ref="AAS10:AAS12" si="539">IF(ISNUMBER(AAQ10), (AAG10+AAH10)-AAQ10, "")</f>
        <v>0.50000000000000022</v>
      </c>
      <c r="AAT10" s="5">
        <v>0.53</v>
      </c>
      <c r="AAU10" s="10">
        <f t="shared" ref="AAU10:AAU12" si="540">IF(ISNUMBER(AAT10), AAT10-AAS10, "")</f>
        <v>2.9999999999999805E-2</v>
      </c>
      <c r="AAW10" s="2">
        <v>1</v>
      </c>
      <c r="AAX10" s="6" t="s">
        <v>20</v>
      </c>
      <c r="AAY10" s="2">
        <v>0.1</v>
      </c>
      <c r="AAZ10" s="6" t="s">
        <v>20</v>
      </c>
      <c r="ABA10" s="5">
        <f t="shared" ref="ABA10:ABA12" si="541">IF(OR(ISNUMBER(AAW10), ISNUMBER(AAY10)), IF(ISNUMBER(AAW10), AAW10, 0) + IF(ISNUMBER(AAY10), AAY10, 0), "")</f>
        <v>1.1000000000000001</v>
      </c>
      <c r="ABB10" s="3">
        <v>1</v>
      </c>
      <c r="ABC10" s="10">
        <f t="shared" ref="ABC10:ABC12" si="542">IF(ISNUMBER(ABA10), (AAQ10+AAR10)-ABA10, "")</f>
        <v>0.59999999999999987</v>
      </c>
      <c r="ABD10" s="5">
        <v>0.46</v>
      </c>
      <c r="ABE10" s="10">
        <f t="shared" ref="ABE10:ABE12" si="543">IF(ISNUMBER(ABD10), ABD10-ABC10, "")</f>
        <v>-0.13999999999999985</v>
      </c>
      <c r="ABG10" s="24">
        <v>1</v>
      </c>
      <c r="ABH10" s="6" t="s">
        <v>20</v>
      </c>
      <c r="ABI10" s="24">
        <v>0.7</v>
      </c>
      <c r="ABJ10" s="6" t="s">
        <v>20</v>
      </c>
      <c r="ABK10" s="5">
        <f t="shared" ref="ABK10:ABK12" si="544">IF(OR(ISNUMBER(ABG10), ISNUMBER(ABI10)), IF(ISNUMBER(ABG10), ABG10, 0) + IF(ISNUMBER(ABI10), ABI10, 0), "")</f>
        <v>1.7</v>
      </c>
      <c r="ABL10" s="3"/>
      <c r="ABM10" s="10">
        <f t="shared" ref="ABM10:ABM12" si="545">IF(ISNUMBER(ABK10), (ABA10+ABB10)-ABK10, "")</f>
        <v>0.40000000000000013</v>
      </c>
      <c r="ABN10" s="5">
        <v>0.38</v>
      </c>
      <c r="ABO10" s="10">
        <f t="shared" ref="ABO10:ABO12" si="546">IF(ISNUMBER(ABN10), ABN10-ABM10, "")</f>
        <v>-2.0000000000000129E-2</v>
      </c>
      <c r="ABQ10" s="2">
        <v>1</v>
      </c>
      <c r="ABR10" s="6" t="s">
        <v>20</v>
      </c>
      <c r="ABS10" s="2">
        <v>0.1</v>
      </c>
      <c r="ABT10" s="6" t="s">
        <v>20</v>
      </c>
      <c r="ABU10" s="5">
        <f t="shared" ref="ABU10:ABU12" si="547">IF(OR(ISNUMBER(ABQ10), ISNUMBER(ABS10)), IF(ISNUMBER(ABQ10), ABQ10, 0) + IF(ISNUMBER(ABS10), ABS10, 0), "")</f>
        <v>1.1000000000000001</v>
      </c>
      <c r="ABV10" s="3">
        <v>1</v>
      </c>
      <c r="ABW10" s="10">
        <f>IF(ISNUMBER(ABU10), (ABK10+ABL10)-ABU10, "")</f>
        <v>0.59999999999999987</v>
      </c>
      <c r="ABX10" s="5">
        <v>0.53</v>
      </c>
      <c r="ABY10" s="10">
        <f t="shared" ref="ABY10:ABY12" si="548">IF(ISNUMBER(ABX10), ABX10-ABW10, "")</f>
        <v>-6.999999999999984E-2</v>
      </c>
      <c r="ACA10" s="24">
        <v>1</v>
      </c>
      <c r="ACB10" s="6" t="s">
        <v>20</v>
      </c>
      <c r="ACC10" s="24">
        <v>0.7</v>
      </c>
      <c r="ACD10" s="6" t="s">
        <v>20</v>
      </c>
      <c r="ACE10" s="5">
        <f>IF(OR(ISNUMBER(ACA10), ISNUMBER(ACC10)), IF(ISNUMBER(ACA10), ACA10, 0) + IF(ISNUMBER(ACC10), ACC10, 0), "")</f>
        <v>1.7</v>
      </c>
      <c r="ACF10" s="3"/>
      <c r="ACG10" s="10">
        <f>IF(ISNUMBER(ACE10), (ABU10+ABV10)-ACE10, "")</f>
        <v>0.40000000000000013</v>
      </c>
      <c r="ACH10" s="5">
        <v>0.39</v>
      </c>
      <c r="ACI10" s="10">
        <f>IF(ISNUMBER(ACH10), ACH10-ACG10, "")</f>
        <v>-1.000000000000012E-2</v>
      </c>
      <c r="ACK10" s="24">
        <v>1</v>
      </c>
      <c r="ACL10" s="6" t="s">
        <v>20</v>
      </c>
      <c r="ACM10" s="24">
        <v>0.3</v>
      </c>
      <c r="ACN10" s="6" t="s">
        <v>20</v>
      </c>
      <c r="ACO10" s="5">
        <f t="shared" ref="ACO10:ACO12" si="549">IF(OR(ISNUMBER(ACK10), ISNUMBER(ACM10)), IF(ISNUMBER(ACK10), ACK10, 0) + IF(ISNUMBER(ACM10), ACM10, 0), "")</f>
        <v>1.3</v>
      </c>
      <c r="ACP10" s="3"/>
      <c r="ACQ10" s="10">
        <f>IF(ISNUMBER(ACO10), (ACE10+ACF10)-ACO10, "")</f>
        <v>0.39999999999999991</v>
      </c>
      <c r="ACR10" s="5">
        <v>0.36</v>
      </c>
      <c r="ACS10" s="10">
        <f t="shared" ref="ACS10:ACS12" si="550">IF(ISNUMBER(ACR10), ACR10-ACQ10, "")</f>
        <v>-3.9999999999999925E-2</v>
      </c>
      <c r="ACU10" s="24">
        <v>0</v>
      </c>
      <c r="ACV10" s="6" t="s">
        <v>20</v>
      </c>
      <c r="ACW10" s="24">
        <v>0.7</v>
      </c>
      <c r="ACX10" s="6" t="s">
        <v>20</v>
      </c>
      <c r="ACY10" s="5">
        <f t="shared" ref="ACY10:ACY12" si="551">IF(OR(ISNUMBER(ACU10), ISNUMBER(ACW10)), IF(ISNUMBER(ACU10), ACU10, 0) + IF(ISNUMBER(ACW10), ACW10, 0), "")</f>
        <v>0.7</v>
      </c>
      <c r="ACZ10" s="3"/>
      <c r="ADA10" s="10">
        <f>IF(ISNUMBER(ACY10), (ACO10+ACP10)-ACY10, "")</f>
        <v>0.60000000000000009</v>
      </c>
      <c r="ADB10" s="5">
        <v>0.59</v>
      </c>
      <c r="ADC10" s="10">
        <f t="shared" ref="ADC10:ADC12" si="552">IF(ISNUMBER(ADB10), ADB10-ADA10, "")</f>
        <v>-1.000000000000012E-2</v>
      </c>
      <c r="ADE10" s="24">
        <v>0</v>
      </c>
      <c r="ADF10" s="6" t="s">
        <v>20</v>
      </c>
      <c r="ADG10" s="24">
        <v>0.5</v>
      </c>
      <c r="ADH10" s="6" t="s">
        <v>20</v>
      </c>
      <c r="ADI10" s="5">
        <f t="shared" ref="ADI10:ADI12" si="553">IF(OR(ISNUMBER(ADE10), ISNUMBER(ADG10)), IF(ISNUMBER(ADE10), ADE10, 0) + IF(ISNUMBER(ADG10), ADG10, 0), "")</f>
        <v>0.5</v>
      </c>
      <c r="ADJ10" s="3">
        <v>1</v>
      </c>
      <c r="ADK10" s="10">
        <f>IF(ISNUMBER(ADI10), (ACY10+ACZ10)-ADI10, "")</f>
        <v>0.19999999999999996</v>
      </c>
      <c r="ADL10" s="5">
        <v>0.27</v>
      </c>
      <c r="ADM10" s="10">
        <f t="shared" ref="ADM10:ADM12" si="554">IF(ISNUMBER(ADL10), ADL10-ADK10, "")</f>
        <v>7.0000000000000062E-2</v>
      </c>
      <c r="ADO10" s="2">
        <v>0</v>
      </c>
      <c r="ADP10" s="6" t="s">
        <v>20</v>
      </c>
      <c r="ADQ10" s="2">
        <v>0.7</v>
      </c>
      <c r="ADR10" s="6" t="s">
        <v>20</v>
      </c>
      <c r="ADS10" s="5">
        <f t="shared" ref="ADS10:ADS12" si="555">IF(OR(ISNUMBER(ADO10), ISNUMBER(ADQ10)), IF(ISNUMBER(ADO10), ADO10, 0) + IF(ISNUMBER(ADQ10), ADQ10, 0), "")</f>
        <v>0.7</v>
      </c>
      <c r="ADT10" s="3"/>
      <c r="ADU10" s="10">
        <f>IF(ISNUMBER(ADS10), (ADI10+ADJ10)-ADS10, "")</f>
        <v>0.8</v>
      </c>
      <c r="ADV10" s="5">
        <v>0.38</v>
      </c>
      <c r="ADW10" s="10">
        <f t="shared" ref="ADW10:ADW12" si="556">IF(ISNUMBER(ADV10), ADV10-ADU10, "")</f>
        <v>-0.42000000000000004</v>
      </c>
      <c r="ADY10" s="24">
        <v>0</v>
      </c>
      <c r="ADZ10" s="6" t="s">
        <v>20</v>
      </c>
      <c r="AEA10" s="24">
        <v>0.3</v>
      </c>
      <c r="AEB10" s="6" t="s">
        <v>20</v>
      </c>
      <c r="AEC10" s="5">
        <f t="shared" ref="AEC10:AEC12" si="557">IF(OR(ISNUMBER(ADY10), ISNUMBER(AEA10)), IF(ISNUMBER(ADY10), ADY10, 0) + IF(ISNUMBER(AEA10), AEA10, 0), "")</f>
        <v>0.3</v>
      </c>
      <c r="AED10" s="3">
        <v>1</v>
      </c>
      <c r="AEE10" s="10">
        <f>IF(ISNUMBER(AEC10), (ADS10+ADT10)-AEC10, "")</f>
        <v>0.39999999999999997</v>
      </c>
      <c r="AEF10" s="5">
        <v>0.41</v>
      </c>
      <c r="AEG10" s="10">
        <f t="shared" ref="AEG10:AEG12" si="558">IF(ISNUMBER(AEF10), AEF10-AEE10, "")</f>
        <v>1.0000000000000009E-2</v>
      </c>
      <c r="AEI10" s="2">
        <v>0</v>
      </c>
      <c r="AEJ10" s="6" t="s">
        <v>20</v>
      </c>
      <c r="AEK10" s="2">
        <v>0.7</v>
      </c>
      <c r="AEL10" s="6" t="s">
        <v>20</v>
      </c>
      <c r="AEM10" s="5">
        <f t="shared" ref="AEM10:AEM12" si="559">IF(OR(ISNUMBER(AEI10), ISNUMBER(AEK10)), IF(ISNUMBER(AEI10), AEI10, 0) + IF(ISNUMBER(AEK10), AEK10, 0), "")</f>
        <v>0.7</v>
      </c>
      <c r="AEN10" s="3"/>
      <c r="AEO10" s="10">
        <f>IF(ISNUMBER(AEM10), (AEC10+AED10)-AEM10, "")</f>
        <v>0.60000000000000009</v>
      </c>
      <c r="AEP10" s="5">
        <v>0.57999999999999996</v>
      </c>
      <c r="AEQ10" s="10">
        <f t="shared" ref="AEQ10:AEQ12" si="560">IF(ISNUMBER(AEP10), AEP10-AEO10, "")</f>
        <v>-2.0000000000000129E-2</v>
      </c>
      <c r="AES10" s="24">
        <v>0</v>
      </c>
      <c r="AET10" s="6" t="s">
        <v>20</v>
      </c>
      <c r="AEU10" s="24">
        <v>0.1</v>
      </c>
      <c r="AEV10" s="6" t="s">
        <v>20</v>
      </c>
      <c r="AEW10" s="5">
        <f t="shared" ref="AEW10:AEW12" si="561">IF(OR(ISNUMBER(AES10), ISNUMBER(AEU10)), IF(ISNUMBER(AES10), AES10, 0) + IF(ISNUMBER(AEU10), AEU10, 0), "")</f>
        <v>0.1</v>
      </c>
      <c r="AEX10" s="3">
        <v>2</v>
      </c>
      <c r="AEY10" s="10">
        <f>IF(ISNUMBER(AEW10), (AEM10+AEN10)-AEW10, "")</f>
        <v>0.6</v>
      </c>
      <c r="AEZ10" s="5">
        <v>0.55000000000000004</v>
      </c>
      <c r="AFA10" s="10">
        <f t="shared" ref="AFA10:AFA12" si="562">IF(ISNUMBER(AEZ10), AEZ10-AEY10, "")</f>
        <v>-4.9999999999999933E-2</v>
      </c>
      <c r="AFC10" s="2">
        <v>1</v>
      </c>
      <c r="AFD10" s="6" t="s">
        <v>20</v>
      </c>
      <c r="AFE10" s="2">
        <v>0.6</v>
      </c>
      <c r="AFF10" s="6" t="s">
        <v>20</v>
      </c>
      <c r="AFG10" s="5">
        <f t="shared" ref="AFG10:AFG12" si="563">IF(OR(ISNUMBER(AFC10), ISNUMBER(AFE10)), IF(ISNUMBER(AFC10), AFC10, 0) + IF(ISNUMBER(AFE10), AFE10, 0), "")</f>
        <v>1.6</v>
      </c>
      <c r="AFH10" s="3"/>
      <c r="AFI10" s="10">
        <f>IF(ISNUMBER(AFG10), (AEW10+AEX10)-AFG10, "")</f>
        <v>0.5</v>
      </c>
      <c r="AFJ10" s="5">
        <v>0.24</v>
      </c>
      <c r="AFK10" s="10">
        <f t="shared" ref="AFK10:AFK12" si="564">IF(ISNUMBER(AFJ10), AFJ10-AFI10, "")</f>
        <v>-0.26</v>
      </c>
      <c r="AFM10" s="2">
        <v>1</v>
      </c>
      <c r="AFN10" s="6" t="s">
        <v>20</v>
      </c>
      <c r="AFO10" s="2">
        <v>0.5</v>
      </c>
      <c r="AFP10" s="6" t="s">
        <v>20</v>
      </c>
      <c r="AFQ10" s="5">
        <f t="shared" ref="AFQ10:AFQ12" si="565">IF(OR(ISNUMBER(AFM10), ISNUMBER(AFO10)), IF(ISNUMBER(AFM10), AFM10, 0) + IF(ISNUMBER(AFO10), AFO10, 0), "")</f>
        <v>1.5</v>
      </c>
      <c r="AFR10" s="3">
        <v>1</v>
      </c>
      <c r="AFS10" s="10">
        <f>IF(ISNUMBER(AFQ10), (AFG10+AFH10)-AFQ10, "")</f>
        <v>0.10000000000000009</v>
      </c>
      <c r="AFT10" s="5">
        <v>0.15</v>
      </c>
      <c r="AFU10" s="10">
        <f t="shared" ref="AFU10:AFU12" si="566">IF(ISNUMBER(AFT10), AFT10-AFS10, "")</f>
        <v>4.9999999999999906E-2</v>
      </c>
      <c r="AFW10" s="24">
        <v>2</v>
      </c>
      <c r="AFX10" s="6" t="s">
        <v>20</v>
      </c>
      <c r="AFY10" s="24">
        <v>0.1</v>
      </c>
      <c r="AFZ10" s="6" t="s">
        <v>20</v>
      </c>
      <c r="AGA10" s="5">
        <f t="shared" ref="AGA10:AGA12" si="567">IF(OR(ISNUMBER(AFW10), ISNUMBER(AFY10)), IF(ISNUMBER(AFW10), AFW10, 0) + IF(ISNUMBER(AFY10), AFY10, 0), "")</f>
        <v>2.1</v>
      </c>
      <c r="AGB10" s="3"/>
      <c r="AGC10" s="10">
        <f>IF(ISNUMBER(AGA10), (AFQ10+AFR10)-AGA10, "")</f>
        <v>0.39999999999999991</v>
      </c>
      <c r="AGD10" s="5">
        <v>0.38</v>
      </c>
      <c r="AGE10" s="10">
        <f t="shared" ref="AGE10:AGE12" si="568">IF(ISNUMBER(AGD10), AGD10-AGC10, "")</f>
        <v>-1.9999999999999907E-2</v>
      </c>
      <c r="AGG10" s="24">
        <v>1</v>
      </c>
      <c r="AGH10" s="6" t="s">
        <v>20</v>
      </c>
      <c r="AGI10" s="24">
        <v>0.9</v>
      </c>
      <c r="AGJ10" s="6" t="s">
        <v>20</v>
      </c>
      <c r="AGK10" s="5">
        <f t="shared" ref="AGK10:AGK12" si="569">IF(OR(ISNUMBER(AGG10), ISNUMBER(AGI10)), IF(ISNUMBER(AGG10), AGG10, 0) + IF(ISNUMBER(AGI10), AGI10, 0), "")</f>
        <v>1.9</v>
      </c>
      <c r="AGL10" s="3"/>
      <c r="AGM10" s="10">
        <f>IF(ISNUMBER(AGK10), (AGA10+AGB10)-AGK10, "")</f>
        <v>0.20000000000000018</v>
      </c>
      <c r="AGN10" s="5">
        <v>0.34</v>
      </c>
      <c r="AGO10" s="10">
        <f t="shared" ref="AGO10:AGO12" si="570">IF(ISNUMBER(AGN10), AGN10-AGM10, "")</f>
        <v>0.13999999999999985</v>
      </c>
      <c r="AGQ10" s="24">
        <v>1</v>
      </c>
      <c r="AGR10" s="6" t="s">
        <v>20</v>
      </c>
      <c r="AGS10" s="24">
        <v>0.1</v>
      </c>
      <c r="AGT10" s="6" t="s">
        <v>20</v>
      </c>
      <c r="AGU10" s="5">
        <f t="shared" ref="AGU10:AGU12" si="571">IF(OR(ISNUMBER(AGQ10), ISNUMBER(AGS10)), IF(ISNUMBER(AGQ10), AGQ10, 0) + IF(ISNUMBER(AGS10), AGS10, 0), "")</f>
        <v>1.1000000000000001</v>
      </c>
      <c r="AGV10" s="3"/>
      <c r="AGW10" s="10">
        <f>IF(ISNUMBER(AGU10), (AGK10+AGL10)-AGU10, "")</f>
        <v>0.79999999999999982</v>
      </c>
      <c r="AGX10" s="5">
        <v>0.46</v>
      </c>
      <c r="AGY10" s="10">
        <f t="shared" ref="AGY10:AGY12" si="572">IF(ISNUMBER(AGX10), AGX10-AGW10, "")</f>
        <v>-0.3399999999999998</v>
      </c>
      <c r="AHA10" s="24">
        <v>0</v>
      </c>
      <c r="AHB10" s="6" t="s">
        <v>20</v>
      </c>
      <c r="AHC10" s="24">
        <v>0.5</v>
      </c>
      <c r="AHD10" s="6" t="s">
        <v>20</v>
      </c>
      <c r="AHE10" s="5">
        <f t="shared" ref="AHE10:AHE12" si="573">IF(OR(ISNUMBER(AHA10), ISNUMBER(AHC10)), IF(ISNUMBER(AHA10), AHA10, 0) + IF(ISNUMBER(AHC10), AHC10, 0), "")</f>
        <v>0.5</v>
      </c>
      <c r="AHF10" s="3">
        <v>2</v>
      </c>
      <c r="AHG10" s="10">
        <f>IF(ISNUMBER(AHE10), (AGU10+AGV10)-AHE10, "")</f>
        <v>0.60000000000000009</v>
      </c>
      <c r="AHH10" s="5">
        <v>0.6</v>
      </c>
      <c r="AHI10" s="10">
        <f t="shared" ref="AHI10:AHI12" si="574">IF(ISNUMBER(AHH10), AHH10-AHG10, "")</f>
        <v>-1.1102230246251565E-16</v>
      </c>
      <c r="AHK10" s="2">
        <v>2</v>
      </c>
      <c r="AHL10" s="6" t="s">
        <v>20</v>
      </c>
      <c r="AHM10" s="2">
        <v>0.2</v>
      </c>
      <c r="AHN10" s="6" t="s">
        <v>20</v>
      </c>
      <c r="AHO10" s="5">
        <f t="shared" ref="AHO10:AHO12" si="575">IF(OR(ISNUMBER(AHK10), ISNUMBER(AHM10)), IF(ISNUMBER(AHK10), AHK10, 0) + IF(ISNUMBER(AHM10), AHM10, 0), "")</f>
        <v>2.2000000000000002</v>
      </c>
      <c r="AHP10" s="3"/>
      <c r="AHQ10" s="10">
        <f>IF(ISNUMBER(AHO10), (AHE10+AHF10)-AHO10, "")</f>
        <v>0.29999999999999982</v>
      </c>
      <c r="AHR10" s="5">
        <v>0.33</v>
      </c>
      <c r="AHS10" s="10">
        <f t="shared" ref="AHS10:AHS12" si="576">IF(ISNUMBER(AHR10), AHR10-AHQ10, "")</f>
        <v>3.0000000000000193E-2</v>
      </c>
      <c r="AHU10" s="2">
        <v>2</v>
      </c>
      <c r="AHV10" s="6" t="s">
        <v>20</v>
      </c>
      <c r="AHW10" s="2">
        <v>0.1</v>
      </c>
      <c r="AHX10" s="6" t="s">
        <v>20</v>
      </c>
      <c r="AHY10" s="5">
        <f t="shared" ref="AHY10:AHY12" si="577">IF(OR(ISNUMBER(AHU10), ISNUMBER(AHW10)), IF(ISNUMBER(AHU10), AHU10, 0) + IF(ISNUMBER(AHW10), AHW10, 0), "")</f>
        <v>2.1</v>
      </c>
      <c r="AHZ10" s="3"/>
      <c r="AIA10" s="10">
        <f>IF(ISNUMBER(AHY10), (AHO10+AHP10)-AHY10, "")</f>
        <v>0.10000000000000009</v>
      </c>
      <c r="AIB10" s="5">
        <v>0.21</v>
      </c>
      <c r="AIC10" s="10">
        <f t="shared" ref="AIC10:AIC12" si="578">IF(ISNUMBER(AIB10), AIB10-AIA10, "")</f>
        <v>0.1099999999999999</v>
      </c>
      <c r="AIE10" s="24">
        <v>1</v>
      </c>
      <c r="AIF10" s="6" t="s">
        <v>20</v>
      </c>
      <c r="AIG10" s="24">
        <v>1.1000000000000001</v>
      </c>
      <c r="AIH10" s="6" t="s">
        <v>20</v>
      </c>
      <c r="AII10" s="5">
        <f t="shared" ref="AII10:AII12" si="579">IF(OR(ISNUMBER(AIE10), ISNUMBER(AIG10)), IF(ISNUMBER(AIE10), AIE10, 0) + IF(ISNUMBER(AIG10), AIG10, 0), "")</f>
        <v>2.1</v>
      </c>
      <c r="AIJ10" s="3"/>
      <c r="AIK10" s="10">
        <f>IF(ISNUMBER(AII10), (AHY10+AHZ10)-AII10, "")</f>
        <v>0</v>
      </c>
      <c r="AIL10" s="5">
        <v>0.38</v>
      </c>
      <c r="AIM10" s="10">
        <f t="shared" ref="AIM10:AIM12" si="580">IF(ISNUMBER(AIL10), AIL10-AIK10, "")</f>
        <v>0.38</v>
      </c>
      <c r="AIO10" s="24">
        <v>1</v>
      </c>
      <c r="AIP10" s="6" t="s">
        <v>20</v>
      </c>
      <c r="AIQ10" s="24">
        <v>1.1000000000000001</v>
      </c>
      <c r="AIR10" s="6" t="s">
        <v>20</v>
      </c>
      <c r="AIS10" s="5">
        <f t="shared" ref="AIS10:AIS12" si="581">IF(OR(ISNUMBER(AIO10), ISNUMBER(AIQ10)), IF(ISNUMBER(AIO10), AIO10, 0) + IF(ISNUMBER(AIQ10), AIQ10, 0), "")</f>
        <v>2.1</v>
      </c>
      <c r="AIT10" s="3"/>
      <c r="AIU10" s="10">
        <f>IF(ISNUMBER(AIS10), (AII10+AIJ10)-AIS10, "")</f>
        <v>0</v>
      </c>
      <c r="AIV10" s="5">
        <v>0.17</v>
      </c>
      <c r="AIW10" s="10">
        <f t="shared" ref="AIW10:AIW12" si="582">IF(ISNUMBER(AIV10), AIV10-AIU10, "")</f>
        <v>0.17</v>
      </c>
      <c r="AIY10" s="24">
        <v>1</v>
      </c>
      <c r="AIZ10" s="6" t="s">
        <v>20</v>
      </c>
      <c r="AJA10" s="24">
        <v>0.5</v>
      </c>
      <c r="AJB10" s="6" t="s">
        <v>20</v>
      </c>
      <c r="AJC10" s="5">
        <f t="shared" ref="AJC10:AJC12" si="583">IF(OR(ISNUMBER(AIY10), ISNUMBER(AJA10)), IF(ISNUMBER(AIY10), AIY10, 0) + IF(ISNUMBER(AJA10), AJA10, 0), "")</f>
        <v>1.5</v>
      </c>
      <c r="AJD10" s="3"/>
      <c r="AJE10" s="10">
        <f>IF(ISNUMBER(AJC10), (AIS10+AIT10)-AJC10, "")</f>
        <v>0.60000000000000009</v>
      </c>
      <c r="AJF10" s="5">
        <v>0.24</v>
      </c>
      <c r="AJG10" s="10">
        <f t="shared" ref="AJG10:AJG12" si="584">IF(ISNUMBER(AJF10), AJF10-AJE10, "")</f>
        <v>-0.3600000000000001</v>
      </c>
      <c r="AJI10" s="2">
        <v>0</v>
      </c>
      <c r="AJJ10" s="6" t="s">
        <v>20</v>
      </c>
      <c r="AJK10" s="2">
        <v>0.9</v>
      </c>
      <c r="AJL10" s="6" t="s">
        <v>20</v>
      </c>
      <c r="AJM10" s="5">
        <f t="shared" ref="AJM10:AJM12" si="585">IF(OR(ISNUMBER(AJI10), ISNUMBER(AJK10)), IF(ISNUMBER(AJI10), AJI10, 0) + IF(ISNUMBER(AJK10), AJK10, 0), "")</f>
        <v>0.9</v>
      </c>
      <c r="AJN10" s="3">
        <v>1</v>
      </c>
      <c r="AJO10" s="10">
        <f>IF(ISNUMBER(AJM10), (AJC10+AJD10)-AJM10, "")</f>
        <v>0.6</v>
      </c>
      <c r="AJP10" s="5">
        <v>0.43</v>
      </c>
      <c r="AJQ10" s="10">
        <f t="shared" ref="AJQ10:AJQ12" si="586">IF(ISNUMBER(AJP10), AJP10-AJO10, "")</f>
        <v>-0.16999999999999998</v>
      </c>
      <c r="AJS10" s="24">
        <v>1</v>
      </c>
      <c r="AJT10" s="6" t="s">
        <v>20</v>
      </c>
      <c r="AJU10" s="24">
        <v>0.3</v>
      </c>
      <c r="AJV10" s="6" t="s">
        <v>20</v>
      </c>
      <c r="AJW10" s="5">
        <f t="shared" ref="AJW10:AJW12" si="587">IF(OR(ISNUMBER(AJS10), ISNUMBER(AJU10)), IF(ISNUMBER(AJS10), AJS10, 0) + IF(ISNUMBER(AJU10), AJU10, 0), "")</f>
        <v>1.3</v>
      </c>
      <c r="AJX10" s="3"/>
      <c r="AJY10" s="10">
        <f>IF(ISNUMBER(AJW10), (AJM10+AJN10)-AJW10, "")</f>
        <v>0.59999999999999987</v>
      </c>
      <c r="AJZ10" s="5">
        <v>0.31</v>
      </c>
      <c r="AKA10" s="10">
        <f t="shared" ref="AKA10:AKA12" si="588">IF(ISNUMBER(AJZ10), AJZ10-AJY10, "")</f>
        <v>-0.28999999999999987</v>
      </c>
      <c r="AKC10" s="2"/>
      <c r="AKD10" s="6" t="s">
        <v>20</v>
      </c>
      <c r="AKE10" s="2">
        <v>1</v>
      </c>
      <c r="AKF10" s="6" t="s">
        <v>20</v>
      </c>
      <c r="AKG10" s="5">
        <f t="shared" ref="AKG10:AKG12" si="589">IF(OR(ISNUMBER(AKC10), ISNUMBER(AKE10)), IF(ISNUMBER(AKC10), AKC10, 0) + IF(ISNUMBER(AKE10), AKE10, 0), "")</f>
        <v>1</v>
      </c>
      <c r="AKH10" s="3">
        <v>1</v>
      </c>
      <c r="AKI10" s="10">
        <f>IF(ISNUMBER(AKG10), (AJW10+AJX10)-AKG10, "")</f>
        <v>0.30000000000000004</v>
      </c>
      <c r="AKJ10" s="5">
        <v>0.19</v>
      </c>
      <c r="AKK10" s="10">
        <f t="shared" ref="AKK10:AKK12" si="590">IF(ISNUMBER(AKJ10), AKJ10-AKI10, "")</f>
        <v>-0.11000000000000004</v>
      </c>
      <c r="AKM10" s="24">
        <v>1</v>
      </c>
      <c r="AKN10" s="6" t="s">
        <v>20</v>
      </c>
      <c r="AKO10" s="24">
        <v>0.7</v>
      </c>
      <c r="AKP10" s="6" t="s">
        <v>20</v>
      </c>
      <c r="AKQ10" s="5">
        <f t="shared" ref="AKQ10:AKQ12" si="591">IF(OR(ISNUMBER(AKM10), ISNUMBER(AKO10)), IF(ISNUMBER(AKM10), AKM10, 0) + IF(ISNUMBER(AKO10), AKO10, 0), "")</f>
        <v>1.7</v>
      </c>
      <c r="AKR10" s="3"/>
      <c r="AKS10" s="10">
        <f>IF(ISNUMBER(AKQ10), (AKG10+AKH10)-AKQ10, "")</f>
        <v>0.30000000000000004</v>
      </c>
      <c r="AKT10" s="5">
        <v>0.17</v>
      </c>
      <c r="AKU10" s="10">
        <f t="shared" ref="AKU10:AKU12" si="592">IF(ISNUMBER(AKT10), AKT10-AKS10, "")</f>
        <v>-0.13000000000000003</v>
      </c>
      <c r="AKW10" s="2">
        <v>1</v>
      </c>
      <c r="AKX10" s="6" t="s">
        <v>20</v>
      </c>
      <c r="AKY10" s="2">
        <v>0.5</v>
      </c>
      <c r="AKZ10" s="6" t="s">
        <v>20</v>
      </c>
      <c r="ALA10" s="5">
        <f t="shared" ref="ALA10:ALA12" si="593">IF(OR(ISNUMBER(AKW10), ISNUMBER(AKY10)), IF(ISNUMBER(AKW10), AKW10, 0) + IF(ISNUMBER(AKY10), AKY10, 0), "")</f>
        <v>1.5</v>
      </c>
      <c r="ALB10" s="3"/>
      <c r="ALC10" s="10">
        <f>IF(ISNUMBER(ALA10), (AKQ10+AKR10)-ALA10, "")</f>
        <v>0.19999999999999996</v>
      </c>
      <c r="ALD10" s="5">
        <v>0.28999999999999998</v>
      </c>
      <c r="ALE10" s="10">
        <f t="shared" ref="ALE10:ALE12" si="594">IF(ISNUMBER(ALD10), ALD10-ALC10, "")</f>
        <v>9.0000000000000024E-2</v>
      </c>
      <c r="ALG10" s="2">
        <v>1</v>
      </c>
      <c r="ALH10" s="6" t="s">
        <v>20</v>
      </c>
      <c r="ALI10" s="2">
        <v>0.3</v>
      </c>
      <c r="ALJ10" s="6" t="s">
        <v>20</v>
      </c>
      <c r="ALK10" s="5">
        <f t="shared" ref="ALK10:ALK12" si="595">IF(OR(ISNUMBER(ALG10), ISNUMBER(ALI10)), IF(ISNUMBER(ALG10), ALG10, 0) + IF(ISNUMBER(ALI10), ALI10, 0), "")</f>
        <v>1.3</v>
      </c>
      <c r="ALL10" s="3"/>
      <c r="ALM10" s="10">
        <f>IF(ISNUMBER(ALK10), (ALA10+ALB10)-ALK10, "")</f>
        <v>0.19999999999999996</v>
      </c>
      <c r="ALN10" s="5">
        <v>0.1</v>
      </c>
      <c r="ALO10" s="10">
        <f t="shared" ref="ALO10:ALO12" si="596">IF(ISNUMBER(ALN10), ALN10-ALM10, "")</f>
        <v>-9.999999999999995E-2</v>
      </c>
      <c r="ALQ10" s="24">
        <v>1</v>
      </c>
      <c r="ALR10" s="6" t="s">
        <v>20</v>
      </c>
      <c r="ALS10" s="24">
        <v>0.1</v>
      </c>
      <c r="ALT10" s="6" t="s">
        <v>20</v>
      </c>
      <c r="ALU10" s="5">
        <f t="shared" ref="ALU10:ALU12" si="597">IF(OR(ISNUMBER(ALQ10), ISNUMBER(ALS10)), IF(ISNUMBER(ALQ10), ALQ10, 0) + IF(ISNUMBER(ALS10), ALS10, 0), "")</f>
        <v>1.1000000000000001</v>
      </c>
      <c r="ALV10" s="3"/>
      <c r="ALW10" s="10">
        <f>IF(ISNUMBER(ALU10), (ALK10+ALL10)-ALU10, "")</f>
        <v>0.19999999999999996</v>
      </c>
      <c r="ALX10" s="5">
        <v>0.22</v>
      </c>
      <c r="ALY10" s="10">
        <f t="shared" ref="ALY10:ALY12" si="598">IF(ISNUMBER(ALX10), ALX10-ALW10, "")</f>
        <v>2.0000000000000046E-2</v>
      </c>
      <c r="AMA10" s="24"/>
      <c r="AMB10" s="6" t="s">
        <v>20</v>
      </c>
      <c r="AMC10" s="24">
        <v>0.6</v>
      </c>
      <c r="AMD10" s="6" t="s">
        <v>20</v>
      </c>
      <c r="AME10" s="5">
        <f t="shared" ref="AME10:AME12" si="599">IF(OR(ISNUMBER(AMA10), ISNUMBER(AMC10)), IF(ISNUMBER(AMA10), AMA10, 0) + IF(ISNUMBER(AMC10), AMC10, 0), "")</f>
        <v>0.6</v>
      </c>
      <c r="AMF10" s="3"/>
      <c r="AMG10" s="10">
        <f>IF(ISNUMBER(AME10), (ALU10+ALV10)-AME10, "")</f>
        <v>0.50000000000000011</v>
      </c>
      <c r="AMH10" s="5">
        <v>0.26</v>
      </c>
      <c r="AMI10" s="10">
        <f t="shared" ref="AMI10:AMI12" si="600">IF(ISNUMBER(AMH10), AMH10-AMG10, "")</f>
        <v>-0.2400000000000001</v>
      </c>
      <c r="AMK10" s="24"/>
      <c r="AML10" s="6" t="s">
        <v>20</v>
      </c>
      <c r="AMM10" s="24">
        <v>0.3</v>
      </c>
      <c r="AMN10" s="6" t="s">
        <v>20</v>
      </c>
      <c r="AMO10" s="5">
        <f t="shared" ref="AMO10:AMO12" si="601">IF(OR(ISNUMBER(AMK10), ISNUMBER(AMM10)), IF(ISNUMBER(AMK10), AMK10, 0) + IF(ISNUMBER(AMM10), AMM10, 0), "")</f>
        <v>0.3</v>
      </c>
      <c r="AMP10" s="3">
        <v>1</v>
      </c>
      <c r="AMQ10" s="10">
        <f>IF(ISNUMBER(AMO10), (AME10+AMF10)-AMO10, "")</f>
        <v>0.3</v>
      </c>
      <c r="AMR10" s="5">
        <v>0.31</v>
      </c>
      <c r="AMS10" s="10">
        <f t="shared" ref="AMS10:AMS12" si="602">IF(ISNUMBER(AMR10), AMR10-AMQ10, "")</f>
        <v>1.0000000000000009E-2</v>
      </c>
      <c r="AMU10" s="2">
        <v>1</v>
      </c>
      <c r="AMV10" s="6" t="s">
        <v>20</v>
      </c>
      <c r="AMW10" s="2">
        <v>0.1</v>
      </c>
      <c r="AMX10" s="6" t="s">
        <v>20</v>
      </c>
      <c r="AMY10" s="5">
        <f t="shared" ref="AMY10:AMY12" si="603">IF(OR(ISNUMBER(AMU10), ISNUMBER(AMW10)), IF(ISNUMBER(AMU10), AMU10, 0) + IF(ISNUMBER(AMW10), AMW10, 0), "")</f>
        <v>1.1000000000000001</v>
      </c>
      <c r="AMZ10" s="3"/>
      <c r="ANA10" s="10">
        <f>IF(ISNUMBER(AMY10), (AMO10+AMP10)-AMY10, "")</f>
        <v>0.19999999999999996</v>
      </c>
      <c r="ANB10" s="5">
        <v>0.26</v>
      </c>
      <c r="ANC10" s="10">
        <f t="shared" ref="ANC10:ANC12" si="604">IF(ISNUMBER(ANB10), ANB10-ANA10, "")</f>
        <v>6.0000000000000053E-2</v>
      </c>
      <c r="ANE10" s="2"/>
      <c r="ANF10" s="6" t="s">
        <v>20</v>
      </c>
      <c r="ANG10" s="2">
        <v>0.9</v>
      </c>
      <c r="ANH10" s="6" t="s">
        <v>20</v>
      </c>
      <c r="ANI10" s="5">
        <f t="shared" ref="ANI10:ANI12" si="605">IF(OR(ISNUMBER(ANE10), ISNUMBER(ANG10)), IF(ISNUMBER(ANE10), ANE10, 0) + IF(ISNUMBER(ANG10), ANG10, 0), "")</f>
        <v>0.9</v>
      </c>
      <c r="ANJ10" s="3">
        <v>1</v>
      </c>
      <c r="ANK10" s="10">
        <f>IF(ISNUMBER(ANI10), (AMY10+AMZ10)-ANI10, "")</f>
        <v>0.20000000000000007</v>
      </c>
      <c r="ANL10" s="5">
        <v>0.22</v>
      </c>
      <c r="ANM10" s="10">
        <f t="shared" ref="ANM10:ANM12" si="606">IF(ISNUMBER(ANL10), ANL10-ANK10, "")</f>
        <v>1.9999999999999934E-2</v>
      </c>
      <c r="ANO10" s="24">
        <v>1</v>
      </c>
      <c r="ANP10" s="6" t="s">
        <v>20</v>
      </c>
      <c r="ANQ10" s="24">
        <v>0.5</v>
      </c>
      <c r="ANR10" s="6" t="s">
        <v>20</v>
      </c>
      <c r="ANS10" s="5">
        <f t="shared" ref="ANS10:ANS12" si="607">IF(OR(ISNUMBER(ANO10), ISNUMBER(ANQ10)), IF(ISNUMBER(ANO10), ANO10, 0) + IF(ISNUMBER(ANQ10), ANQ10, 0), "")</f>
        <v>1.5</v>
      </c>
      <c r="ANT10" s="3"/>
      <c r="ANU10" s="10">
        <f>IF(ISNUMBER(ANS10), (ANI10+ANJ10)-ANS10, "")</f>
        <v>0.39999999999999991</v>
      </c>
      <c r="ANV10" s="5">
        <v>0.17</v>
      </c>
      <c r="ANW10" s="10">
        <f t="shared" ref="ANW10:ANW12" si="608">IF(ISNUMBER(ANV10), ANV10-ANU10, "")</f>
        <v>-0.2299999999999999</v>
      </c>
      <c r="ANY10" s="24">
        <v>1</v>
      </c>
      <c r="ANZ10" s="6" t="s">
        <v>20</v>
      </c>
      <c r="AOA10" s="24">
        <v>0.3</v>
      </c>
      <c r="AOB10" s="6" t="s">
        <v>20</v>
      </c>
      <c r="AOC10" s="5">
        <f t="shared" ref="AOC10:AOC12" si="609">IF(OR(ISNUMBER(ANY10), ISNUMBER(AOA10)), IF(ISNUMBER(ANY10), ANY10, 0) + IF(ISNUMBER(AOA10), AOA10, 0), "")</f>
        <v>1.3</v>
      </c>
      <c r="AOD10" s="3"/>
      <c r="AOE10" s="10">
        <f>IF(ISNUMBER(AOC10), (ANS10+ANT10)-AOC10, "")</f>
        <v>0.19999999999999996</v>
      </c>
      <c r="AOF10" s="5">
        <v>0.19</v>
      </c>
      <c r="AOG10" s="10">
        <f t="shared" ref="AOG10:AOG12" si="610">IF(ISNUMBER(AOF10), AOF10-AOE10, "")</f>
        <v>-9.9999999999999534E-3</v>
      </c>
      <c r="AOI10" s="24">
        <v>1</v>
      </c>
      <c r="AOJ10" s="6" t="s">
        <v>20</v>
      </c>
      <c r="AOK10" s="24">
        <v>0.1</v>
      </c>
      <c r="AOL10" s="6" t="s">
        <v>20</v>
      </c>
      <c r="AOM10" s="5">
        <f t="shared" ref="AOM10:AOM12" si="611">IF(OR(ISNUMBER(AOI10), ISNUMBER(AOK10)), IF(ISNUMBER(AOI10), AOI10, 0) + IF(ISNUMBER(AOK10), AOK10, 0), "")</f>
        <v>1.1000000000000001</v>
      </c>
      <c r="AON10" s="3"/>
      <c r="AOO10" s="10">
        <f>IF(ISNUMBER(AOM10), (AOC10+AOD10)-AOM10, "")</f>
        <v>0.19999999999999996</v>
      </c>
      <c r="AOP10" s="5">
        <v>0.26</v>
      </c>
      <c r="AOQ10" s="10">
        <f t="shared" ref="AOQ10:AOQ12" si="612">IF(ISNUMBER(AOP10), AOP10-AOO10, "")</f>
        <v>6.0000000000000053E-2</v>
      </c>
      <c r="AOS10" s="2"/>
      <c r="AOT10" s="6" t="s">
        <v>20</v>
      </c>
      <c r="AOU10" s="2">
        <v>0.9</v>
      </c>
      <c r="AOV10" s="6" t="s">
        <v>20</v>
      </c>
      <c r="AOW10" s="5">
        <f t="shared" ref="AOW10:AOW12" si="613">IF(OR(ISNUMBER(AOS10), ISNUMBER(AOU10)), IF(ISNUMBER(AOS10), AOS10, 0) + IF(ISNUMBER(AOU10), AOU10, 0), "")</f>
        <v>0.9</v>
      </c>
      <c r="AOX10" s="3">
        <v>1</v>
      </c>
      <c r="AOY10" s="10">
        <f>IF(ISNUMBER(AOW10), (AOM10+AON10)-AOW10, "")</f>
        <v>0.20000000000000007</v>
      </c>
      <c r="AOZ10" s="5">
        <v>0.21</v>
      </c>
      <c r="APA10" s="10">
        <f t="shared" ref="APA10:APA12" si="614">IF(ISNUMBER(AOZ10), AOZ10-AOY10, "")</f>
        <v>9.9999999999999256E-3</v>
      </c>
    </row>
    <row r="11" spans="1:1093" ht="12.75" customHeight="1" x14ac:dyDescent="0.2">
      <c r="A11" s="22" t="s">
        <v>28</v>
      </c>
      <c r="B11" s="14">
        <v>0.25</v>
      </c>
      <c r="C11" s="23">
        <v>0.5</v>
      </c>
      <c r="E11" s="24"/>
      <c r="F11" s="6" t="s">
        <v>20</v>
      </c>
      <c r="G11" s="24">
        <v>1.7</v>
      </c>
      <c r="H11" s="6" t="s">
        <v>20</v>
      </c>
      <c r="I11" s="5">
        <f t="shared" si="326"/>
        <v>1.7</v>
      </c>
      <c r="J11" s="3"/>
      <c r="K11" s="10"/>
      <c r="L11" s="5"/>
      <c r="M11" s="10" t="str">
        <f t="shared" si="327"/>
        <v/>
      </c>
      <c r="O11" s="24"/>
      <c r="P11" s="6" t="s">
        <v>20</v>
      </c>
      <c r="Q11" s="24">
        <v>0.7</v>
      </c>
      <c r="R11" s="6" t="s">
        <v>20</v>
      </c>
      <c r="S11" s="5">
        <f t="shared" si="328"/>
        <v>0.7</v>
      </c>
      <c r="T11" s="3"/>
      <c r="U11" s="7">
        <f t="shared" si="329"/>
        <v>1</v>
      </c>
      <c r="V11" s="5">
        <v>0.27</v>
      </c>
      <c r="W11" s="7">
        <f t="shared" si="330"/>
        <v>-0.73</v>
      </c>
      <c r="Y11" s="24">
        <v>0</v>
      </c>
      <c r="Z11" s="6" t="s">
        <v>20</v>
      </c>
      <c r="AA11" s="24">
        <v>0.7</v>
      </c>
      <c r="AB11" s="6" t="s">
        <v>20</v>
      </c>
      <c r="AC11" s="5">
        <f t="shared" si="331"/>
        <v>0.7</v>
      </c>
      <c r="AD11" s="3"/>
      <c r="AE11" s="10">
        <f t="shared" si="332"/>
        <v>0</v>
      </c>
      <c r="AF11" s="5">
        <v>7.0000000000000007E-2</v>
      </c>
      <c r="AG11" s="10">
        <f t="shared" si="333"/>
        <v>7.0000000000000007E-2</v>
      </c>
      <c r="AI11" s="24">
        <v>0</v>
      </c>
      <c r="AJ11" s="6" t="s">
        <v>20</v>
      </c>
      <c r="AK11" s="24">
        <v>0.5</v>
      </c>
      <c r="AL11" s="6" t="s">
        <v>20</v>
      </c>
      <c r="AM11" s="5">
        <f t="shared" si="334"/>
        <v>0.5</v>
      </c>
      <c r="AN11" s="3">
        <v>1</v>
      </c>
      <c r="AO11" s="10">
        <f t="shared" si="335"/>
        <v>0.19999999999999996</v>
      </c>
      <c r="AP11" s="5">
        <v>0.14000000000000001</v>
      </c>
      <c r="AQ11" s="10">
        <f t="shared" si="336"/>
        <v>-5.9999999999999942E-2</v>
      </c>
      <c r="AS11" s="24">
        <v>1</v>
      </c>
      <c r="AT11" s="6" t="s">
        <v>20</v>
      </c>
      <c r="AU11" s="24">
        <v>0.3</v>
      </c>
      <c r="AV11" s="6" t="s">
        <v>20</v>
      </c>
      <c r="AW11" s="5">
        <f t="shared" si="337"/>
        <v>1.3</v>
      </c>
      <c r="AX11" s="3"/>
      <c r="AY11" s="10">
        <f t="shared" si="338"/>
        <v>0.19999999999999996</v>
      </c>
      <c r="AZ11" s="5">
        <v>0.19</v>
      </c>
      <c r="BA11" s="10">
        <f t="shared" si="339"/>
        <v>-9.9999999999999534E-3</v>
      </c>
      <c r="BC11" s="2">
        <v>1</v>
      </c>
      <c r="BD11" s="6" t="s">
        <v>20</v>
      </c>
      <c r="BE11" s="2">
        <v>0</v>
      </c>
      <c r="BF11" s="6" t="s">
        <v>20</v>
      </c>
      <c r="BG11" s="5">
        <f t="shared" si="340"/>
        <v>1</v>
      </c>
      <c r="BH11" s="3"/>
      <c r="BI11" s="10">
        <f t="shared" si="341"/>
        <v>0.30000000000000004</v>
      </c>
      <c r="BJ11" s="5">
        <v>0.26</v>
      </c>
      <c r="BK11" s="10">
        <f t="shared" si="342"/>
        <v>-4.0000000000000036E-2</v>
      </c>
      <c r="BM11" s="2">
        <v>0</v>
      </c>
      <c r="BN11" s="6" t="s">
        <v>20</v>
      </c>
      <c r="BO11" s="2">
        <v>0.7</v>
      </c>
      <c r="BP11" s="6" t="s">
        <v>20</v>
      </c>
      <c r="BQ11" s="5">
        <f t="shared" si="343"/>
        <v>0.7</v>
      </c>
      <c r="BR11" s="3">
        <v>1</v>
      </c>
      <c r="BS11" s="10">
        <f t="shared" si="344"/>
        <v>0.30000000000000004</v>
      </c>
      <c r="BT11" s="5">
        <v>0.1</v>
      </c>
      <c r="BU11" s="10">
        <f t="shared" si="345"/>
        <v>-0.20000000000000004</v>
      </c>
      <c r="BW11" s="24">
        <v>1</v>
      </c>
      <c r="BX11" s="6" t="s">
        <v>20</v>
      </c>
      <c r="BY11" s="24">
        <v>0.3</v>
      </c>
      <c r="BZ11" s="6" t="s">
        <v>20</v>
      </c>
      <c r="CA11" s="5">
        <f t="shared" si="346"/>
        <v>1.3</v>
      </c>
      <c r="CB11" s="3"/>
      <c r="CC11" s="10">
        <f t="shared" si="347"/>
        <v>0.39999999999999991</v>
      </c>
      <c r="CD11" s="5">
        <v>0.22</v>
      </c>
      <c r="CE11" s="10">
        <f t="shared" si="348"/>
        <v>-0.17999999999999991</v>
      </c>
      <c r="CG11" s="24">
        <v>1</v>
      </c>
      <c r="CH11" s="6" t="s">
        <v>20</v>
      </c>
      <c r="CI11" s="24">
        <v>0.3</v>
      </c>
      <c r="CJ11" s="6" t="s">
        <v>20</v>
      </c>
      <c r="CK11" s="5">
        <f t="shared" si="349"/>
        <v>1.3</v>
      </c>
      <c r="CL11" s="3"/>
      <c r="CM11" s="10">
        <f t="shared" si="350"/>
        <v>0</v>
      </c>
      <c r="CN11" s="5">
        <v>0.03</v>
      </c>
      <c r="CO11" s="10">
        <f t="shared" si="351"/>
        <v>0.03</v>
      </c>
      <c r="CQ11" s="24">
        <v>1</v>
      </c>
      <c r="CR11" s="6" t="s">
        <v>20</v>
      </c>
      <c r="CS11" s="24">
        <v>0.3</v>
      </c>
      <c r="CT11" s="6" t="s">
        <v>20</v>
      </c>
      <c r="CU11" s="5">
        <f t="shared" si="352"/>
        <v>1.3</v>
      </c>
      <c r="CV11" s="3"/>
      <c r="CW11" s="10">
        <f t="shared" si="353"/>
        <v>0</v>
      </c>
      <c r="CX11" s="5">
        <v>0.1</v>
      </c>
      <c r="CY11" s="10">
        <f t="shared" si="354"/>
        <v>0.1</v>
      </c>
      <c r="DA11" s="24">
        <v>1</v>
      </c>
      <c r="DB11" s="6" t="s">
        <v>20</v>
      </c>
      <c r="DC11" s="24">
        <v>0.3</v>
      </c>
      <c r="DD11" s="6" t="s">
        <v>20</v>
      </c>
      <c r="DE11" s="5">
        <f t="shared" si="355"/>
        <v>1.3</v>
      </c>
      <c r="DF11" s="3"/>
      <c r="DG11" s="10">
        <f t="shared" si="356"/>
        <v>0</v>
      </c>
      <c r="DH11" s="5">
        <v>0.09</v>
      </c>
      <c r="DI11" s="10">
        <f t="shared" si="357"/>
        <v>0.09</v>
      </c>
      <c r="DK11" s="24">
        <v>1</v>
      </c>
      <c r="DL11" s="6" t="s">
        <v>20</v>
      </c>
      <c r="DM11" s="24">
        <v>0.3</v>
      </c>
      <c r="DN11" s="6" t="s">
        <v>20</v>
      </c>
      <c r="DO11" s="5">
        <f t="shared" si="358"/>
        <v>1.3</v>
      </c>
      <c r="DP11" s="3"/>
      <c r="DQ11" s="10">
        <f t="shared" si="359"/>
        <v>0</v>
      </c>
      <c r="DR11" s="5">
        <v>0.1</v>
      </c>
      <c r="DS11" s="10">
        <f t="shared" si="360"/>
        <v>0.1</v>
      </c>
      <c r="DU11" s="24">
        <v>0</v>
      </c>
      <c r="DV11" s="6" t="s">
        <v>20</v>
      </c>
      <c r="DW11" s="24">
        <v>0.7</v>
      </c>
      <c r="DX11" s="6" t="s">
        <v>20</v>
      </c>
      <c r="DY11" s="5">
        <f t="shared" si="361"/>
        <v>0.7</v>
      </c>
      <c r="DZ11" s="3">
        <v>1</v>
      </c>
      <c r="EA11" s="10">
        <f t="shared" si="362"/>
        <v>0.60000000000000009</v>
      </c>
      <c r="EB11" s="5">
        <v>0.24</v>
      </c>
      <c r="EC11" s="10">
        <f t="shared" si="363"/>
        <v>-0.3600000000000001</v>
      </c>
      <c r="EE11" s="24">
        <v>1</v>
      </c>
      <c r="EF11" s="6" t="s">
        <v>20</v>
      </c>
      <c r="EG11" s="24">
        <v>0.5</v>
      </c>
      <c r="EH11" s="6" t="s">
        <v>20</v>
      </c>
      <c r="EI11" s="5">
        <f t="shared" si="364"/>
        <v>1.5</v>
      </c>
      <c r="EJ11" s="3"/>
      <c r="EK11" s="10">
        <f t="shared" si="365"/>
        <v>0.19999999999999996</v>
      </c>
      <c r="EL11" s="5">
        <v>0.05</v>
      </c>
      <c r="EM11" s="10">
        <f t="shared" si="366"/>
        <v>-0.14999999999999997</v>
      </c>
      <c r="EO11" s="24">
        <v>1</v>
      </c>
      <c r="EP11" s="6" t="s">
        <v>20</v>
      </c>
      <c r="EQ11" s="24">
        <v>0.2</v>
      </c>
      <c r="ER11" s="6" t="s">
        <v>20</v>
      </c>
      <c r="ES11" s="5">
        <f t="shared" si="367"/>
        <v>1.2</v>
      </c>
      <c r="ET11" s="3"/>
      <c r="EU11" s="10">
        <f t="shared" si="368"/>
        <v>0.30000000000000004</v>
      </c>
      <c r="EV11" s="5">
        <v>0.03</v>
      </c>
      <c r="EW11" s="10">
        <f t="shared" si="369"/>
        <v>-0.27</v>
      </c>
      <c r="EY11" s="24">
        <v>1</v>
      </c>
      <c r="EZ11" s="6" t="s">
        <v>20</v>
      </c>
      <c r="FA11" s="24">
        <v>0.1</v>
      </c>
      <c r="FB11" s="6" t="s">
        <v>20</v>
      </c>
      <c r="FC11" s="5">
        <f t="shared" si="370"/>
        <v>1.1000000000000001</v>
      </c>
      <c r="FD11" s="3"/>
      <c r="FE11" s="10">
        <f t="shared" si="371"/>
        <v>9.9999999999999867E-2</v>
      </c>
      <c r="FF11" s="5">
        <v>0.17</v>
      </c>
      <c r="FG11" s="10">
        <f t="shared" si="372"/>
        <v>7.0000000000000145E-2</v>
      </c>
      <c r="FI11" s="24">
        <v>0</v>
      </c>
      <c r="FJ11" s="6" t="s">
        <v>20</v>
      </c>
      <c r="FK11" s="24">
        <v>0.7</v>
      </c>
      <c r="FL11" s="6" t="s">
        <v>20</v>
      </c>
      <c r="FM11" s="5">
        <f t="shared" si="373"/>
        <v>0.7</v>
      </c>
      <c r="FN11" s="3"/>
      <c r="FO11" s="10">
        <f t="shared" si="374"/>
        <v>0.40000000000000013</v>
      </c>
      <c r="FP11" s="5">
        <v>0.39</v>
      </c>
      <c r="FQ11" s="10">
        <f t="shared" si="375"/>
        <v>-1.000000000000012E-2</v>
      </c>
      <c r="FS11" s="24">
        <v>0</v>
      </c>
      <c r="FT11" s="6" t="s">
        <v>20</v>
      </c>
      <c r="FU11" s="24">
        <v>0.5</v>
      </c>
      <c r="FV11" s="6" t="s">
        <v>20</v>
      </c>
      <c r="FW11" s="5">
        <f t="shared" si="376"/>
        <v>0.5</v>
      </c>
      <c r="FX11" s="3">
        <v>1</v>
      </c>
      <c r="FY11" s="10">
        <f t="shared" si="377"/>
        <v>0.19999999999999996</v>
      </c>
      <c r="FZ11" s="5">
        <v>0.1</v>
      </c>
      <c r="GA11" s="10">
        <f t="shared" si="378"/>
        <v>-9.999999999999995E-2</v>
      </c>
      <c r="GC11" s="24">
        <v>1</v>
      </c>
      <c r="GD11" s="6" t="s">
        <v>20</v>
      </c>
      <c r="GE11" s="24">
        <v>0.3</v>
      </c>
      <c r="GF11" s="6" t="s">
        <v>20</v>
      </c>
      <c r="GG11" s="5">
        <f t="shared" si="379"/>
        <v>1.3</v>
      </c>
      <c r="GH11" s="3"/>
      <c r="GI11" s="10">
        <f t="shared" si="380"/>
        <v>0.19999999999999996</v>
      </c>
      <c r="GJ11" s="5">
        <v>0.21</v>
      </c>
      <c r="GK11" s="10">
        <f t="shared" si="381"/>
        <v>1.0000000000000037E-2</v>
      </c>
      <c r="GM11" s="24">
        <v>0</v>
      </c>
      <c r="GN11" s="6" t="s">
        <v>20</v>
      </c>
      <c r="GO11" s="24">
        <v>1</v>
      </c>
      <c r="GP11" s="6" t="s">
        <v>20</v>
      </c>
      <c r="GQ11" s="5">
        <f t="shared" si="382"/>
        <v>1</v>
      </c>
      <c r="GR11" s="3"/>
      <c r="GS11" s="10">
        <f t="shared" si="383"/>
        <v>0.30000000000000004</v>
      </c>
      <c r="GT11" s="5">
        <v>0.09</v>
      </c>
      <c r="GU11" s="10">
        <f t="shared" si="384"/>
        <v>-0.21000000000000005</v>
      </c>
      <c r="GW11" s="24">
        <v>0</v>
      </c>
      <c r="GX11" s="6" t="s">
        <v>20</v>
      </c>
      <c r="GY11" s="24">
        <v>0.7</v>
      </c>
      <c r="GZ11" s="6" t="s">
        <v>20</v>
      </c>
      <c r="HA11" s="5">
        <f t="shared" si="385"/>
        <v>0.7</v>
      </c>
      <c r="HB11" s="3"/>
      <c r="HC11" s="10">
        <f t="shared" si="386"/>
        <v>0.30000000000000004</v>
      </c>
      <c r="HD11" s="5">
        <v>0.65</v>
      </c>
      <c r="HE11" s="10">
        <f t="shared" si="387"/>
        <v>0.35</v>
      </c>
      <c r="HG11" s="24">
        <v>0</v>
      </c>
      <c r="HH11" s="6" t="s">
        <v>20</v>
      </c>
      <c r="HI11" s="24">
        <v>0</v>
      </c>
      <c r="HJ11" s="6" t="s">
        <v>20</v>
      </c>
      <c r="HK11" s="5">
        <f t="shared" si="388"/>
        <v>0</v>
      </c>
      <c r="HL11" s="3"/>
      <c r="HM11" s="10">
        <f t="shared" si="389"/>
        <v>0.7</v>
      </c>
      <c r="HN11" s="5">
        <v>0.12</v>
      </c>
      <c r="HO11" s="10">
        <f t="shared" si="390"/>
        <v>-0.57999999999999996</v>
      </c>
      <c r="HQ11" s="24">
        <v>0</v>
      </c>
      <c r="HR11" s="6" t="s">
        <v>20</v>
      </c>
      <c r="HS11" s="24">
        <v>0</v>
      </c>
      <c r="HT11" s="6" t="s">
        <v>20</v>
      </c>
      <c r="HU11" s="5">
        <f t="shared" si="391"/>
        <v>0</v>
      </c>
      <c r="HV11" s="3">
        <v>1</v>
      </c>
      <c r="HW11" s="10">
        <f t="shared" si="392"/>
        <v>0</v>
      </c>
      <c r="HX11" s="5">
        <v>0.14000000000000001</v>
      </c>
      <c r="HY11" s="10">
        <f t="shared" si="393"/>
        <v>0.14000000000000001</v>
      </c>
      <c r="IA11" s="24">
        <v>0</v>
      </c>
      <c r="IB11" s="6" t="s">
        <v>20</v>
      </c>
      <c r="IC11" s="24">
        <v>0.9</v>
      </c>
      <c r="ID11" s="6" t="s">
        <v>20</v>
      </c>
      <c r="IE11" s="5">
        <f t="shared" si="394"/>
        <v>0.9</v>
      </c>
      <c r="IF11" s="3"/>
      <c r="IG11" s="10">
        <f t="shared" si="395"/>
        <v>9.9999999999999978E-2</v>
      </c>
      <c r="IH11" s="5">
        <v>0.14000000000000001</v>
      </c>
      <c r="II11" s="10">
        <f t="shared" si="396"/>
        <v>4.0000000000000036E-2</v>
      </c>
      <c r="IK11" s="24">
        <v>0</v>
      </c>
      <c r="IL11" s="6" t="s">
        <v>20</v>
      </c>
      <c r="IM11" s="24">
        <v>0.5</v>
      </c>
      <c r="IN11" s="6" t="s">
        <v>20</v>
      </c>
      <c r="IO11" s="5">
        <f t="shared" si="397"/>
        <v>0.5</v>
      </c>
      <c r="IP11" s="3">
        <v>1</v>
      </c>
      <c r="IQ11" s="10">
        <f t="shared" si="398"/>
        <v>0.4</v>
      </c>
      <c r="IR11" s="5">
        <v>0.1</v>
      </c>
      <c r="IS11" s="10">
        <f t="shared" si="399"/>
        <v>-0.30000000000000004</v>
      </c>
      <c r="IU11" s="24">
        <v>1</v>
      </c>
      <c r="IV11" s="6" t="s">
        <v>20</v>
      </c>
      <c r="IW11" s="24">
        <v>0</v>
      </c>
      <c r="IX11" s="6" t="s">
        <v>20</v>
      </c>
      <c r="IY11" s="5">
        <f t="shared" si="400"/>
        <v>1</v>
      </c>
      <c r="IZ11" s="3"/>
      <c r="JA11" s="10">
        <f t="shared" si="401"/>
        <v>0.5</v>
      </c>
      <c r="JB11" s="5">
        <v>0.33</v>
      </c>
      <c r="JC11" s="10">
        <f t="shared" si="402"/>
        <v>-0.16999999999999998</v>
      </c>
      <c r="JE11" s="24">
        <v>0</v>
      </c>
      <c r="JF11" s="6" t="s">
        <v>20</v>
      </c>
      <c r="JG11" s="24">
        <v>0.9</v>
      </c>
      <c r="JH11" s="6" t="s">
        <v>20</v>
      </c>
      <c r="JI11" s="5">
        <f t="shared" si="403"/>
        <v>0.9</v>
      </c>
      <c r="JJ11" s="3"/>
      <c r="JK11" s="10">
        <f t="shared" si="404"/>
        <v>9.9999999999999978E-2</v>
      </c>
      <c r="JL11" s="5">
        <v>0.12</v>
      </c>
      <c r="JM11" s="10">
        <f t="shared" si="405"/>
        <v>2.0000000000000018E-2</v>
      </c>
      <c r="JO11" s="24">
        <v>0</v>
      </c>
      <c r="JP11" s="6" t="s">
        <v>20</v>
      </c>
      <c r="JQ11" s="24">
        <v>0.3</v>
      </c>
      <c r="JR11" s="6" t="s">
        <v>20</v>
      </c>
      <c r="JS11" s="5">
        <f t="shared" si="406"/>
        <v>0.3</v>
      </c>
      <c r="JT11" s="3"/>
      <c r="JU11" s="10">
        <f t="shared" si="407"/>
        <v>0.60000000000000009</v>
      </c>
      <c r="JV11" s="5">
        <v>0.1</v>
      </c>
      <c r="JW11" s="10">
        <f t="shared" si="408"/>
        <v>-0.50000000000000011</v>
      </c>
      <c r="JY11" s="24">
        <v>0</v>
      </c>
      <c r="JZ11" s="6" t="s">
        <v>20</v>
      </c>
      <c r="KA11" s="24">
        <v>0.1</v>
      </c>
      <c r="KB11" s="6" t="s">
        <v>20</v>
      </c>
      <c r="KC11" s="5">
        <f t="shared" si="409"/>
        <v>0.1</v>
      </c>
      <c r="KD11" s="3">
        <v>1</v>
      </c>
      <c r="KE11" s="10">
        <f t="shared" si="410"/>
        <v>0.19999999999999998</v>
      </c>
      <c r="KF11" s="5">
        <v>0.36</v>
      </c>
      <c r="KG11" s="10">
        <f t="shared" si="411"/>
        <v>0.16</v>
      </c>
      <c r="KI11" s="24">
        <v>0</v>
      </c>
      <c r="KJ11" s="6" t="s">
        <v>20</v>
      </c>
      <c r="KK11" s="24">
        <v>0.7</v>
      </c>
      <c r="KL11" s="6" t="s">
        <v>20</v>
      </c>
      <c r="KM11" s="5">
        <f t="shared" si="412"/>
        <v>0.7</v>
      </c>
      <c r="KN11" s="3"/>
      <c r="KO11" s="10">
        <f t="shared" si="413"/>
        <v>0.40000000000000013</v>
      </c>
      <c r="KP11" s="5">
        <v>0.31</v>
      </c>
      <c r="KQ11" s="10">
        <f t="shared" si="414"/>
        <v>-9.0000000000000135E-2</v>
      </c>
      <c r="KS11" s="24">
        <v>0</v>
      </c>
      <c r="KT11" s="6" t="s">
        <v>20</v>
      </c>
      <c r="KU11" s="24">
        <v>0.3</v>
      </c>
      <c r="KV11" s="6" t="s">
        <v>20</v>
      </c>
      <c r="KW11" s="5">
        <f t="shared" si="415"/>
        <v>0.3</v>
      </c>
      <c r="KX11" s="3">
        <v>1</v>
      </c>
      <c r="KY11" s="10">
        <f t="shared" si="416"/>
        <v>0.39999999999999997</v>
      </c>
      <c r="KZ11" s="5">
        <v>0.28999999999999998</v>
      </c>
      <c r="LA11" s="10">
        <f t="shared" si="417"/>
        <v>-0.10999999999999999</v>
      </c>
      <c r="LC11" s="24">
        <v>1</v>
      </c>
      <c r="LD11" s="6" t="s">
        <v>20</v>
      </c>
      <c r="LE11" s="24">
        <v>0</v>
      </c>
      <c r="LF11" s="6" t="s">
        <v>20</v>
      </c>
      <c r="LG11" s="5">
        <f t="shared" si="418"/>
        <v>1</v>
      </c>
      <c r="LH11" s="3"/>
      <c r="LI11" s="10">
        <f t="shared" si="419"/>
        <v>0.30000000000000004</v>
      </c>
      <c r="LJ11" s="5">
        <v>0.41</v>
      </c>
      <c r="LK11" s="10">
        <f t="shared" si="420"/>
        <v>0.10999999999999993</v>
      </c>
      <c r="LM11" s="24">
        <v>0</v>
      </c>
      <c r="LN11" s="6" t="s">
        <v>20</v>
      </c>
      <c r="LO11" s="24">
        <v>0.3</v>
      </c>
      <c r="LP11" s="6" t="s">
        <v>20</v>
      </c>
      <c r="LQ11" s="5">
        <f t="shared" si="421"/>
        <v>0.3</v>
      </c>
      <c r="LR11" s="3">
        <v>1</v>
      </c>
      <c r="LS11" s="10">
        <f t="shared" si="422"/>
        <v>0.7</v>
      </c>
      <c r="LT11" s="5">
        <v>0.15</v>
      </c>
      <c r="LU11" s="10">
        <f t="shared" si="423"/>
        <v>-0.54999999999999993</v>
      </c>
      <c r="LW11" s="24">
        <v>1</v>
      </c>
      <c r="LX11" s="6" t="s">
        <v>20</v>
      </c>
      <c r="LY11" s="24">
        <v>0.1</v>
      </c>
      <c r="LZ11" s="6" t="s">
        <v>20</v>
      </c>
      <c r="MA11" s="5">
        <f t="shared" si="424"/>
        <v>1.1000000000000001</v>
      </c>
      <c r="MB11" s="3"/>
      <c r="MC11" s="10">
        <f t="shared" si="425"/>
        <v>0.19999999999999996</v>
      </c>
      <c r="MD11" s="5">
        <v>0.1</v>
      </c>
      <c r="ME11" s="10">
        <f t="shared" si="426"/>
        <v>-9.999999999999995E-2</v>
      </c>
      <c r="MG11" s="24">
        <v>0</v>
      </c>
      <c r="MH11" s="6" t="s">
        <v>20</v>
      </c>
      <c r="MI11" s="24">
        <v>0.9</v>
      </c>
      <c r="MJ11" s="6" t="s">
        <v>20</v>
      </c>
      <c r="MK11" s="5">
        <f t="shared" si="427"/>
        <v>0.9</v>
      </c>
      <c r="ML11" s="3"/>
      <c r="MM11" s="10">
        <f t="shared" si="428"/>
        <v>0.20000000000000007</v>
      </c>
      <c r="MN11" s="5">
        <v>0.6</v>
      </c>
      <c r="MO11" s="10">
        <f t="shared" si="429"/>
        <v>0.39999999999999991</v>
      </c>
      <c r="MQ11" s="2">
        <v>0</v>
      </c>
      <c r="MR11" s="6" t="s">
        <v>20</v>
      </c>
      <c r="MS11" s="2">
        <v>0.7</v>
      </c>
      <c r="MT11" s="6" t="s">
        <v>20</v>
      </c>
      <c r="MU11" s="5">
        <f t="shared" si="430"/>
        <v>0.7</v>
      </c>
      <c r="MV11" s="3"/>
      <c r="MW11" s="10">
        <f t="shared" si="431"/>
        <v>0.20000000000000007</v>
      </c>
      <c r="MX11" s="5">
        <v>0.14000000000000001</v>
      </c>
      <c r="MY11" s="10">
        <f t="shared" si="432"/>
        <v>-6.0000000000000053E-2</v>
      </c>
      <c r="NA11" s="24">
        <v>0</v>
      </c>
      <c r="NB11" s="6" t="s">
        <v>20</v>
      </c>
      <c r="NC11" s="24">
        <v>0.3</v>
      </c>
      <c r="ND11" s="6" t="s">
        <v>20</v>
      </c>
      <c r="NE11" s="5">
        <f t="shared" si="433"/>
        <v>0.3</v>
      </c>
      <c r="NF11" s="3">
        <v>2</v>
      </c>
      <c r="NG11" s="10">
        <f t="shared" si="434"/>
        <v>0.39999999999999997</v>
      </c>
      <c r="NH11" s="5">
        <v>0.21</v>
      </c>
      <c r="NI11" s="10">
        <f t="shared" si="435"/>
        <v>-0.18999999999999997</v>
      </c>
      <c r="NK11" s="24">
        <v>2</v>
      </c>
      <c r="NL11" s="6" t="s">
        <v>20</v>
      </c>
      <c r="NM11" s="24">
        <v>0.3</v>
      </c>
      <c r="NN11" s="6" t="s">
        <v>20</v>
      </c>
      <c r="NO11" s="5">
        <f t="shared" si="436"/>
        <v>2.2999999999999998</v>
      </c>
      <c r="NP11" s="3"/>
      <c r="NQ11" s="10">
        <f t="shared" si="437"/>
        <v>0</v>
      </c>
      <c r="NR11" s="5">
        <v>7.0000000000000007E-2</v>
      </c>
      <c r="NS11" s="10">
        <f t="shared" si="438"/>
        <v>7.0000000000000007E-2</v>
      </c>
      <c r="NU11" s="24">
        <v>1</v>
      </c>
      <c r="NV11" s="6" t="s">
        <v>20</v>
      </c>
      <c r="NW11" s="24">
        <v>0.9</v>
      </c>
      <c r="NX11" s="6" t="s">
        <v>20</v>
      </c>
      <c r="NY11" s="5">
        <f t="shared" si="439"/>
        <v>1.9</v>
      </c>
      <c r="NZ11" s="3"/>
      <c r="OA11" s="10">
        <f t="shared" si="440"/>
        <v>0.39999999999999991</v>
      </c>
      <c r="OB11" s="5">
        <v>0.36</v>
      </c>
      <c r="OC11" s="10">
        <f t="shared" si="441"/>
        <v>-3.9999999999999925E-2</v>
      </c>
      <c r="OE11" s="2">
        <v>1</v>
      </c>
      <c r="OF11" s="6" t="s">
        <v>20</v>
      </c>
      <c r="OG11" s="2">
        <v>0.7</v>
      </c>
      <c r="OH11" s="6" t="s">
        <v>20</v>
      </c>
      <c r="OI11" s="5">
        <f t="shared" si="442"/>
        <v>1.7</v>
      </c>
      <c r="OJ11" s="3"/>
      <c r="OK11" s="10">
        <f t="shared" si="443"/>
        <v>0.19999999999999996</v>
      </c>
      <c r="OL11" s="5">
        <v>0.26</v>
      </c>
      <c r="OM11" s="10">
        <f t="shared" si="444"/>
        <v>6.0000000000000053E-2</v>
      </c>
      <c r="OO11" s="24">
        <v>1</v>
      </c>
      <c r="OP11" s="6" t="s">
        <v>20</v>
      </c>
      <c r="OQ11" s="24">
        <v>0.3</v>
      </c>
      <c r="OR11" s="6" t="s">
        <v>20</v>
      </c>
      <c r="OS11" s="5">
        <f t="shared" si="445"/>
        <v>1.3</v>
      </c>
      <c r="OT11" s="3"/>
      <c r="OU11" s="10">
        <f t="shared" si="446"/>
        <v>0.39999999999999991</v>
      </c>
      <c r="OV11" s="5">
        <v>0.19</v>
      </c>
      <c r="OW11" s="10">
        <f t="shared" si="447"/>
        <v>-0.20999999999999991</v>
      </c>
      <c r="OY11" s="24">
        <v>0</v>
      </c>
      <c r="OZ11" s="6" t="s">
        <v>20</v>
      </c>
      <c r="PA11" s="24">
        <v>0.9</v>
      </c>
      <c r="PB11" s="6" t="s">
        <v>20</v>
      </c>
      <c r="PC11" s="5">
        <f t="shared" si="448"/>
        <v>0.9</v>
      </c>
      <c r="PD11" s="3"/>
      <c r="PE11" s="10">
        <f t="shared" si="449"/>
        <v>0.4</v>
      </c>
      <c r="PF11" s="5">
        <v>0.21</v>
      </c>
      <c r="PG11" s="10">
        <f t="shared" si="450"/>
        <v>-0.19000000000000003</v>
      </c>
      <c r="PI11" s="24">
        <v>0</v>
      </c>
      <c r="PJ11" s="6" t="s">
        <v>20</v>
      </c>
      <c r="PK11" s="24">
        <v>0.6</v>
      </c>
      <c r="PL11" s="6" t="s">
        <v>20</v>
      </c>
      <c r="PM11" s="5">
        <f t="shared" si="451"/>
        <v>0.6</v>
      </c>
      <c r="PN11" s="3">
        <v>1</v>
      </c>
      <c r="PO11" s="10">
        <f t="shared" si="452"/>
        <v>0.30000000000000004</v>
      </c>
      <c r="PP11" s="5">
        <v>0.05</v>
      </c>
      <c r="PQ11" s="10">
        <f t="shared" si="453"/>
        <v>-0.25000000000000006</v>
      </c>
      <c r="PS11" s="2">
        <v>1</v>
      </c>
      <c r="PT11" s="6" t="s">
        <v>20</v>
      </c>
      <c r="PU11" s="2">
        <v>0.4</v>
      </c>
      <c r="PV11" s="6" t="s">
        <v>20</v>
      </c>
      <c r="PW11" s="5">
        <f t="shared" si="454"/>
        <v>1.4</v>
      </c>
      <c r="PX11" s="3"/>
      <c r="PY11" s="10">
        <f t="shared" si="455"/>
        <v>0.20000000000000018</v>
      </c>
      <c r="PZ11" s="5">
        <v>0.22</v>
      </c>
      <c r="QA11" s="10">
        <f t="shared" si="456"/>
        <v>1.9999999999999823E-2</v>
      </c>
      <c r="QC11" s="24">
        <v>1</v>
      </c>
      <c r="QD11" s="6" t="s">
        <v>20</v>
      </c>
      <c r="QE11" s="24">
        <v>0.3</v>
      </c>
      <c r="QF11" s="6" t="s">
        <v>20</v>
      </c>
      <c r="QG11" s="5">
        <f t="shared" si="457"/>
        <v>1.3</v>
      </c>
      <c r="QH11" s="3">
        <v>1</v>
      </c>
      <c r="QI11" s="10">
        <f t="shared" si="458"/>
        <v>9.9999999999999867E-2</v>
      </c>
      <c r="QJ11" s="5">
        <v>0.1</v>
      </c>
      <c r="QK11" s="10">
        <f t="shared" si="459"/>
        <v>1.3877787807814457E-16</v>
      </c>
      <c r="QM11" s="24">
        <v>2</v>
      </c>
      <c r="QN11" s="6" t="s">
        <v>20</v>
      </c>
      <c r="QO11" s="24">
        <v>0</v>
      </c>
      <c r="QP11" s="6" t="s">
        <v>20</v>
      </c>
      <c r="QQ11" s="5">
        <f t="shared" si="460"/>
        <v>2</v>
      </c>
      <c r="QR11" s="3"/>
      <c r="QS11" s="10">
        <f t="shared" si="461"/>
        <v>0.29999999999999982</v>
      </c>
      <c r="QT11" s="5">
        <v>0.14000000000000001</v>
      </c>
      <c r="QU11" s="10">
        <f t="shared" si="462"/>
        <v>-0.15999999999999981</v>
      </c>
      <c r="QW11" s="24">
        <v>1</v>
      </c>
      <c r="QX11" s="6" t="s">
        <v>20</v>
      </c>
      <c r="QY11" s="24">
        <v>0.5</v>
      </c>
      <c r="QZ11" s="6" t="s">
        <v>20</v>
      </c>
      <c r="RA11" s="5">
        <f t="shared" si="463"/>
        <v>1.5</v>
      </c>
      <c r="RB11" s="3"/>
      <c r="RC11" s="10">
        <f t="shared" si="464"/>
        <v>0.5</v>
      </c>
      <c r="RD11" s="5">
        <v>0.24</v>
      </c>
      <c r="RE11" s="10">
        <f t="shared" si="465"/>
        <v>-0.26</v>
      </c>
      <c r="RG11" s="24">
        <v>1</v>
      </c>
      <c r="RH11" s="6" t="s">
        <v>20</v>
      </c>
      <c r="RI11" s="24">
        <v>0.3</v>
      </c>
      <c r="RJ11" s="6" t="s">
        <v>20</v>
      </c>
      <c r="RK11" s="5">
        <f t="shared" si="466"/>
        <v>1.3</v>
      </c>
      <c r="RL11" s="3"/>
      <c r="RM11" s="10">
        <f t="shared" si="467"/>
        <v>0.19999999999999996</v>
      </c>
      <c r="RN11" s="5">
        <v>0.19</v>
      </c>
      <c r="RO11" s="10">
        <f t="shared" si="468"/>
        <v>-9.9999999999999534E-3</v>
      </c>
      <c r="RQ11" s="24">
        <v>1</v>
      </c>
      <c r="RR11" s="6" t="s">
        <v>20</v>
      </c>
      <c r="RS11" s="24">
        <v>0.3</v>
      </c>
      <c r="RT11" s="6" t="s">
        <v>20</v>
      </c>
      <c r="RU11" s="5">
        <f t="shared" si="469"/>
        <v>1.3</v>
      </c>
      <c r="RV11" s="3"/>
      <c r="RW11" s="10">
        <f t="shared" si="470"/>
        <v>0</v>
      </c>
      <c r="RX11" s="5"/>
      <c r="RY11" s="10" t="str">
        <f t="shared" si="471"/>
        <v/>
      </c>
      <c r="SA11" s="2">
        <v>1</v>
      </c>
      <c r="SB11" s="6" t="s">
        <v>20</v>
      </c>
      <c r="SC11" s="2">
        <v>0.1</v>
      </c>
      <c r="SD11" s="6" t="s">
        <v>20</v>
      </c>
      <c r="SE11" s="5">
        <f t="shared" si="472"/>
        <v>1.1000000000000001</v>
      </c>
      <c r="SF11" s="3"/>
      <c r="SG11" s="10">
        <f t="shared" si="473"/>
        <v>0.19999999999999996</v>
      </c>
      <c r="SH11" s="5">
        <v>0.19</v>
      </c>
      <c r="SI11" s="10">
        <f t="shared" si="474"/>
        <v>-9.9999999999999534E-3</v>
      </c>
      <c r="SK11" s="24">
        <v>1</v>
      </c>
      <c r="SL11" s="6" t="s">
        <v>20</v>
      </c>
      <c r="SM11" s="24">
        <v>0</v>
      </c>
      <c r="SN11" s="6" t="s">
        <v>20</v>
      </c>
      <c r="SO11" s="5">
        <f t="shared" si="475"/>
        <v>1</v>
      </c>
      <c r="SP11" s="3"/>
      <c r="SQ11" s="10">
        <f t="shared" si="476"/>
        <v>0.10000000000000009</v>
      </c>
      <c r="SR11" s="5">
        <v>0.03</v>
      </c>
      <c r="SS11" s="10">
        <f t="shared" si="477"/>
        <v>-7.000000000000009E-2</v>
      </c>
      <c r="SU11" s="24">
        <v>0</v>
      </c>
      <c r="SV11" s="6" t="s">
        <v>20</v>
      </c>
      <c r="SW11" s="24">
        <v>0.9</v>
      </c>
      <c r="SX11" s="6" t="s">
        <v>20</v>
      </c>
      <c r="SY11" s="5">
        <f t="shared" si="478"/>
        <v>0.9</v>
      </c>
      <c r="SZ11" s="3"/>
      <c r="TA11" s="10">
        <f t="shared" si="479"/>
        <v>9.9999999999999978E-2</v>
      </c>
      <c r="TB11" s="5">
        <v>0.14000000000000001</v>
      </c>
      <c r="TC11" s="10">
        <f t="shared" si="480"/>
        <v>4.0000000000000036E-2</v>
      </c>
      <c r="TE11" s="24">
        <v>0</v>
      </c>
      <c r="TF11" s="6" t="s">
        <v>20</v>
      </c>
      <c r="TG11" s="24">
        <v>0.5</v>
      </c>
      <c r="TH11" s="6" t="s">
        <v>20</v>
      </c>
      <c r="TI11" s="5">
        <f t="shared" si="481"/>
        <v>0.5</v>
      </c>
      <c r="TJ11" s="3">
        <v>1</v>
      </c>
      <c r="TK11" s="10">
        <f t="shared" si="482"/>
        <v>0.4</v>
      </c>
      <c r="TL11" s="5">
        <v>0.12</v>
      </c>
      <c r="TM11" s="10">
        <f t="shared" si="483"/>
        <v>-0.28000000000000003</v>
      </c>
      <c r="TO11" s="24">
        <v>1</v>
      </c>
      <c r="TP11" s="6" t="s">
        <v>20</v>
      </c>
      <c r="TQ11" s="24">
        <v>0.4</v>
      </c>
      <c r="TR11" s="6" t="s">
        <v>20</v>
      </c>
      <c r="TS11" s="5">
        <f t="shared" si="484"/>
        <v>1.4</v>
      </c>
      <c r="TT11" s="3"/>
      <c r="TU11" s="10">
        <f t="shared" si="485"/>
        <v>0.10000000000000009</v>
      </c>
      <c r="TV11" s="5">
        <v>0.09</v>
      </c>
      <c r="TW11" s="10">
        <f t="shared" si="486"/>
        <v>-1.0000000000000092E-2</v>
      </c>
      <c r="TY11" s="24">
        <v>1</v>
      </c>
      <c r="TZ11" s="6" t="s">
        <v>20</v>
      </c>
      <c r="UA11" s="24">
        <v>0.3</v>
      </c>
      <c r="UB11" s="6" t="s">
        <v>20</v>
      </c>
      <c r="UC11" s="5">
        <f t="shared" si="487"/>
        <v>1.3</v>
      </c>
      <c r="UD11" s="3"/>
      <c r="UE11" s="10">
        <f t="shared" si="488"/>
        <v>9.9999999999999867E-2</v>
      </c>
      <c r="UF11" s="5">
        <v>0.09</v>
      </c>
      <c r="UG11" s="10">
        <f t="shared" si="489"/>
        <v>-9.9999999999998701E-3</v>
      </c>
      <c r="UI11" s="2">
        <v>1</v>
      </c>
      <c r="UJ11" s="6" t="s">
        <v>20</v>
      </c>
      <c r="UK11" s="2">
        <v>0.3</v>
      </c>
      <c r="UL11" s="6" t="s">
        <v>20</v>
      </c>
      <c r="UM11" s="5">
        <f t="shared" si="490"/>
        <v>1.3</v>
      </c>
      <c r="UN11" s="3"/>
      <c r="UO11" s="10">
        <f t="shared" si="491"/>
        <v>0</v>
      </c>
      <c r="UP11" s="5">
        <v>0.21</v>
      </c>
      <c r="UQ11" s="10">
        <f t="shared" si="492"/>
        <v>0.21</v>
      </c>
      <c r="US11" s="24">
        <v>1</v>
      </c>
      <c r="UT11" s="6" t="s">
        <v>20</v>
      </c>
      <c r="UU11" s="24">
        <v>0.1</v>
      </c>
      <c r="UV11" s="6" t="s">
        <v>20</v>
      </c>
      <c r="UW11" s="5">
        <f t="shared" si="493"/>
        <v>1.1000000000000001</v>
      </c>
      <c r="UX11" s="3"/>
      <c r="UY11" s="10">
        <f t="shared" si="494"/>
        <v>0.19999999999999996</v>
      </c>
      <c r="UZ11" s="5">
        <v>0.17</v>
      </c>
      <c r="VA11" s="10">
        <f t="shared" si="495"/>
        <v>-2.9999999999999943E-2</v>
      </c>
      <c r="VC11" s="2">
        <v>1</v>
      </c>
      <c r="VD11" s="6" t="s">
        <v>20</v>
      </c>
      <c r="VE11" s="2">
        <v>0</v>
      </c>
      <c r="VF11" s="6" t="s">
        <v>20</v>
      </c>
      <c r="VG11" s="5">
        <f t="shared" si="496"/>
        <v>1</v>
      </c>
      <c r="VH11" s="3"/>
      <c r="VI11" s="10">
        <f t="shared" si="497"/>
        <v>0.10000000000000009</v>
      </c>
      <c r="VJ11" s="5">
        <v>0.1</v>
      </c>
      <c r="VK11" s="10">
        <f t="shared" si="498"/>
        <v>-8.3266726846886741E-17</v>
      </c>
      <c r="VM11" s="24">
        <v>0</v>
      </c>
      <c r="VN11" s="6" t="s">
        <v>20</v>
      </c>
      <c r="VO11" s="24">
        <v>0.7</v>
      </c>
      <c r="VP11" s="6" t="s">
        <v>20</v>
      </c>
      <c r="VQ11" s="5">
        <f t="shared" si="499"/>
        <v>0.7</v>
      </c>
      <c r="VR11" s="3">
        <v>1</v>
      </c>
      <c r="VS11" s="10">
        <f t="shared" si="500"/>
        <v>0.30000000000000004</v>
      </c>
      <c r="VT11" s="5">
        <v>0.28999999999999998</v>
      </c>
      <c r="VU11" s="10">
        <f t="shared" si="501"/>
        <v>-1.0000000000000064E-2</v>
      </c>
      <c r="VW11" s="2">
        <v>1</v>
      </c>
      <c r="VX11" s="6" t="s">
        <v>20</v>
      </c>
      <c r="VY11" s="2">
        <v>0.4</v>
      </c>
      <c r="VZ11" s="6" t="s">
        <v>20</v>
      </c>
      <c r="WA11" s="5">
        <f t="shared" si="502"/>
        <v>1.4</v>
      </c>
      <c r="WB11" s="3"/>
      <c r="WC11" s="10">
        <f t="shared" si="503"/>
        <v>0.30000000000000004</v>
      </c>
      <c r="WD11" s="5">
        <v>0.26</v>
      </c>
      <c r="WE11" s="10">
        <f t="shared" si="504"/>
        <v>-4.0000000000000036E-2</v>
      </c>
      <c r="WG11" s="2">
        <v>1</v>
      </c>
      <c r="WH11" s="6" t="s">
        <v>20</v>
      </c>
      <c r="WI11" s="2">
        <v>0.1</v>
      </c>
      <c r="WJ11" s="6" t="s">
        <v>20</v>
      </c>
      <c r="WK11" s="5">
        <f t="shared" si="505"/>
        <v>1.1000000000000001</v>
      </c>
      <c r="WL11" s="3"/>
      <c r="WM11" s="10">
        <f t="shared" si="506"/>
        <v>0.29999999999999982</v>
      </c>
      <c r="WN11" s="5">
        <v>0.28999999999999998</v>
      </c>
      <c r="WO11" s="10">
        <f t="shared" si="507"/>
        <v>-9.9999999999998423E-3</v>
      </c>
      <c r="WQ11" s="2">
        <v>0</v>
      </c>
      <c r="WR11" s="6" t="s">
        <v>20</v>
      </c>
      <c r="WS11" s="2">
        <v>0.6</v>
      </c>
      <c r="WT11" s="6" t="s">
        <v>20</v>
      </c>
      <c r="WU11" s="5">
        <f t="shared" si="508"/>
        <v>0.6</v>
      </c>
      <c r="WV11" s="3"/>
      <c r="WW11" s="10">
        <f t="shared" si="509"/>
        <v>0.50000000000000011</v>
      </c>
      <c r="WX11" s="5">
        <v>0.24</v>
      </c>
      <c r="WY11" s="10">
        <f t="shared" si="510"/>
        <v>-0.26000000000000012</v>
      </c>
      <c r="XA11" s="24">
        <v>0</v>
      </c>
      <c r="XB11" s="6" t="s">
        <v>20</v>
      </c>
      <c r="XC11" s="24">
        <v>0.5</v>
      </c>
      <c r="XD11" s="6" t="s">
        <v>20</v>
      </c>
      <c r="XE11" s="5">
        <f t="shared" si="511"/>
        <v>0.5</v>
      </c>
      <c r="XF11" s="3">
        <v>1</v>
      </c>
      <c r="XG11" s="10">
        <f t="shared" si="512"/>
        <v>9.9999999999999978E-2</v>
      </c>
      <c r="XH11" s="5">
        <v>0.09</v>
      </c>
      <c r="XI11" s="10">
        <f t="shared" si="513"/>
        <v>-9.9999999999999811E-3</v>
      </c>
      <c r="XK11" s="24"/>
      <c r="XL11" s="6" t="s">
        <v>20</v>
      </c>
      <c r="XM11" s="24">
        <v>1</v>
      </c>
      <c r="XN11" s="6" t="s">
        <v>20</v>
      </c>
      <c r="XO11" s="5">
        <f t="shared" si="514"/>
        <v>1</v>
      </c>
      <c r="XP11" s="3"/>
      <c r="XQ11" s="10">
        <f t="shared" si="515"/>
        <v>0.5</v>
      </c>
      <c r="XR11" s="5">
        <v>0.28999999999999998</v>
      </c>
      <c r="XS11" s="10">
        <f t="shared" si="516"/>
        <v>-0.21000000000000002</v>
      </c>
      <c r="XU11" s="24"/>
      <c r="XV11" s="6" t="s">
        <v>20</v>
      </c>
      <c r="XW11" s="24">
        <v>0.5</v>
      </c>
      <c r="XX11" s="6" t="s">
        <v>20</v>
      </c>
      <c r="XY11" s="5">
        <f t="shared" si="517"/>
        <v>0.5</v>
      </c>
      <c r="XZ11" s="3">
        <v>1</v>
      </c>
      <c r="YA11" s="10">
        <f t="shared" si="518"/>
        <v>0.5</v>
      </c>
      <c r="YB11" s="5">
        <v>0.19</v>
      </c>
      <c r="YC11" s="10">
        <f t="shared" si="519"/>
        <v>-0.31</v>
      </c>
      <c r="YE11" s="24">
        <v>1</v>
      </c>
      <c r="YF11" s="6" t="s">
        <v>20</v>
      </c>
      <c r="YG11" s="24">
        <v>0.4</v>
      </c>
      <c r="YH11" s="6" t="s">
        <v>20</v>
      </c>
      <c r="YI11" s="5">
        <f t="shared" si="520"/>
        <v>1.4</v>
      </c>
      <c r="YJ11" s="3"/>
      <c r="YK11" s="10">
        <f t="shared" si="521"/>
        <v>0.10000000000000009</v>
      </c>
      <c r="YL11" s="5">
        <v>7.0000000000000007E-2</v>
      </c>
      <c r="YM11" s="10">
        <f t="shared" si="522"/>
        <v>-3.0000000000000082E-2</v>
      </c>
      <c r="YO11" s="24">
        <v>1</v>
      </c>
      <c r="YP11" s="6" t="s">
        <v>20</v>
      </c>
      <c r="YQ11" s="24">
        <v>0.2</v>
      </c>
      <c r="YR11" s="6" t="s">
        <v>20</v>
      </c>
      <c r="YS11" s="5">
        <f t="shared" si="523"/>
        <v>1.2</v>
      </c>
      <c r="YT11" s="3"/>
      <c r="YU11" s="10">
        <f t="shared" si="524"/>
        <v>0.19999999999999996</v>
      </c>
      <c r="YV11" s="5">
        <v>0.24</v>
      </c>
      <c r="YW11" s="10">
        <f t="shared" si="525"/>
        <v>4.0000000000000036E-2</v>
      </c>
      <c r="YY11" s="24"/>
      <c r="YZ11" s="6" t="s">
        <v>20</v>
      </c>
      <c r="ZA11" s="24">
        <v>1</v>
      </c>
      <c r="ZB11" s="6" t="s">
        <v>20</v>
      </c>
      <c r="ZC11" s="5">
        <f t="shared" si="526"/>
        <v>1</v>
      </c>
      <c r="ZD11" s="3"/>
      <c r="ZE11" s="10">
        <f t="shared" si="527"/>
        <v>0.19999999999999996</v>
      </c>
      <c r="ZF11" s="5">
        <v>0.22</v>
      </c>
      <c r="ZG11" s="10">
        <f t="shared" si="528"/>
        <v>2.0000000000000046E-2</v>
      </c>
      <c r="ZI11" s="24"/>
      <c r="ZJ11" s="6" t="s">
        <v>20</v>
      </c>
      <c r="ZK11" s="24">
        <v>0.9</v>
      </c>
      <c r="ZL11" s="6" t="s">
        <v>20</v>
      </c>
      <c r="ZM11" s="5">
        <f t="shared" si="529"/>
        <v>0.9</v>
      </c>
      <c r="ZN11" s="3"/>
      <c r="ZO11" s="10">
        <f t="shared" si="530"/>
        <v>9.9999999999999978E-2</v>
      </c>
      <c r="ZP11" s="5">
        <v>0.14000000000000001</v>
      </c>
      <c r="ZQ11" s="10">
        <f t="shared" si="531"/>
        <v>4.0000000000000036E-2</v>
      </c>
      <c r="ZS11" s="24"/>
      <c r="ZT11" s="6" t="s">
        <v>20</v>
      </c>
      <c r="ZU11" s="24">
        <v>0.4</v>
      </c>
      <c r="ZV11" s="6" t="s">
        <v>20</v>
      </c>
      <c r="ZW11" s="5">
        <f t="shared" si="532"/>
        <v>0.4</v>
      </c>
      <c r="ZX11" s="3">
        <v>1</v>
      </c>
      <c r="ZY11" s="10">
        <f t="shared" si="533"/>
        <v>0.5</v>
      </c>
      <c r="ZZ11" s="5">
        <v>0.36</v>
      </c>
      <c r="AAA11" s="10">
        <f t="shared" si="534"/>
        <v>-0.14000000000000001</v>
      </c>
      <c r="AAC11" s="24">
        <v>1</v>
      </c>
      <c r="AAD11" s="6" t="s">
        <v>20</v>
      </c>
      <c r="AAE11" s="24">
        <v>0.1</v>
      </c>
      <c r="AAF11" s="6" t="s">
        <v>20</v>
      </c>
      <c r="AAG11" s="5">
        <f t="shared" si="535"/>
        <v>1.1000000000000001</v>
      </c>
      <c r="AAH11" s="3"/>
      <c r="AAI11" s="10">
        <f t="shared" si="536"/>
        <v>0.29999999999999982</v>
      </c>
      <c r="AAJ11" s="5">
        <v>0.26</v>
      </c>
      <c r="AAK11" s="10">
        <f t="shared" si="537"/>
        <v>-3.9999999999999813E-2</v>
      </c>
      <c r="AAM11" s="2">
        <v>0</v>
      </c>
      <c r="AAN11" s="6" t="s">
        <v>20</v>
      </c>
      <c r="AAO11" s="2">
        <v>0.9</v>
      </c>
      <c r="AAP11" s="6" t="s">
        <v>20</v>
      </c>
      <c r="AAQ11" s="5">
        <f t="shared" si="538"/>
        <v>0.9</v>
      </c>
      <c r="AAR11" s="3"/>
      <c r="AAS11" s="10">
        <f t="shared" si="539"/>
        <v>0.20000000000000007</v>
      </c>
      <c r="AAT11" s="5">
        <v>0.17</v>
      </c>
      <c r="AAU11" s="10">
        <f t="shared" si="540"/>
        <v>-3.0000000000000054E-2</v>
      </c>
      <c r="AAW11" s="2"/>
      <c r="AAX11" s="6" t="s">
        <v>20</v>
      </c>
      <c r="AAY11" s="2">
        <v>0.9</v>
      </c>
      <c r="AAZ11" s="6" t="s">
        <v>20</v>
      </c>
      <c r="ABA11" s="5">
        <f t="shared" si="541"/>
        <v>0.9</v>
      </c>
      <c r="ABB11" s="3"/>
      <c r="ABC11" s="10">
        <f t="shared" si="542"/>
        <v>0</v>
      </c>
      <c r="ABD11" s="5">
        <v>0.09</v>
      </c>
      <c r="ABE11" s="10">
        <f t="shared" si="543"/>
        <v>0.09</v>
      </c>
      <c r="ABG11" s="24"/>
      <c r="ABH11" s="6" t="s">
        <v>20</v>
      </c>
      <c r="ABI11" s="24">
        <v>0.7</v>
      </c>
      <c r="ABJ11" s="6" t="s">
        <v>20</v>
      </c>
      <c r="ABK11" s="5">
        <f t="shared" si="544"/>
        <v>0.7</v>
      </c>
      <c r="ABL11" s="3"/>
      <c r="ABM11" s="10">
        <f t="shared" si="545"/>
        <v>0.20000000000000007</v>
      </c>
      <c r="ABN11" s="5">
        <v>0.17</v>
      </c>
      <c r="ABO11" s="10">
        <f t="shared" si="546"/>
        <v>-3.0000000000000054E-2</v>
      </c>
      <c r="ABQ11" s="2"/>
      <c r="ABR11" s="6" t="s">
        <v>20</v>
      </c>
      <c r="ABS11" s="2">
        <v>0.1</v>
      </c>
      <c r="ABT11" s="6" t="s">
        <v>20</v>
      </c>
      <c r="ABU11" s="5">
        <f t="shared" si="547"/>
        <v>0.1</v>
      </c>
      <c r="ABV11" s="3">
        <v>1</v>
      </c>
      <c r="ABW11" s="10">
        <f t="shared" ref="ABW11:ABW12" si="615">IF(ISNUMBER(ABU11), (ABK11+ABL11)-ABU11, "")</f>
        <v>0.6</v>
      </c>
      <c r="ABX11" s="5">
        <v>0.53</v>
      </c>
      <c r="ABY11" s="10">
        <f t="shared" si="548"/>
        <v>-6.9999999999999951E-2</v>
      </c>
      <c r="ACA11" s="24">
        <v>1</v>
      </c>
      <c r="ACB11" s="6" t="s">
        <v>20</v>
      </c>
      <c r="ACC11" s="24">
        <v>0.1</v>
      </c>
      <c r="ACD11" s="6" t="s">
        <v>20</v>
      </c>
      <c r="ACE11" s="5">
        <f>IF(OR(ISNUMBER(ACA11), ISNUMBER(ACC11)), IF(ISNUMBER(ACA11), ACA11, 0) + IF(ISNUMBER(ACC11), ACC11, 0), "")</f>
        <v>1.1000000000000001</v>
      </c>
      <c r="ACF11" s="3"/>
      <c r="ACG11" s="10">
        <f>IF(ISNUMBER(ACE11), (ABU11+ABV11)-ACE11, "")</f>
        <v>0</v>
      </c>
      <c r="ACH11" s="5">
        <v>0.03</v>
      </c>
      <c r="ACI11" s="10">
        <f>IF(ISNUMBER(ACH11), ACH11-ACG11, "")</f>
        <v>0.03</v>
      </c>
      <c r="ACK11" s="24"/>
      <c r="ACL11" s="6" t="s">
        <v>20</v>
      </c>
      <c r="ACM11" s="24">
        <v>0.7</v>
      </c>
      <c r="ACN11" s="6" t="s">
        <v>20</v>
      </c>
      <c r="ACO11" s="5">
        <f t="shared" si="549"/>
        <v>0.7</v>
      </c>
      <c r="ACP11" s="3"/>
      <c r="ACQ11" s="10">
        <f t="shared" ref="ACQ11:ACQ12" si="616">IF(ISNUMBER(ACO11), (ACE11+ACF11)-ACO11, "")</f>
        <v>0.40000000000000013</v>
      </c>
      <c r="ACR11" s="5">
        <v>0.17</v>
      </c>
      <c r="ACS11" s="10">
        <f t="shared" si="550"/>
        <v>-0.23000000000000012</v>
      </c>
      <c r="ACU11" s="24">
        <v>0</v>
      </c>
      <c r="ACV11" s="6" t="s">
        <v>20</v>
      </c>
      <c r="ACW11" s="24">
        <v>0.6</v>
      </c>
      <c r="ACX11" s="6" t="s">
        <v>20</v>
      </c>
      <c r="ACY11" s="5">
        <f t="shared" si="551"/>
        <v>0.6</v>
      </c>
      <c r="ACZ11" s="3"/>
      <c r="ADA11" s="10">
        <f t="shared" ref="ADA11:ADA12" si="617">IF(ISNUMBER(ACY11), (ACO11+ACP11)-ACY11, "")</f>
        <v>9.9999999999999978E-2</v>
      </c>
      <c r="ADB11" s="5">
        <v>0.08</v>
      </c>
      <c r="ADC11" s="10">
        <f t="shared" si="552"/>
        <v>-1.9999999999999976E-2</v>
      </c>
      <c r="ADE11" s="24">
        <v>0</v>
      </c>
      <c r="ADF11" s="6" t="s">
        <v>20</v>
      </c>
      <c r="ADG11" s="24">
        <v>0.5</v>
      </c>
      <c r="ADH11" s="6" t="s">
        <v>20</v>
      </c>
      <c r="ADI11" s="5">
        <f t="shared" si="553"/>
        <v>0.5</v>
      </c>
      <c r="ADJ11" s="3">
        <v>1</v>
      </c>
      <c r="ADK11" s="10">
        <f t="shared" ref="ADK11:ADK12" si="618">IF(ISNUMBER(ADI11), (ACY11+ACZ11)-ADI11, "")</f>
        <v>9.9999999999999978E-2</v>
      </c>
      <c r="ADL11" s="5">
        <v>0.1</v>
      </c>
      <c r="ADM11" s="10">
        <f t="shared" si="554"/>
        <v>2.7755575615628914E-17</v>
      </c>
      <c r="ADO11" s="2">
        <v>1</v>
      </c>
      <c r="ADP11" s="6" t="s">
        <v>20</v>
      </c>
      <c r="ADQ11" s="2">
        <v>0.3</v>
      </c>
      <c r="ADR11" s="6" t="s">
        <v>20</v>
      </c>
      <c r="ADS11" s="5">
        <f t="shared" si="555"/>
        <v>1.3</v>
      </c>
      <c r="ADT11" s="3"/>
      <c r="ADU11" s="10">
        <f t="shared" ref="ADU11:ADU12" si="619">IF(ISNUMBER(ADS11), (ADI11+ADJ11)-ADS11, "")</f>
        <v>0.19999999999999996</v>
      </c>
      <c r="ADV11" s="5">
        <v>0.17</v>
      </c>
      <c r="ADW11" s="10">
        <f t="shared" si="556"/>
        <v>-2.9999999999999943E-2</v>
      </c>
      <c r="ADY11" s="24">
        <v>1</v>
      </c>
      <c r="ADZ11" s="6" t="s">
        <v>20</v>
      </c>
      <c r="AEA11" s="24">
        <v>0.1</v>
      </c>
      <c r="AEB11" s="6" t="s">
        <v>20</v>
      </c>
      <c r="AEC11" s="5">
        <f t="shared" si="557"/>
        <v>1.1000000000000001</v>
      </c>
      <c r="AED11" s="3"/>
      <c r="AEE11" s="10">
        <f t="shared" ref="AEE11:AEE12" si="620">IF(ISNUMBER(AEC11), (ADS11+ADT11)-AEC11, "")</f>
        <v>0.19999999999999996</v>
      </c>
      <c r="AEF11" s="5">
        <v>0.19</v>
      </c>
      <c r="AEG11" s="10">
        <f t="shared" si="558"/>
        <v>-9.9999999999999534E-3</v>
      </c>
      <c r="AEI11" s="2">
        <v>0</v>
      </c>
      <c r="AEJ11" s="6" t="s">
        <v>20</v>
      </c>
      <c r="AEK11" s="2">
        <v>0.7</v>
      </c>
      <c r="AEL11" s="6" t="s">
        <v>20</v>
      </c>
      <c r="AEM11" s="5">
        <f t="shared" si="559"/>
        <v>0.7</v>
      </c>
      <c r="AEN11" s="3"/>
      <c r="AEO11" s="10">
        <f t="shared" ref="AEO11:AEO12" si="621">IF(ISNUMBER(AEM11), (AEC11+AED11)-AEM11, "")</f>
        <v>0.40000000000000013</v>
      </c>
      <c r="AEP11" s="5">
        <v>0.43</v>
      </c>
      <c r="AEQ11" s="10">
        <f t="shared" si="560"/>
        <v>2.999999999999986E-2</v>
      </c>
      <c r="AES11" s="24">
        <v>0</v>
      </c>
      <c r="AET11" s="6" t="s">
        <v>20</v>
      </c>
      <c r="AEU11" s="24">
        <v>0.5</v>
      </c>
      <c r="AEV11" s="6" t="s">
        <v>20</v>
      </c>
      <c r="AEW11" s="5">
        <f t="shared" si="561"/>
        <v>0.5</v>
      </c>
      <c r="AEX11" s="3">
        <v>1</v>
      </c>
      <c r="AEY11" s="10">
        <f t="shared" ref="AEY11:AEY12" si="622">IF(ISNUMBER(AEW11), (AEM11+AEN11)-AEW11, "")</f>
        <v>0.19999999999999996</v>
      </c>
      <c r="AEZ11" s="5">
        <v>0.12</v>
      </c>
      <c r="AFA11" s="10">
        <f t="shared" si="562"/>
        <v>-7.999999999999996E-2</v>
      </c>
      <c r="AFC11" s="2">
        <v>1</v>
      </c>
      <c r="AFD11" s="6" t="s">
        <v>20</v>
      </c>
      <c r="AFE11" s="2">
        <v>0.5</v>
      </c>
      <c r="AFF11" s="6" t="s">
        <v>20</v>
      </c>
      <c r="AFG11" s="5">
        <f t="shared" si="563"/>
        <v>1.5</v>
      </c>
      <c r="AFH11" s="3"/>
      <c r="AFI11" s="10">
        <f t="shared" ref="AFI11:AFI12" si="623">IF(ISNUMBER(AFG11), (AEW11+AEX11)-AFG11, "")</f>
        <v>0</v>
      </c>
      <c r="AFJ11" s="5">
        <v>0.05</v>
      </c>
      <c r="AFK11" s="10">
        <f t="shared" si="564"/>
        <v>0.05</v>
      </c>
      <c r="AFM11" s="2">
        <v>1</v>
      </c>
      <c r="AFN11" s="6" t="s">
        <v>20</v>
      </c>
      <c r="AFO11" s="2">
        <v>0.3</v>
      </c>
      <c r="AFP11" s="6" t="s">
        <v>20</v>
      </c>
      <c r="AFQ11" s="5">
        <f t="shared" si="565"/>
        <v>1.3</v>
      </c>
      <c r="AFR11" s="3"/>
      <c r="AFS11" s="10">
        <f t="shared" ref="AFS11:AFS12" si="624">IF(ISNUMBER(AFQ11), (AFG11+AFH11)-AFQ11, "")</f>
        <v>0.19999999999999996</v>
      </c>
      <c r="AFT11" s="5">
        <v>0.09</v>
      </c>
      <c r="AFU11" s="10">
        <f t="shared" si="566"/>
        <v>-0.10999999999999996</v>
      </c>
      <c r="AFW11" s="24">
        <v>1</v>
      </c>
      <c r="AFX11" s="6" t="s">
        <v>20</v>
      </c>
      <c r="AFY11" s="24">
        <v>0.1</v>
      </c>
      <c r="AFZ11" s="6" t="s">
        <v>20</v>
      </c>
      <c r="AGA11" s="5">
        <f t="shared" si="567"/>
        <v>1.1000000000000001</v>
      </c>
      <c r="AGB11" s="3"/>
      <c r="AGC11" s="10">
        <f t="shared" ref="AGC11:AGC12" si="625">IF(ISNUMBER(AGA11), (AFQ11+AFR11)-AGA11, "")</f>
        <v>0.19999999999999996</v>
      </c>
      <c r="AGD11" s="5">
        <v>0.15</v>
      </c>
      <c r="AGE11" s="10">
        <f t="shared" si="568"/>
        <v>-4.9999999999999961E-2</v>
      </c>
      <c r="AGG11" s="24">
        <v>0</v>
      </c>
      <c r="AGH11" s="6" t="s">
        <v>20</v>
      </c>
      <c r="AGI11" s="24">
        <v>0.9</v>
      </c>
      <c r="AGJ11" s="6" t="s">
        <v>20</v>
      </c>
      <c r="AGK11" s="5">
        <f t="shared" si="569"/>
        <v>0.9</v>
      </c>
      <c r="AGL11" s="3"/>
      <c r="AGM11" s="10">
        <f t="shared" ref="AGM11:AGM12" si="626">IF(ISNUMBER(AGK11), (AGA11+AGB11)-AGK11, "")</f>
        <v>0.20000000000000007</v>
      </c>
      <c r="AGN11" s="5">
        <v>0.19</v>
      </c>
      <c r="AGO11" s="10">
        <f t="shared" si="570"/>
        <v>-1.0000000000000064E-2</v>
      </c>
      <c r="AGQ11" s="24">
        <v>0</v>
      </c>
      <c r="AGR11" s="6" t="s">
        <v>20</v>
      </c>
      <c r="AGS11" s="24">
        <v>0.7</v>
      </c>
      <c r="AGT11" s="6" t="s">
        <v>20</v>
      </c>
      <c r="AGU11" s="5">
        <f t="shared" si="571"/>
        <v>0.7</v>
      </c>
      <c r="AGV11" s="3"/>
      <c r="AGW11" s="10">
        <f t="shared" ref="AGW11:AGW12" si="627">IF(ISNUMBER(AGU11), (AGK11+AGL11)-AGU11, "")</f>
        <v>0.20000000000000007</v>
      </c>
      <c r="AGX11" s="5">
        <v>0.1</v>
      </c>
      <c r="AGY11" s="10">
        <f t="shared" si="572"/>
        <v>-0.10000000000000006</v>
      </c>
      <c r="AHA11" s="24">
        <v>0</v>
      </c>
      <c r="AHB11" s="6" t="s">
        <v>20</v>
      </c>
      <c r="AHC11" s="24">
        <v>0.5</v>
      </c>
      <c r="AHD11" s="6" t="s">
        <v>20</v>
      </c>
      <c r="AHE11" s="5">
        <f t="shared" si="573"/>
        <v>0.5</v>
      </c>
      <c r="AHF11" s="3">
        <v>1</v>
      </c>
      <c r="AHG11" s="10">
        <f t="shared" ref="AHG11:AHG12" si="628">IF(ISNUMBER(AHE11), (AGU11+AGV11)-AHE11, "")</f>
        <v>0.19999999999999996</v>
      </c>
      <c r="AHH11" s="5">
        <v>0.17</v>
      </c>
      <c r="AHI11" s="10">
        <f t="shared" si="574"/>
        <v>-2.9999999999999943E-2</v>
      </c>
      <c r="AHK11" s="2">
        <v>1</v>
      </c>
      <c r="AHL11" s="6" t="s">
        <v>20</v>
      </c>
      <c r="AHM11" s="2">
        <v>0.4</v>
      </c>
      <c r="AHN11" s="6" t="s">
        <v>20</v>
      </c>
      <c r="AHO11" s="5">
        <f t="shared" si="575"/>
        <v>1.4</v>
      </c>
      <c r="AHP11" s="3"/>
      <c r="AHQ11" s="10">
        <f t="shared" ref="AHQ11:AHQ12" si="629">IF(ISNUMBER(AHO11), (AHE11+AHF11)-AHO11, "")</f>
        <v>0.10000000000000009</v>
      </c>
      <c r="AHR11" s="5">
        <v>0.15</v>
      </c>
      <c r="AHS11" s="10">
        <f t="shared" si="576"/>
        <v>4.9999999999999906E-2</v>
      </c>
      <c r="AHU11" s="2">
        <v>1</v>
      </c>
      <c r="AHV11" s="6" t="s">
        <v>20</v>
      </c>
      <c r="AHW11" s="2">
        <v>0.4</v>
      </c>
      <c r="AHX11" s="6" t="s">
        <v>20</v>
      </c>
      <c r="AHY11" s="5">
        <f t="shared" si="577"/>
        <v>1.4</v>
      </c>
      <c r="AHZ11" s="3"/>
      <c r="AIA11" s="10">
        <f t="shared" ref="AIA11:AIA12" si="630">IF(ISNUMBER(AHY11), (AHO11+AHP11)-AHY11, "")</f>
        <v>0</v>
      </c>
      <c r="AIB11" s="5">
        <v>0.05</v>
      </c>
      <c r="AIC11" s="10">
        <f t="shared" si="578"/>
        <v>0.05</v>
      </c>
      <c r="AIE11" s="24"/>
      <c r="AIF11" s="6" t="s">
        <v>20</v>
      </c>
      <c r="AIG11" s="24">
        <v>1.1000000000000001</v>
      </c>
      <c r="AIH11" s="6" t="s">
        <v>20</v>
      </c>
      <c r="AII11" s="5">
        <f t="shared" si="579"/>
        <v>1.1000000000000001</v>
      </c>
      <c r="AIJ11" s="3"/>
      <c r="AIK11" s="10">
        <f t="shared" ref="AIK11:AIK12" si="631">IF(ISNUMBER(AII11), (AHY11+AHZ11)-AII11, "")</f>
        <v>0.29999999999999982</v>
      </c>
      <c r="AIL11" s="5">
        <v>0.34</v>
      </c>
      <c r="AIM11" s="10">
        <f t="shared" si="580"/>
        <v>4.0000000000000202E-2</v>
      </c>
      <c r="AIO11" s="24"/>
      <c r="AIP11" s="6" t="s">
        <v>20</v>
      </c>
      <c r="AIQ11" s="24">
        <v>1</v>
      </c>
      <c r="AIR11" s="6" t="s">
        <v>20</v>
      </c>
      <c r="AIS11" s="5">
        <f t="shared" si="581"/>
        <v>1</v>
      </c>
      <c r="AIT11" s="3"/>
      <c r="AIU11" s="10">
        <f t="shared" ref="AIU11:AIU12" si="632">IF(ISNUMBER(AIS11), (AII11+AIJ11)-AIS11, "")</f>
        <v>0.10000000000000009</v>
      </c>
      <c r="AIV11" s="5">
        <v>0.26</v>
      </c>
      <c r="AIW11" s="10">
        <f t="shared" si="582"/>
        <v>0.15999999999999992</v>
      </c>
      <c r="AIY11" s="24">
        <v>0</v>
      </c>
      <c r="AIZ11" s="6" t="s">
        <v>20</v>
      </c>
      <c r="AJA11" s="24">
        <v>0.5</v>
      </c>
      <c r="AJB11" s="6" t="s">
        <v>20</v>
      </c>
      <c r="AJC11" s="5">
        <f t="shared" si="583"/>
        <v>0.5</v>
      </c>
      <c r="AJD11" s="3"/>
      <c r="AJE11" s="10">
        <f t="shared" ref="AJE11:AJE12" si="633">IF(ISNUMBER(AJC11), (AIS11+AIT11)-AJC11, "")</f>
        <v>0.5</v>
      </c>
      <c r="AJF11" s="5">
        <v>0.1</v>
      </c>
      <c r="AJG11" s="10">
        <f t="shared" si="584"/>
        <v>-0.4</v>
      </c>
      <c r="AJI11" s="2">
        <v>0</v>
      </c>
      <c r="AJJ11" s="6" t="s">
        <v>20</v>
      </c>
      <c r="AJK11" s="2">
        <v>0.3</v>
      </c>
      <c r="AJL11" s="6" t="s">
        <v>20</v>
      </c>
      <c r="AJM11" s="5">
        <f t="shared" si="585"/>
        <v>0.3</v>
      </c>
      <c r="AJN11" s="3">
        <v>1</v>
      </c>
      <c r="AJO11" s="10">
        <f t="shared" ref="AJO11:AJO12" si="634">IF(ISNUMBER(AJM11), (AJC11+AJD11)-AJM11, "")</f>
        <v>0.2</v>
      </c>
      <c r="AJP11" s="5">
        <v>0.14000000000000001</v>
      </c>
      <c r="AJQ11" s="10">
        <f t="shared" si="586"/>
        <v>-0.06</v>
      </c>
      <c r="AJS11" s="24">
        <v>1</v>
      </c>
      <c r="AJT11" s="6" t="s">
        <v>20</v>
      </c>
      <c r="AJU11" s="24">
        <v>0.2</v>
      </c>
      <c r="AJV11" s="6" t="s">
        <v>20</v>
      </c>
      <c r="AJW11" s="5">
        <f t="shared" si="587"/>
        <v>1.2</v>
      </c>
      <c r="AJX11" s="3"/>
      <c r="AJY11" s="10">
        <f t="shared" ref="AJY11:AJY12" si="635">IF(ISNUMBER(AJW11), (AJM11+AJN11)-AJW11, "")</f>
        <v>0.10000000000000009</v>
      </c>
      <c r="AJZ11" s="5">
        <v>0.09</v>
      </c>
      <c r="AKA11" s="10">
        <f t="shared" si="588"/>
        <v>-1.0000000000000092E-2</v>
      </c>
      <c r="AKC11" s="2">
        <v>1</v>
      </c>
      <c r="AKD11" s="6" t="s">
        <v>20</v>
      </c>
      <c r="AKE11" s="2">
        <v>0.1</v>
      </c>
      <c r="AKF11" s="6" t="s">
        <v>20</v>
      </c>
      <c r="AKG11" s="5">
        <f t="shared" si="589"/>
        <v>1.1000000000000001</v>
      </c>
      <c r="AKH11" s="3"/>
      <c r="AKI11" s="10">
        <f t="shared" ref="AKI11:AKI12" si="636">IF(ISNUMBER(AKG11), (AJW11+AJX11)-AKG11, "")</f>
        <v>9.9999999999999867E-2</v>
      </c>
      <c r="AKJ11" s="5">
        <v>7.0000000000000007E-2</v>
      </c>
      <c r="AKK11" s="10">
        <f t="shared" si="590"/>
        <v>-2.999999999999986E-2</v>
      </c>
      <c r="AKM11" s="24">
        <v>0</v>
      </c>
      <c r="AKN11" s="6" t="s">
        <v>20</v>
      </c>
      <c r="AKO11" s="24">
        <v>0.7</v>
      </c>
      <c r="AKP11" s="6" t="s">
        <v>20</v>
      </c>
      <c r="AKQ11" s="5">
        <f t="shared" si="591"/>
        <v>0.7</v>
      </c>
      <c r="AKR11" s="3"/>
      <c r="AKS11" s="10">
        <f t="shared" ref="AKS11:AKS12" si="637">IF(ISNUMBER(AKQ11), (AKG11+AKH11)-AKQ11, "")</f>
        <v>0.40000000000000013</v>
      </c>
      <c r="AKT11" s="5">
        <v>0.12</v>
      </c>
      <c r="AKU11" s="10">
        <f t="shared" si="592"/>
        <v>-0.28000000000000014</v>
      </c>
      <c r="AKW11" s="2">
        <v>0</v>
      </c>
      <c r="AKX11" s="6" t="s">
        <v>20</v>
      </c>
      <c r="AKY11" s="2">
        <v>0.7</v>
      </c>
      <c r="AKZ11" s="6" t="s">
        <v>20</v>
      </c>
      <c r="ALA11" s="5">
        <f t="shared" si="593"/>
        <v>0.7</v>
      </c>
      <c r="ALB11" s="3">
        <v>1</v>
      </c>
      <c r="ALC11" s="10">
        <f t="shared" ref="ALC11:ALC12" si="638">IF(ISNUMBER(ALA11), (AKQ11+AKR11)-ALA11, "")</f>
        <v>0</v>
      </c>
      <c r="ALD11" s="5">
        <v>0.1</v>
      </c>
      <c r="ALE11" s="10">
        <f t="shared" si="594"/>
        <v>0.1</v>
      </c>
      <c r="ALG11" s="2">
        <v>1</v>
      </c>
      <c r="ALH11" s="6" t="s">
        <v>20</v>
      </c>
      <c r="ALI11" s="2">
        <v>0.5</v>
      </c>
      <c r="ALJ11" s="6" t="s">
        <v>20</v>
      </c>
      <c r="ALK11" s="5">
        <f t="shared" si="595"/>
        <v>1.5</v>
      </c>
      <c r="ALL11" s="3"/>
      <c r="ALM11" s="10">
        <f t="shared" ref="ALM11:ALM12" si="639">IF(ISNUMBER(ALK11), (ALA11+ALB11)-ALK11, "")</f>
        <v>0.19999999999999996</v>
      </c>
      <c r="ALN11" s="5">
        <v>0.21</v>
      </c>
      <c r="ALO11" s="10">
        <f t="shared" si="596"/>
        <v>1.0000000000000037E-2</v>
      </c>
      <c r="ALQ11" s="24">
        <v>1</v>
      </c>
      <c r="ALR11" s="6" t="s">
        <v>20</v>
      </c>
      <c r="ALS11" s="24">
        <v>0.5</v>
      </c>
      <c r="ALT11" s="6" t="s">
        <v>20</v>
      </c>
      <c r="ALU11" s="5">
        <f t="shared" si="597"/>
        <v>1.5</v>
      </c>
      <c r="ALV11" s="3"/>
      <c r="ALW11" s="10">
        <f t="shared" ref="ALW11:ALW12" si="640">IF(ISNUMBER(ALU11), (ALK11+ALL11)-ALU11, "")</f>
        <v>0</v>
      </c>
      <c r="ALX11" s="5">
        <v>0.03</v>
      </c>
      <c r="ALY11" s="10">
        <f t="shared" si="598"/>
        <v>0.03</v>
      </c>
      <c r="AMA11" s="24">
        <v>1</v>
      </c>
      <c r="AMB11" s="6" t="s">
        <v>20</v>
      </c>
      <c r="AMC11" s="24">
        <v>0.2</v>
      </c>
      <c r="AMD11" s="6" t="s">
        <v>20</v>
      </c>
      <c r="AME11" s="5">
        <f t="shared" si="599"/>
        <v>1.2</v>
      </c>
      <c r="AMF11" s="3"/>
      <c r="AMG11" s="10">
        <f t="shared" ref="AMG11:AMG12" si="641">IF(ISNUMBER(AME11), (ALU11+ALV11)-AME11, "")</f>
        <v>0.30000000000000004</v>
      </c>
      <c r="AMH11" s="5">
        <v>0.24</v>
      </c>
      <c r="AMI11" s="10">
        <f t="shared" si="600"/>
        <v>-6.0000000000000053E-2</v>
      </c>
      <c r="AMK11" s="24">
        <v>1</v>
      </c>
      <c r="AML11" s="6" t="s">
        <v>20</v>
      </c>
      <c r="AMM11" s="24">
        <v>0.1</v>
      </c>
      <c r="AMN11" s="6" t="s">
        <v>20</v>
      </c>
      <c r="AMO11" s="5">
        <f t="shared" si="601"/>
        <v>1.1000000000000001</v>
      </c>
      <c r="AMP11" s="3"/>
      <c r="AMQ11" s="10">
        <f t="shared" ref="AMQ11:AMQ12" si="642">IF(ISNUMBER(AMO11), (AME11+AMF11)-AMO11, "")</f>
        <v>9.9999999999999867E-2</v>
      </c>
      <c r="AMR11" s="5">
        <v>0.12</v>
      </c>
      <c r="AMS11" s="10">
        <f t="shared" si="602"/>
        <v>2.0000000000000129E-2</v>
      </c>
      <c r="AMU11" s="2"/>
      <c r="AMV11" s="6" t="s">
        <v>20</v>
      </c>
      <c r="AMW11" s="2">
        <v>0.7</v>
      </c>
      <c r="AMX11" s="6" t="s">
        <v>20</v>
      </c>
      <c r="AMY11" s="5">
        <f t="shared" si="603"/>
        <v>0.7</v>
      </c>
      <c r="AMZ11" s="3"/>
      <c r="ANA11" s="10">
        <f t="shared" ref="ANA11:ANA12" si="643">IF(ISNUMBER(AMY11), (AMO11+AMP11)-AMY11, "")</f>
        <v>0.40000000000000013</v>
      </c>
      <c r="ANB11" s="5">
        <v>7.0000000000000007E-2</v>
      </c>
      <c r="ANC11" s="10">
        <f t="shared" si="604"/>
        <v>-0.33000000000000013</v>
      </c>
      <c r="ANE11" s="2"/>
      <c r="ANF11" s="6" t="s">
        <v>20</v>
      </c>
      <c r="ANG11" s="2">
        <v>0.7</v>
      </c>
      <c r="ANH11" s="6" t="s">
        <v>20</v>
      </c>
      <c r="ANI11" s="5">
        <f t="shared" si="605"/>
        <v>0.7</v>
      </c>
      <c r="ANJ11" s="3"/>
      <c r="ANK11" s="10">
        <f t="shared" ref="ANK11:ANK12" si="644">IF(ISNUMBER(ANI11), (AMY11+AMZ11)-ANI11, "")</f>
        <v>0</v>
      </c>
      <c r="ANL11" s="5">
        <v>0</v>
      </c>
      <c r="ANM11" s="10">
        <f t="shared" si="606"/>
        <v>0</v>
      </c>
      <c r="ANO11" s="24"/>
      <c r="ANP11" s="6" t="s">
        <v>20</v>
      </c>
      <c r="ANQ11" s="24">
        <v>0.6</v>
      </c>
      <c r="ANR11" s="6" t="s">
        <v>20</v>
      </c>
      <c r="ANS11" s="5">
        <f t="shared" si="607"/>
        <v>0.6</v>
      </c>
      <c r="ANT11" s="3"/>
      <c r="ANU11" s="10">
        <f t="shared" ref="ANU11:ANU12" si="645">IF(ISNUMBER(ANS11), (ANI11+ANJ11)-ANS11, "")</f>
        <v>9.9999999999999978E-2</v>
      </c>
      <c r="ANV11" s="5">
        <v>0.12</v>
      </c>
      <c r="ANW11" s="10">
        <f t="shared" si="608"/>
        <v>2.0000000000000018E-2</v>
      </c>
      <c r="ANY11" s="24"/>
      <c r="ANZ11" s="6" t="s">
        <v>20</v>
      </c>
      <c r="AOA11" s="24">
        <v>0.5</v>
      </c>
      <c r="AOB11" s="6" t="s">
        <v>20</v>
      </c>
      <c r="AOC11" s="5">
        <f t="shared" si="609"/>
        <v>0.5</v>
      </c>
      <c r="AOD11" s="3">
        <v>1</v>
      </c>
      <c r="AOE11" s="10">
        <f t="shared" ref="AOE11:AOE12" si="646">IF(ISNUMBER(AOC11), (ANS11+ANT11)-AOC11, "")</f>
        <v>9.9999999999999978E-2</v>
      </c>
      <c r="AOF11" s="5">
        <v>0.12</v>
      </c>
      <c r="AOG11" s="10">
        <f t="shared" si="610"/>
        <v>2.0000000000000018E-2</v>
      </c>
      <c r="AOI11" s="24">
        <v>1</v>
      </c>
      <c r="AOJ11" s="6" t="s">
        <v>20</v>
      </c>
      <c r="AOK11" s="24">
        <v>0.3</v>
      </c>
      <c r="AOL11" s="6" t="s">
        <v>20</v>
      </c>
      <c r="AOM11" s="5">
        <f t="shared" si="611"/>
        <v>1.3</v>
      </c>
      <c r="AON11" s="3"/>
      <c r="AOO11" s="10">
        <f t="shared" ref="AOO11:AOO12" si="647">IF(ISNUMBER(AOM11), (AOC11+AOD11)-AOM11, "")</f>
        <v>0.19999999999999996</v>
      </c>
      <c r="AOP11" s="5">
        <v>0.12</v>
      </c>
      <c r="AOQ11" s="10">
        <f t="shared" si="612"/>
        <v>-7.999999999999996E-2</v>
      </c>
      <c r="AOS11" s="2">
        <v>1</v>
      </c>
      <c r="AOT11" s="6" t="s">
        <v>20</v>
      </c>
      <c r="AOU11" s="2">
        <v>0.2</v>
      </c>
      <c r="AOV11" s="6" t="s">
        <v>20</v>
      </c>
      <c r="AOW11" s="5">
        <f t="shared" si="613"/>
        <v>1.2</v>
      </c>
      <c r="AOX11" s="3"/>
      <c r="AOY11" s="10">
        <f t="shared" ref="AOY11:AOY12" si="648">IF(ISNUMBER(AOW11), (AOM11+AON11)-AOW11, "")</f>
        <v>0.10000000000000009</v>
      </c>
      <c r="AOZ11" s="5">
        <v>7.0000000000000007E-2</v>
      </c>
      <c r="APA11" s="10">
        <f t="shared" si="614"/>
        <v>-3.0000000000000082E-2</v>
      </c>
    </row>
    <row r="12" spans="1:1093" ht="12.75" customHeight="1" x14ac:dyDescent="0.2">
      <c r="A12" s="22" t="s">
        <v>29</v>
      </c>
      <c r="B12" s="14">
        <v>0.5</v>
      </c>
      <c r="C12" s="23">
        <v>0.5</v>
      </c>
      <c r="E12" s="24"/>
      <c r="F12" s="6" t="s">
        <v>20</v>
      </c>
      <c r="G12" s="24">
        <v>1.5</v>
      </c>
      <c r="H12" s="6" t="s">
        <v>20</v>
      </c>
      <c r="I12" s="5">
        <f t="shared" si="326"/>
        <v>1.5</v>
      </c>
      <c r="J12" s="3"/>
      <c r="K12" s="10"/>
      <c r="L12" s="5"/>
      <c r="M12" s="10" t="str">
        <f t="shared" si="327"/>
        <v/>
      </c>
      <c r="O12" s="24"/>
      <c r="P12" s="6" t="s">
        <v>20</v>
      </c>
      <c r="Q12" s="24">
        <v>0.7</v>
      </c>
      <c r="R12" s="6" t="s">
        <v>20</v>
      </c>
      <c r="S12" s="5">
        <f t="shared" si="328"/>
        <v>0.7</v>
      </c>
      <c r="T12" s="3"/>
      <c r="U12" s="7">
        <f t="shared" si="329"/>
        <v>0.8</v>
      </c>
      <c r="V12" s="5">
        <v>0.09</v>
      </c>
      <c r="W12" s="7">
        <f t="shared" si="330"/>
        <v>-0.71000000000000008</v>
      </c>
      <c r="Y12" s="24">
        <v>0</v>
      </c>
      <c r="Z12" s="6" t="s">
        <v>20</v>
      </c>
      <c r="AA12" s="24">
        <v>0.9</v>
      </c>
      <c r="AB12" s="6" t="s">
        <v>20</v>
      </c>
      <c r="AC12" s="5">
        <f t="shared" si="331"/>
        <v>0.9</v>
      </c>
      <c r="AD12" s="3"/>
      <c r="AE12" s="10">
        <f t="shared" si="332"/>
        <v>-0.20000000000000007</v>
      </c>
      <c r="AF12" s="5">
        <v>0.04</v>
      </c>
      <c r="AG12" s="10">
        <f t="shared" si="333"/>
        <v>0.24000000000000007</v>
      </c>
      <c r="AI12" s="24">
        <v>0</v>
      </c>
      <c r="AJ12" s="6" t="s">
        <v>20</v>
      </c>
      <c r="AK12" s="24">
        <v>0.3</v>
      </c>
      <c r="AL12" s="6" t="s">
        <v>20</v>
      </c>
      <c r="AM12" s="5">
        <f t="shared" si="334"/>
        <v>0.3</v>
      </c>
      <c r="AN12" s="3">
        <v>1</v>
      </c>
      <c r="AO12" s="10">
        <f t="shared" si="335"/>
        <v>0.60000000000000009</v>
      </c>
      <c r="AP12" s="5">
        <v>0.09</v>
      </c>
      <c r="AQ12" s="10">
        <f t="shared" si="336"/>
        <v>-0.51000000000000012</v>
      </c>
      <c r="AS12" s="24">
        <v>1</v>
      </c>
      <c r="AT12" s="6" t="s">
        <v>20</v>
      </c>
      <c r="AU12" s="24">
        <v>0.3</v>
      </c>
      <c r="AV12" s="6" t="s">
        <v>20</v>
      </c>
      <c r="AW12" s="5">
        <f t="shared" si="337"/>
        <v>1.3</v>
      </c>
      <c r="AX12" s="3"/>
      <c r="AY12" s="10">
        <f t="shared" si="338"/>
        <v>0</v>
      </c>
      <c r="AZ12" s="5">
        <v>0.1</v>
      </c>
      <c r="BA12" s="10">
        <f t="shared" si="339"/>
        <v>0.1</v>
      </c>
      <c r="BC12" s="2">
        <v>1</v>
      </c>
      <c r="BD12" s="6" t="s">
        <v>20</v>
      </c>
      <c r="BE12" s="2">
        <v>0.3</v>
      </c>
      <c r="BF12" s="6" t="s">
        <v>20</v>
      </c>
      <c r="BG12" s="5">
        <f t="shared" si="340"/>
        <v>1.3</v>
      </c>
      <c r="BH12" s="3"/>
      <c r="BI12" s="10">
        <f t="shared" si="341"/>
        <v>0</v>
      </c>
      <c r="BJ12" s="5">
        <v>7.0000000000000007E-2</v>
      </c>
      <c r="BK12" s="10">
        <f t="shared" si="342"/>
        <v>7.0000000000000007E-2</v>
      </c>
      <c r="BM12" s="2">
        <v>1</v>
      </c>
      <c r="BN12" s="6" t="s">
        <v>20</v>
      </c>
      <c r="BO12" s="2">
        <v>0.3</v>
      </c>
      <c r="BP12" s="6" t="s">
        <v>20</v>
      </c>
      <c r="BQ12" s="5">
        <f t="shared" si="343"/>
        <v>1.3</v>
      </c>
      <c r="BR12" s="3"/>
      <c r="BS12" s="10">
        <f t="shared" si="344"/>
        <v>0</v>
      </c>
      <c r="BT12" s="5">
        <v>0.09</v>
      </c>
      <c r="BU12" s="10">
        <f t="shared" si="345"/>
        <v>0.09</v>
      </c>
      <c r="BW12" s="24">
        <v>1</v>
      </c>
      <c r="BX12" s="6" t="s">
        <v>20</v>
      </c>
      <c r="BY12" s="24">
        <v>0.3</v>
      </c>
      <c r="BZ12" s="6" t="s">
        <v>20</v>
      </c>
      <c r="CA12" s="5">
        <f t="shared" si="346"/>
        <v>1.3</v>
      </c>
      <c r="CB12" s="3"/>
      <c r="CC12" s="10">
        <f t="shared" si="347"/>
        <v>0</v>
      </c>
      <c r="CD12" s="5">
        <v>7.0000000000000007E-2</v>
      </c>
      <c r="CE12" s="10">
        <f t="shared" si="348"/>
        <v>7.0000000000000007E-2</v>
      </c>
      <c r="CG12" s="24">
        <v>0</v>
      </c>
      <c r="CH12" s="6" t="s">
        <v>20</v>
      </c>
      <c r="CI12" s="24">
        <v>1</v>
      </c>
      <c r="CJ12" s="6" t="s">
        <v>20</v>
      </c>
      <c r="CK12" s="5">
        <f t="shared" si="349"/>
        <v>1</v>
      </c>
      <c r="CL12" s="3"/>
      <c r="CM12" s="10">
        <f t="shared" si="350"/>
        <v>0.30000000000000004</v>
      </c>
      <c r="CN12" s="5">
        <v>0.09</v>
      </c>
      <c r="CO12" s="10">
        <f t="shared" si="351"/>
        <v>-0.21000000000000005</v>
      </c>
      <c r="CQ12" s="24">
        <v>0</v>
      </c>
      <c r="CR12" s="6" t="s">
        <v>20</v>
      </c>
      <c r="CS12" s="24">
        <v>1</v>
      </c>
      <c r="CT12" s="6" t="s">
        <v>20</v>
      </c>
      <c r="CU12" s="5">
        <f t="shared" si="352"/>
        <v>1</v>
      </c>
      <c r="CV12" s="3"/>
      <c r="CW12" s="10">
        <f t="shared" si="353"/>
        <v>0</v>
      </c>
      <c r="CX12" s="5">
        <v>0.05</v>
      </c>
      <c r="CY12" s="10">
        <f t="shared" si="354"/>
        <v>0.05</v>
      </c>
      <c r="DA12" s="24">
        <v>0</v>
      </c>
      <c r="DB12" s="6" t="s">
        <v>20</v>
      </c>
      <c r="DC12" s="24">
        <v>0.9</v>
      </c>
      <c r="DD12" s="6" t="s">
        <v>20</v>
      </c>
      <c r="DE12" s="5">
        <f t="shared" si="355"/>
        <v>0.9</v>
      </c>
      <c r="DF12" s="3"/>
      <c r="DG12" s="10">
        <f t="shared" si="356"/>
        <v>9.9999999999999978E-2</v>
      </c>
      <c r="DH12" s="5">
        <v>0.08</v>
      </c>
      <c r="DI12" s="10">
        <f t="shared" si="357"/>
        <v>-1.9999999999999976E-2</v>
      </c>
      <c r="DK12" s="24"/>
      <c r="DL12" s="6" t="s">
        <v>20</v>
      </c>
      <c r="DM12" s="24">
        <v>0.9</v>
      </c>
      <c r="DN12" s="6" t="s">
        <v>20</v>
      </c>
      <c r="DO12" s="5">
        <f t="shared" si="358"/>
        <v>0.9</v>
      </c>
      <c r="DP12" s="3"/>
      <c r="DQ12" s="10">
        <f t="shared" si="359"/>
        <v>0</v>
      </c>
      <c r="DR12" s="5">
        <v>0.18</v>
      </c>
      <c r="DS12" s="10">
        <f t="shared" si="360"/>
        <v>0.18</v>
      </c>
      <c r="DU12" s="24">
        <v>0</v>
      </c>
      <c r="DV12" s="6" t="s">
        <v>20</v>
      </c>
      <c r="DW12" s="24">
        <v>0.7</v>
      </c>
      <c r="DX12" s="6" t="s">
        <v>20</v>
      </c>
      <c r="DY12" s="5">
        <f t="shared" si="361"/>
        <v>0.7</v>
      </c>
      <c r="DZ12" s="3"/>
      <c r="EA12" s="10">
        <f t="shared" si="362"/>
        <v>0.20000000000000007</v>
      </c>
      <c r="EB12" s="5">
        <v>0.24</v>
      </c>
      <c r="EC12" s="10">
        <f t="shared" si="363"/>
        <v>3.9999999999999925E-2</v>
      </c>
      <c r="EE12" s="24">
        <v>0</v>
      </c>
      <c r="EF12" s="6" t="s">
        <v>20</v>
      </c>
      <c r="EG12" s="24">
        <v>0.3</v>
      </c>
      <c r="EH12" s="6" t="s">
        <v>20</v>
      </c>
      <c r="EI12" s="5">
        <f t="shared" si="364"/>
        <v>0.3</v>
      </c>
      <c r="EJ12" s="3"/>
      <c r="EK12" s="10">
        <f t="shared" si="365"/>
        <v>0.39999999999999997</v>
      </c>
      <c r="EL12" s="5">
        <v>0.14000000000000001</v>
      </c>
      <c r="EM12" s="10">
        <f t="shared" si="366"/>
        <v>-0.25999999999999995</v>
      </c>
      <c r="EO12" s="24">
        <v>0</v>
      </c>
      <c r="EP12" s="6" t="s">
        <v>20</v>
      </c>
      <c r="EQ12" s="24">
        <v>0.2</v>
      </c>
      <c r="ER12" s="6" t="s">
        <v>20</v>
      </c>
      <c r="ES12" s="5">
        <f t="shared" si="367"/>
        <v>0.2</v>
      </c>
      <c r="ET12" s="3">
        <v>1</v>
      </c>
      <c r="EU12" s="10">
        <f t="shared" si="368"/>
        <v>9.9999999999999978E-2</v>
      </c>
      <c r="EV12" s="5">
        <v>0.05</v>
      </c>
      <c r="EW12" s="10">
        <f t="shared" si="369"/>
        <v>-4.9999999999999975E-2</v>
      </c>
      <c r="EY12" s="24">
        <v>0</v>
      </c>
      <c r="EZ12" s="6" t="s">
        <v>20</v>
      </c>
      <c r="FA12" s="24">
        <v>0.2</v>
      </c>
      <c r="FB12" s="6" t="s">
        <v>20</v>
      </c>
      <c r="FC12" s="5">
        <f t="shared" si="370"/>
        <v>0.2</v>
      </c>
      <c r="FD12" s="3"/>
      <c r="FE12" s="10">
        <f t="shared" si="371"/>
        <v>1</v>
      </c>
      <c r="FF12" s="5">
        <v>0.14000000000000001</v>
      </c>
      <c r="FG12" s="10">
        <f t="shared" si="372"/>
        <v>-0.86</v>
      </c>
      <c r="FI12" s="24">
        <v>0</v>
      </c>
      <c r="FJ12" s="6" t="s">
        <v>20</v>
      </c>
      <c r="FK12" s="24">
        <v>1</v>
      </c>
      <c r="FL12" s="6" t="s">
        <v>20</v>
      </c>
      <c r="FM12" s="5">
        <f t="shared" si="373"/>
        <v>1</v>
      </c>
      <c r="FN12" s="3"/>
      <c r="FO12" s="10">
        <f t="shared" si="374"/>
        <v>-0.8</v>
      </c>
      <c r="FP12" s="5">
        <v>0.02</v>
      </c>
      <c r="FQ12" s="10">
        <f t="shared" si="375"/>
        <v>0.82000000000000006</v>
      </c>
      <c r="FS12" s="24">
        <v>0</v>
      </c>
      <c r="FT12" s="6" t="s">
        <v>20</v>
      </c>
      <c r="FU12" s="24">
        <v>0.9</v>
      </c>
      <c r="FV12" s="6" t="s">
        <v>20</v>
      </c>
      <c r="FW12" s="5">
        <f t="shared" si="376"/>
        <v>0.9</v>
      </c>
      <c r="FX12" s="3"/>
      <c r="FY12" s="10">
        <f t="shared" si="377"/>
        <v>9.9999999999999978E-2</v>
      </c>
      <c r="FZ12" s="5">
        <v>0.11</v>
      </c>
      <c r="GA12" s="10">
        <f t="shared" si="378"/>
        <v>1.0000000000000023E-2</v>
      </c>
      <c r="GC12" s="24">
        <v>0</v>
      </c>
      <c r="GD12" s="6" t="s">
        <v>20</v>
      </c>
      <c r="GE12" s="24">
        <v>0.7</v>
      </c>
      <c r="GF12" s="6" t="s">
        <v>20</v>
      </c>
      <c r="GG12" s="5">
        <f t="shared" si="379"/>
        <v>0.7</v>
      </c>
      <c r="GH12" s="3"/>
      <c r="GI12" s="10">
        <f t="shared" si="380"/>
        <v>0.20000000000000007</v>
      </c>
      <c r="GJ12" s="5">
        <v>0.21</v>
      </c>
      <c r="GK12" s="10">
        <f t="shared" si="381"/>
        <v>9.9999999999999256E-3</v>
      </c>
      <c r="GM12" s="24">
        <v>0</v>
      </c>
      <c r="GN12" s="6" t="s">
        <v>20</v>
      </c>
      <c r="GO12" s="24">
        <v>0.5</v>
      </c>
      <c r="GP12" s="6" t="s">
        <v>20</v>
      </c>
      <c r="GQ12" s="5">
        <f t="shared" si="382"/>
        <v>0.5</v>
      </c>
      <c r="GR12" s="3"/>
      <c r="GS12" s="10">
        <f t="shared" si="383"/>
        <v>0.19999999999999996</v>
      </c>
      <c r="GT12" s="5">
        <v>0.08</v>
      </c>
      <c r="GU12" s="10">
        <f t="shared" si="384"/>
        <v>-0.11999999999999995</v>
      </c>
      <c r="GW12" s="24">
        <v>0</v>
      </c>
      <c r="GX12" s="6" t="s">
        <v>20</v>
      </c>
      <c r="GY12" s="24">
        <v>0.9</v>
      </c>
      <c r="GZ12" s="6" t="s">
        <v>20</v>
      </c>
      <c r="HA12" s="5">
        <f t="shared" si="385"/>
        <v>0.9</v>
      </c>
      <c r="HB12" s="3"/>
      <c r="HC12" s="10">
        <f t="shared" si="386"/>
        <v>-0.4</v>
      </c>
      <c r="HD12" s="5">
        <v>0.03</v>
      </c>
      <c r="HE12" s="10">
        <f t="shared" si="387"/>
        <v>0.43000000000000005</v>
      </c>
      <c r="HG12" s="24">
        <v>0</v>
      </c>
      <c r="HH12" s="6" t="s">
        <v>20</v>
      </c>
      <c r="HI12" s="24">
        <v>0.7</v>
      </c>
      <c r="HJ12" s="6" t="s">
        <v>20</v>
      </c>
      <c r="HK12" s="5">
        <f t="shared" si="388"/>
        <v>0.7</v>
      </c>
      <c r="HL12" s="3"/>
      <c r="HM12" s="10">
        <f t="shared" si="389"/>
        <v>0.20000000000000007</v>
      </c>
      <c r="HN12" s="5">
        <v>0.21</v>
      </c>
      <c r="HO12" s="10">
        <f t="shared" si="390"/>
        <v>9.9999999999999256E-3</v>
      </c>
      <c r="HQ12" s="24">
        <v>0</v>
      </c>
      <c r="HR12" s="6" t="s">
        <v>20</v>
      </c>
      <c r="HS12" s="24">
        <v>0.3</v>
      </c>
      <c r="HT12" s="6" t="s">
        <v>20</v>
      </c>
      <c r="HU12" s="5">
        <f t="shared" si="391"/>
        <v>0.3</v>
      </c>
      <c r="HV12" s="3">
        <v>1</v>
      </c>
      <c r="HW12" s="10">
        <f t="shared" si="392"/>
        <v>0.39999999999999997</v>
      </c>
      <c r="HX12" s="5">
        <v>0.15</v>
      </c>
      <c r="HY12" s="10">
        <f t="shared" si="393"/>
        <v>-0.24999999999999997</v>
      </c>
      <c r="IA12" s="24">
        <v>0</v>
      </c>
      <c r="IB12" s="6" t="s">
        <v>20</v>
      </c>
      <c r="IC12" s="24">
        <v>0.9</v>
      </c>
      <c r="ID12" s="6" t="s">
        <v>20</v>
      </c>
      <c r="IE12" s="5">
        <f t="shared" si="394"/>
        <v>0.9</v>
      </c>
      <c r="IF12" s="3"/>
      <c r="IG12" s="10">
        <f t="shared" si="395"/>
        <v>0.4</v>
      </c>
      <c r="IH12" s="5">
        <v>0.12</v>
      </c>
      <c r="II12" s="10">
        <f t="shared" si="396"/>
        <v>-0.28000000000000003</v>
      </c>
      <c r="IK12" s="24">
        <v>0</v>
      </c>
      <c r="IL12" s="6" t="s">
        <v>20</v>
      </c>
      <c r="IM12" s="24">
        <v>0.7</v>
      </c>
      <c r="IN12" s="6" t="s">
        <v>20</v>
      </c>
      <c r="IO12" s="5">
        <f t="shared" si="397"/>
        <v>0.7</v>
      </c>
      <c r="IP12" s="3"/>
      <c r="IQ12" s="10">
        <f t="shared" si="398"/>
        <v>0.20000000000000007</v>
      </c>
      <c r="IR12" s="5">
        <v>0.33</v>
      </c>
      <c r="IS12" s="10">
        <f t="shared" si="399"/>
        <v>0.12999999999999995</v>
      </c>
      <c r="IU12" s="24">
        <v>0</v>
      </c>
      <c r="IV12" s="6" t="s">
        <v>20</v>
      </c>
      <c r="IW12" s="24">
        <v>0.5</v>
      </c>
      <c r="IX12" s="6" t="s">
        <v>20</v>
      </c>
      <c r="IY12" s="5">
        <f t="shared" si="400"/>
        <v>0.5</v>
      </c>
      <c r="IZ12" s="3"/>
      <c r="JA12" s="10">
        <f t="shared" si="401"/>
        <v>0.19999999999999996</v>
      </c>
      <c r="JB12" s="5">
        <v>0.24</v>
      </c>
      <c r="JC12" s="10">
        <f t="shared" si="402"/>
        <v>4.0000000000000036E-2</v>
      </c>
      <c r="JE12" s="24">
        <v>0</v>
      </c>
      <c r="JF12" s="6" t="s">
        <v>20</v>
      </c>
      <c r="JG12" s="24">
        <v>0.5</v>
      </c>
      <c r="JH12" s="6" t="s">
        <v>20</v>
      </c>
      <c r="JI12" s="5">
        <f t="shared" si="403"/>
        <v>0.5</v>
      </c>
      <c r="JJ12" s="3">
        <v>1</v>
      </c>
      <c r="JK12" s="10">
        <f t="shared" si="404"/>
        <v>0</v>
      </c>
      <c r="JL12" s="5">
        <v>0.05</v>
      </c>
      <c r="JM12" s="10">
        <f t="shared" si="405"/>
        <v>0.05</v>
      </c>
      <c r="JO12" s="24">
        <v>1</v>
      </c>
      <c r="JP12" s="6" t="s">
        <v>20</v>
      </c>
      <c r="JQ12" s="24">
        <v>0.1</v>
      </c>
      <c r="JR12" s="6" t="s">
        <v>20</v>
      </c>
      <c r="JS12" s="5">
        <f t="shared" si="406"/>
        <v>1.1000000000000001</v>
      </c>
      <c r="JT12" s="3"/>
      <c r="JU12" s="10">
        <f t="shared" si="407"/>
        <v>0.39999999999999991</v>
      </c>
      <c r="JV12" s="5">
        <v>0.16</v>
      </c>
      <c r="JW12" s="10">
        <f t="shared" si="408"/>
        <v>-0.23999999999999991</v>
      </c>
      <c r="JY12" s="24">
        <v>1</v>
      </c>
      <c r="JZ12" s="6" t="s">
        <v>20</v>
      </c>
      <c r="KA12" s="24">
        <v>0</v>
      </c>
      <c r="KB12" s="6" t="s">
        <v>20</v>
      </c>
      <c r="KC12" s="5">
        <f t="shared" si="409"/>
        <v>1</v>
      </c>
      <c r="KD12" s="3"/>
      <c r="KE12" s="10">
        <f t="shared" si="410"/>
        <v>0.10000000000000009</v>
      </c>
      <c r="KF12" s="5">
        <v>0.16</v>
      </c>
      <c r="KG12" s="10">
        <f t="shared" si="411"/>
        <v>5.9999999999999915E-2</v>
      </c>
      <c r="KI12" s="24">
        <v>0</v>
      </c>
      <c r="KJ12" s="6" t="s">
        <v>20</v>
      </c>
      <c r="KK12" s="24">
        <v>0.9</v>
      </c>
      <c r="KL12" s="6" t="s">
        <v>20</v>
      </c>
      <c r="KM12" s="5">
        <f t="shared" si="412"/>
        <v>0.9</v>
      </c>
      <c r="KN12" s="3"/>
      <c r="KO12" s="10">
        <f t="shared" si="413"/>
        <v>9.9999999999999978E-2</v>
      </c>
      <c r="KP12" s="5">
        <v>0.08</v>
      </c>
      <c r="KQ12" s="10">
        <f t="shared" si="414"/>
        <v>-1.9999999999999976E-2</v>
      </c>
      <c r="KS12" s="24">
        <v>0</v>
      </c>
      <c r="KT12" s="6" t="s">
        <v>20</v>
      </c>
      <c r="KU12" s="24">
        <v>0.8</v>
      </c>
      <c r="KV12" s="6" t="s">
        <v>20</v>
      </c>
      <c r="KW12" s="5">
        <f t="shared" si="415"/>
        <v>0.8</v>
      </c>
      <c r="KX12" s="3"/>
      <c r="KY12" s="10">
        <f t="shared" si="416"/>
        <v>9.9999999999999978E-2</v>
      </c>
      <c r="KZ12" s="5">
        <v>7.0000000000000007E-2</v>
      </c>
      <c r="LA12" s="10">
        <f t="shared" si="417"/>
        <v>-2.9999999999999971E-2</v>
      </c>
      <c r="LC12" s="24">
        <v>0</v>
      </c>
      <c r="LD12" s="6" t="s">
        <v>20</v>
      </c>
      <c r="LE12" s="24">
        <v>0.7</v>
      </c>
      <c r="LF12" s="6" t="s">
        <v>20</v>
      </c>
      <c r="LG12" s="5">
        <f t="shared" si="418"/>
        <v>0.7</v>
      </c>
      <c r="LH12" s="3"/>
      <c r="LI12" s="10">
        <f t="shared" si="419"/>
        <v>0.10000000000000009</v>
      </c>
      <c r="LJ12" s="5">
        <v>0.11</v>
      </c>
      <c r="LK12" s="10">
        <f t="shared" si="420"/>
        <v>9.9999999999999117E-3</v>
      </c>
      <c r="LM12" s="24">
        <v>0</v>
      </c>
      <c r="LN12" s="6" t="s">
        <v>20</v>
      </c>
      <c r="LO12" s="24">
        <v>0.7</v>
      </c>
      <c r="LP12" s="6" t="s">
        <v>20</v>
      </c>
      <c r="LQ12" s="5">
        <f t="shared" si="421"/>
        <v>0.7</v>
      </c>
      <c r="LR12" s="3"/>
      <c r="LS12" s="10">
        <f t="shared" si="422"/>
        <v>0</v>
      </c>
      <c r="LT12" s="5">
        <v>7.0000000000000007E-2</v>
      </c>
      <c r="LU12" s="10">
        <f t="shared" si="423"/>
        <v>7.0000000000000007E-2</v>
      </c>
      <c r="LW12" s="24">
        <v>0</v>
      </c>
      <c r="LX12" s="6" t="s">
        <v>20</v>
      </c>
      <c r="LY12" s="24">
        <v>0.7</v>
      </c>
      <c r="LZ12" s="6" t="s">
        <v>20</v>
      </c>
      <c r="MA12" s="5">
        <f t="shared" si="424"/>
        <v>0.7</v>
      </c>
      <c r="MB12" s="3"/>
      <c r="MC12" s="10">
        <f t="shared" si="425"/>
        <v>0</v>
      </c>
      <c r="MD12" s="5">
        <v>0.09</v>
      </c>
      <c r="ME12" s="10">
        <f t="shared" si="426"/>
        <v>0.09</v>
      </c>
      <c r="MG12" s="24">
        <v>0</v>
      </c>
      <c r="MH12" s="6" t="s">
        <v>20</v>
      </c>
      <c r="MI12" s="24">
        <v>0.5</v>
      </c>
      <c r="MJ12" s="6" t="s">
        <v>20</v>
      </c>
      <c r="MK12" s="5">
        <f t="shared" si="427"/>
        <v>0.5</v>
      </c>
      <c r="ML12" s="3">
        <v>1</v>
      </c>
      <c r="MM12" s="10">
        <f t="shared" si="428"/>
        <v>0.19999999999999996</v>
      </c>
      <c r="MN12" s="5">
        <v>0.2</v>
      </c>
      <c r="MO12" s="10">
        <f t="shared" si="429"/>
        <v>5.5511151231257827E-17</v>
      </c>
      <c r="MQ12" s="2">
        <v>1</v>
      </c>
      <c r="MR12" s="6" t="s">
        <v>20</v>
      </c>
      <c r="MS12" s="2">
        <v>0.5</v>
      </c>
      <c r="MT12" s="6" t="s">
        <v>20</v>
      </c>
      <c r="MU12" s="5">
        <f t="shared" si="430"/>
        <v>1.5</v>
      </c>
      <c r="MV12" s="3"/>
      <c r="MW12" s="10">
        <f t="shared" si="431"/>
        <v>0</v>
      </c>
      <c r="MX12" s="5">
        <v>0.09</v>
      </c>
      <c r="MY12" s="10">
        <f t="shared" si="432"/>
        <v>0.09</v>
      </c>
      <c r="NA12" s="24">
        <v>1</v>
      </c>
      <c r="NB12" s="6" t="s">
        <v>20</v>
      </c>
      <c r="NC12" s="24">
        <v>0.1</v>
      </c>
      <c r="ND12" s="6" t="s">
        <v>20</v>
      </c>
      <c r="NE12" s="5">
        <f t="shared" si="433"/>
        <v>1.1000000000000001</v>
      </c>
      <c r="NF12" s="3"/>
      <c r="NG12" s="10">
        <f t="shared" si="434"/>
        <v>0.39999999999999991</v>
      </c>
      <c r="NH12" s="5">
        <v>0.15</v>
      </c>
      <c r="NI12" s="10">
        <f t="shared" si="435"/>
        <v>-0.24999999999999992</v>
      </c>
      <c r="NK12" s="24">
        <v>0</v>
      </c>
      <c r="NL12" s="6" t="s">
        <v>20</v>
      </c>
      <c r="NM12" s="24">
        <v>1</v>
      </c>
      <c r="NN12" s="6" t="s">
        <v>20</v>
      </c>
      <c r="NO12" s="5">
        <f t="shared" si="436"/>
        <v>1</v>
      </c>
      <c r="NP12" s="3"/>
      <c r="NQ12" s="10">
        <f t="shared" si="437"/>
        <v>0.10000000000000009</v>
      </c>
      <c r="NR12" s="5">
        <v>7.0000000000000007E-2</v>
      </c>
      <c r="NS12" s="10">
        <f t="shared" si="438"/>
        <v>-3.0000000000000082E-2</v>
      </c>
      <c r="NU12" s="24">
        <v>0</v>
      </c>
      <c r="NV12" s="6" t="s">
        <v>20</v>
      </c>
      <c r="NW12" s="24">
        <v>0.9</v>
      </c>
      <c r="NX12" s="6" t="s">
        <v>20</v>
      </c>
      <c r="NY12" s="5">
        <f t="shared" si="439"/>
        <v>0.9</v>
      </c>
      <c r="NZ12" s="3"/>
      <c r="OA12" s="10">
        <f t="shared" si="440"/>
        <v>9.9999999999999978E-2</v>
      </c>
      <c r="OB12" s="5">
        <v>0.12</v>
      </c>
      <c r="OC12" s="10">
        <f t="shared" si="441"/>
        <v>2.0000000000000018E-2</v>
      </c>
      <c r="OE12" s="2">
        <v>0</v>
      </c>
      <c r="OF12" s="6" t="s">
        <v>20</v>
      </c>
      <c r="OG12" s="2">
        <v>0.7</v>
      </c>
      <c r="OH12" s="6" t="s">
        <v>20</v>
      </c>
      <c r="OI12" s="5">
        <f t="shared" si="442"/>
        <v>0.7</v>
      </c>
      <c r="OJ12" s="3"/>
      <c r="OK12" s="10">
        <f t="shared" si="443"/>
        <v>0.20000000000000007</v>
      </c>
      <c r="OL12" s="5">
        <v>0.31</v>
      </c>
      <c r="OM12" s="10">
        <f t="shared" si="444"/>
        <v>0.10999999999999993</v>
      </c>
      <c r="OO12" s="24">
        <v>0</v>
      </c>
      <c r="OP12" s="6" t="s">
        <v>20</v>
      </c>
      <c r="OQ12" s="24">
        <v>0.5</v>
      </c>
      <c r="OR12" s="6" t="s">
        <v>20</v>
      </c>
      <c r="OS12" s="5">
        <f t="shared" si="445"/>
        <v>0.5</v>
      </c>
      <c r="OT12" s="3"/>
      <c r="OU12" s="10">
        <f t="shared" si="446"/>
        <v>0.19999999999999996</v>
      </c>
      <c r="OV12" s="5">
        <v>0.13</v>
      </c>
      <c r="OW12" s="10">
        <f t="shared" si="447"/>
        <v>-6.9999999999999951E-2</v>
      </c>
      <c r="OY12" s="24">
        <v>0</v>
      </c>
      <c r="OZ12" s="6" t="s">
        <v>20</v>
      </c>
      <c r="PA12" s="24">
        <v>0.3</v>
      </c>
      <c r="PB12" s="6" t="s">
        <v>20</v>
      </c>
      <c r="PC12" s="5">
        <f t="shared" si="448"/>
        <v>0.3</v>
      </c>
      <c r="PD12" s="3"/>
      <c r="PE12" s="10">
        <f t="shared" si="449"/>
        <v>0.2</v>
      </c>
      <c r="PF12" s="5">
        <v>0.14000000000000001</v>
      </c>
      <c r="PG12" s="10">
        <f t="shared" si="450"/>
        <v>-0.06</v>
      </c>
      <c r="PI12" s="24">
        <v>0</v>
      </c>
      <c r="PJ12" s="6" t="s">
        <v>20</v>
      </c>
      <c r="PK12" s="24">
        <v>0.1</v>
      </c>
      <c r="PL12" s="6" t="s">
        <v>20</v>
      </c>
      <c r="PM12" s="5">
        <f t="shared" si="451"/>
        <v>0.1</v>
      </c>
      <c r="PN12" s="3">
        <v>1</v>
      </c>
      <c r="PO12" s="10">
        <f t="shared" si="452"/>
        <v>0.19999999999999998</v>
      </c>
      <c r="PP12" s="5">
        <v>0.16</v>
      </c>
      <c r="PQ12" s="10">
        <f t="shared" si="453"/>
        <v>-3.999999999999998E-2</v>
      </c>
      <c r="PS12" s="2">
        <v>0</v>
      </c>
      <c r="PT12" s="6" t="s">
        <v>20</v>
      </c>
      <c r="PU12" s="2">
        <v>1</v>
      </c>
      <c r="PV12" s="6" t="s">
        <v>20</v>
      </c>
      <c r="PW12" s="5">
        <f t="shared" si="454"/>
        <v>1</v>
      </c>
      <c r="PX12" s="3"/>
      <c r="PY12" s="10">
        <f t="shared" si="455"/>
        <v>0.10000000000000009</v>
      </c>
      <c r="PZ12" s="5">
        <v>0.15</v>
      </c>
      <c r="QA12" s="10">
        <f t="shared" si="456"/>
        <v>4.9999999999999906E-2</v>
      </c>
      <c r="QC12" s="24">
        <v>0</v>
      </c>
      <c r="QD12" s="6" t="s">
        <v>20</v>
      </c>
      <c r="QE12" s="24">
        <v>0.9</v>
      </c>
      <c r="QF12" s="6" t="s">
        <v>20</v>
      </c>
      <c r="QG12" s="5">
        <f t="shared" si="457"/>
        <v>0.9</v>
      </c>
      <c r="QH12" s="3"/>
      <c r="QI12" s="10">
        <f t="shared" si="458"/>
        <v>9.9999999999999978E-2</v>
      </c>
      <c r="QJ12" s="5">
        <v>7.0000000000000007E-2</v>
      </c>
      <c r="QK12" s="10">
        <f t="shared" si="459"/>
        <v>-2.9999999999999971E-2</v>
      </c>
      <c r="QM12" s="24">
        <v>0</v>
      </c>
      <c r="QN12" s="6" t="s">
        <v>20</v>
      </c>
      <c r="QO12" s="24">
        <v>0.7</v>
      </c>
      <c r="QP12" s="6" t="s">
        <v>20</v>
      </c>
      <c r="QQ12" s="5">
        <f t="shared" si="460"/>
        <v>0.7</v>
      </c>
      <c r="QR12" s="3"/>
      <c r="QS12" s="10">
        <f t="shared" si="461"/>
        <v>0.20000000000000007</v>
      </c>
      <c r="QT12" s="5">
        <v>0.11</v>
      </c>
      <c r="QU12" s="10">
        <f t="shared" si="462"/>
        <v>-9.0000000000000066E-2</v>
      </c>
      <c r="QW12" s="24">
        <v>0</v>
      </c>
      <c r="QX12" s="6" t="s">
        <v>20</v>
      </c>
      <c r="QY12" s="24">
        <v>0.6</v>
      </c>
      <c r="QZ12" s="6" t="s">
        <v>20</v>
      </c>
      <c r="RA12" s="5">
        <f t="shared" si="463"/>
        <v>0.6</v>
      </c>
      <c r="RB12" s="3"/>
      <c r="RC12" s="10">
        <f t="shared" si="464"/>
        <v>9.9999999999999978E-2</v>
      </c>
      <c r="RD12" s="5">
        <v>0.14000000000000001</v>
      </c>
      <c r="RE12" s="10">
        <f t="shared" si="465"/>
        <v>4.0000000000000036E-2</v>
      </c>
      <c r="RG12" s="24">
        <v>0.3</v>
      </c>
      <c r="RH12" s="6" t="s">
        <v>20</v>
      </c>
      <c r="RI12" s="24">
        <v>0.3</v>
      </c>
      <c r="RJ12" s="6" t="s">
        <v>20</v>
      </c>
      <c r="RK12" s="5">
        <f t="shared" si="466"/>
        <v>0.6</v>
      </c>
      <c r="RL12" s="3"/>
      <c r="RM12" s="10">
        <f t="shared" si="467"/>
        <v>0</v>
      </c>
      <c r="RN12" s="5">
        <v>0.06</v>
      </c>
      <c r="RO12" s="10">
        <f t="shared" si="468"/>
        <v>0.06</v>
      </c>
      <c r="RQ12" s="24">
        <v>0</v>
      </c>
      <c r="RR12" s="6" t="s">
        <v>20</v>
      </c>
      <c r="RS12" s="24">
        <v>0.3</v>
      </c>
      <c r="RT12" s="6" t="s">
        <v>20</v>
      </c>
      <c r="RU12" s="5">
        <f t="shared" si="469"/>
        <v>0.3</v>
      </c>
      <c r="RV12" s="3">
        <v>1</v>
      </c>
      <c r="RW12" s="10">
        <f t="shared" si="470"/>
        <v>0.3</v>
      </c>
      <c r="RX12" s="5"/>
      <c r="RY12" s="10" t="str">
        <f t="shared" si="471"/>
        <v/>
      </c>
      <c r="SA12" s="2">
        <v>1</v>
      </c>
      <c r="SB12" s="6" t="s">
        <v>20</v>
      </c>
      <c r="SC12" s="2">
        <v>0.1</v>
      </c>
      <c r="SD12" s="6" t="s">
        <v>20</v>
      </c>
      <c r="SE12" s="5">
        <f t="shared" si="472"/>
        <v>1.1000000000000001</v>
      </c>
      <c r="SF12" s="3"/>
      <c r="SG12" s="10">
        <f t="shared" si="473"/>
        <v>0.19999999999999996</v>
      </c>
      <c r="SH12" s="5">
        <v>0.08</v>
      </c>
      <c r="SI12" s="10">
        <f t="shared" si="474"/>
        <v>-0.11999999999999995</v>
      </c>
      <c r="SK12" s="24">
        <v>0</v>
      </c>
      <c r="SL12" s="6" t="s">
        <v>20</v>
      </c>
      <c r="SM12" s="24">
        <v>0.9</v>
      </c>
      <c r="SN12" s="6" t="s">
        <v>20</v>
      </c>
      <c r="SO12" s="5">
        <f t="shared" si="475"/>
        <v>0.9</v>
      </c>
      <c r="SP12" s="3"/>
      <c r="SQ12" s="10">
        <f t="shared" si="476"/>
        <v>0.20000000000000007</v>
      </c>
      <c r="SR12" s="5">
        <v>0.12</v>
      </c>
      <c r="SS12" s="10">
        <f t="shared" si="477"/>
        <v>-8.0000000000000071E-2</v>
      </c>
      <c r="SU12" s="24">
        <v>0</v>
      </c>
      <c r="SV12" s="6" t="s">
        <v>20</v>
      </c>
      <c r="SW12" s="24">
        <v>0.7</v>
      </c>
      <c r="SX12" s="6" t="s">
        <v>20</v>
      </c>
      <c r="SY12" s="5">
        <f t="shared" si="478"/>
        <v>0.7</v>
      </c>
      <c r="SZ12" s="3"/>
      <c r="TA12" s="10">
        <f t="shared" si="479"/>
        <v>0.20000000000000007</v>
      </c>
      <c r="TB12" s="5">
        <v>0.13</v>
      </c>
      <c r="TC12" s="10">
        <f t="shared" si="480"/>
        <v>-7.0000000000000062E-2</v>
      </c>
      <c r="TE12" s="24">
        <v>0</v>
      </c>
      <c r="TF12" s="6" t="s">
        <v>20</v>
      </c>
      <c r="TG12" s="24">
        <v>0.7</v>
      </c>
      <c r="TH12" s="6" t="s">
        <v>20</v>
      </c>
      <c r="TI12" s="5">
        <f t="shared" si="481"/>
        <v>0.7</v>
      </c>
      <c r="TJ12" s="3"/>
      <c r="TK12" s="10">
        <f t="shared" si="482"/>
        <v>0</v>
      </c>
      <c r="TL12" s="5">
        <v>0.04</v>
      </c>
      <c r="TM12" s="10">
        <f t="shared" si="483"/>
        <v>0.04</v>
      </c>
      <c r="TO12" s="24">
        <v>0</v>
      </c>
      <c r="TP12" s="6" t="s">
        <v>20</v>
      </c>
      <c r="TQ12" s="24">
        <v>0.6</v>
      </c>
      <c r="TR12" s="6" t="s">
        <v>20</v>
      </c>
      <c r="TS12" s="5">
        <f t="shared" si="484"/>
        <v>0.6</v>
      </c>
      <c r="TT12" s="3"/>
      <c r="TU12" s="10">
        <f t="shared" si="485"/>
        <v>9.9999999999999978E-2</v>
      </c>
      <c r="TV12" s="5">
        <v>0.11</v>
      </c>
      <c r="TW12" s="10">
        <f t="shared" si="486"/>
        <v>1.0000000000000023E-2</v>
      </c>
      <c r="TY12" s="24">
        <v>0</v>
      </c>
      <c r="TZ12" s="6" t="s">
        <v>20</v>
      </c>
      <c r="UA12" s="24">
        <v>0.5</v>
      </c>
      <c r="UB12" s="6" t="s">
        <v>20</v>
      </c>
      <c r="UC12" s="5">
        <f t="shared" si="487"/>
        <v>0.5</v>
      </c>
      <c r="UD12" s="3"/>
      <c r="UE12" s="10">
        <f t="shared" si="488"/>
        <v>9.9999999999999978E-2</v>
      </c>
      <c r="UF12" s="5">
        <v>0.09</v>
      </c>
      <c r="UG12" s="10">
        <f t="shared" si="489"/>
        <v>-9.9999999999999811E-3</v>
      </c>
      <c r="UI12" s="2">
        <v>0</v>
      </c>
      <c r="UJ12" s="6" t="s">
        <v>20</v>
      </c>
      <c r="UK12" s="2">
        <v>0</v>
      </c>
      <c r="UL12" s="6" t="s">
        <v>20</v>
      </c>
      <c r="UM12" s="5">
        <f t="shared" si="490"/>
        <v>0</v>
      </c>
      <c r="UN12" s="3"/>
      <c r="UO12" s="10">
        <f t="shared" si="491"/>
        <v>0.5</v>
      </c>
      <c r="UP12" s="5">
        <v>0.22</v>
      </c>
      <c r="UQ12" s="10">
        <f t="shared" si="492"/>
        <v>-0.28000000000000003</v>
      </c>
      <c r="US12" s="24">
        <v>0</v>
      </c>
      <c r="UT12" s="6" t="s">
        <v>20</v>
      </c>
      <c r="UU12" s="24">
        <v>0</v>
      </c>
      <c r="UV12" s="6" t="s">
        <v>20</v>
      </c>
      <c r="UW12" s="5">
        <f t="shared" si="493"/>
        <v>0</v>
      </c>
      <c r="UX12" s="3">
        <v>1</v>
      </c>
      <c r="UY12" s="10">
        <f t="shared" si="494"/>
        <v>0</v>
      </c>
      <c r="UZ12" s="5"/>
      <c r="VA12" s="10" t="str">
        <f t="shared" si="495"/>
        <v/>
      </c>
      <c r="VC12" s="2">
        <v>0</v>
      </c>
      <c r="VD12" s="6" t="s">
        <v>20</v>
      </c>
      <c r="VE12" s="2">
        <v>0.9</v>
      </c>
      <c r="VF12" s="6" t="s">
        <v>20</v>
      </c>
      <c r="VG12" s="5">
        <f t="shared" si="496"/>
        <v>0.9</v>
      </c>
      <c r="VH12" s="3"/>
      <c r="VI12" s="10">
        <f t="shared" si="497"/>
        <v>9.9999999999999978E-2</v>
      </c>
      <c r="VJ12" s="5">
        <v>0.08</v>
      </c>
      <c r="VK12" s="10">
        <f t="shared" si="498"/>
        <v>-1.9999999999999976E-2</v>
      </c>
      <c r="VM12" s="24">
        <v>0</v>
      </c>
      <c r="VN12" s="6" t="s">
        <v>20</v>
      </c>
      <c r="VO12" s="24">
        <v>0.7</v>
      </c>
      <c r="VP12" s="6" t="s">
        <v>20</v>
      </c>
      <c r="VQ12" s="5">
        <f t="shared" si="499"/>
        <v>0.7</v>
      </c>
      <c r="VR12" s="3"/>
      <c r="VS12" s="10">
        <f t="shared" si="500"/>
        <v>0.20000000000000007</v>
      </c>
      <c r="VT12" s="5">
        <v>0.11</v>
      </c>
      <c r="VU12" s="10">
        <f t="shared" si="501"/>
        <v>-9.0000000000000066E-2</v>
      </c>
      <c r="VW12" s="2">
        <v>0</v>
      </c>
      <c r="VX12" s="6" t="s">
        <v>20</v>
      </c>
      <c r="VY12" s="2">
        <v>0.6</v>
      </c>
      <c r="VZ12" s="6" t="s">
        <v>20</v>
      </c>
      <c r="WA12" s="5">
        <f t="shared" si="502"/>
        <v>0.6</v>
      </c>
      <c r="WB12" s="3"/>
      <c r="WC12" s="10">
        <f t="shared" si="503"/>
        <v>9.9999999999999978E-2</v>
      </c>
      <c r="WD12" s="5">
        <v>0.15</v>
      </c>
      <c r="WE12" s="10">
        <f t="shared" si="504"/>
        <v>5.0000000000000017E-2</v>
      </c>
      <c r="WG12" s="2"/>
      <c r="WH12" s="6" t="s">
        <v>20</v>
      </c>
      <c r="WI12" s="2">
        <v>0.5</v>
      </c>
      <c r="WJ12" s="6" t="s">
        <v>20</v>
      </c>
      <c r="WK12" s="5">
        <f t="shared" si="505"/>
        <v>0.5</v>
      </c>
      <c r="WL12" s="3"/>
      <c r="WM12" s="10">
        <f t="shared" si="506"/>
        <v>9.9999999999999978E-2</v>
      </c>
      <c r="WN12" s="5">
        <v>0.09</v>
      </c>
      <c r="WO12" s="10">
        <f t="shared" si="507"/>
        <v>-9.9999999999999811E-3</v>
      </c>
      <c r="WQ12" s="2">
        <v>0</v>
      </c>
      <c r="WR12" s="6" t="s">
        <v>20</v>
      </c>
      <c r="WS12" s="2">
        <v>0.1</v>
      </c>
      <c r="WT12" s="6" t="s">
        <v>20</v>
      </c>
      <c r="WU12" s="5">
        <f t="shared" si="508"/>
        <v>0.1</v>
      </c>
      <c r="WV12" s="3"/>
      <c r="WW12" s="10">
        <f t="shared" si="509"/>
        <v>0.4</v>
      </c>
      <c r="WX12" s="5">
        <v>0.28999999999999998</v>
      </c>
      <c r="WY12" s="10">
        <f t="shared" si="510"/>
        <v>-0.11000000000000004</v>
      </c>
      <c r="XA12" s="24">
        <v>0</v>
      </c>
      <c r="XB12" s="6" t="s">
        <v>20</v>
      </c>
      <c r="XC12" s="24">
        <v>0</v>
      </c>
      <c r="XD12" s="6" t="s">
        <v>20</v>
      </c>
      <c r="XE12" s="5">
        <f t="shared" si="511"/>
        <v>0</v>
      </c>
      <c r="XF12" s="3">
        <v>1</v>
      </c>
      <c r="XG12" s="10">
        <f t="shared" si="512"/>
        <v>0.1</v>
      </c>
      <c r="XH12" s="5"/>
      <c r="XI12" s="10" t="str">
        <f t="shared" si="513"/>
        <v/>
      </c>
      <c r="XK12" s="24"/>
      <c r="XL12" s="6" t="s">
        <v>20</v>
      </c>
      <c r="XM12" s="24">
        <v>0.7</v>
      </c>
      <c r="XN12" s="6" t="s">
        <v>20</v>
      </c>
      <c r="XO12" s="5">
        <f t="shared" si="514"/>
        <v>0.7</v>
      </c>
      <c r="XP12" s="3"/>
      <c r="XQ12" s="10">
        <f t="shared" si="515"/>
        <v>0.30000000000000004</v>
      </c>
      <c r="XR12" s="5">
        <v>0.22</v>
      </c>
      <c r="XS12" s="10">
        <f t="shared" si="516"/>
        <v>-8.0000000000000043E-2</v>
      </c>
      <c r="XU12" s="24"/>
      <c r="XV12" s="6" t="s">
        <v>20</v>
      </c>
      <c r="XW12" s="24">
        <v>0.5</v>
      </c>
      <c r="XX12" s="6" t="s">
        <v>20</v>
      </c>
      <c r="XY12" s="5">
        <f t="shared" si="517"/>
        <v>0.5</v>
      </c>
      <c r="XZ12" s="3">
        <v>1</v>
      </c>
      <c r="YA12" s="10">
        <f t="shared" si="518"/>
        <v>0.19999999999999996</v>
      </c>
      <c r="YB12" s="5">
        <v>0.19</v>
      </c>
      <c r="YC12" s="10">
        <f t="shared" si="519"/>
        <v>-9.9999999999999534E-3</v>
      </c>
      <c r="YE12" s="24">
        <v>1</v>
      </c>
      <c r="YF12" s="6" t="s">
        <v>20</v>
      </c>
      <c r="YG12" s="24">
        <v>0.5</v>
      </c>
      <c r="YH12" s="6" t="s">
        <v>20</v>
      </c>
      <c r="YI12" s="5">
        <f t="shared" si="520"/>
        <v>1.5</v>
      </c>
      <c r="YJ12" s="3"/>
      <c r="YK12" s="10">
        <f t="shared" si="521"/>
        <v>0</v>
      </c>
      <c r="YL12" s="5">
        <v>0.04</v>
      </c>
      <c r="YM12" s="10">
        <f t="shared" si="522"/>
        <v>0.04</v>
      </c>
      <c r="YO12" s="24">
        <v>1</v>
      </c>
      <c r="YP12" s="6" t="s">
        <v>20</v>
      </c>
      <c r="YQ12" s="24">
        <v>0.4</v>
      </c>
      <c r="YR12" s="6" t="s">
        <v>20</v>
      </c>
      <c r="YS12" s="5">
        <f t="shared" si="523"/>
        <v>1.4</v>
      </c>
      <c r="YT12" s="3"/>
      <c r="YU12" s="10">
        <f t="shared" si="524"/>
        <v>0.10000000000000009</v>
      </c>
      <c r="YV12" s="5">
        <v>0.09</v>
      </c>
      <c r="YW12" s="10">
        <f t="shared" si="525"/>
        <v>-1.0000000000000092E-2</v>
      </c>
      <c r="YY12" s="24">
        <v>1</v>
      </c>
      <c r="YZ12" s="6" t="s">
        <v>20</v>
      </c>
      <c r="ZA12" s="24">
        <v>0.3</v>
      </c>
      <c r="ZB12" s="6" t="s">
        <v>20</v>
      </c>
      <c r="ZC12" s="5">
        <f t="shared" si="526"/>
        <v>1.3</v>
      </c>
      <c r="ZD12" s="3"/>
      <c r="ZE12" s="10">
        <f t="shared" si="527"/>
        <v>9.9999999999999867E-2</v>
      </c>
      <c r="ZF12" s="5">
        <v>0.14000000000000001</v>
      </c>
      <c r="ZG12" s="10">
        <f t="shared" si="528"/>
        <v>4.0000000000000147E-2</v>
      </c>
      <c r="ZI12" s="24"/>
      <c r="ZJ12" s="6" t="s">
        <v>20</v>
      </c>
      <c r="ZK12" s="24">
        <v>0.8</v>
      </c>
      <c r="ZL12" s="6" t="s">
        <v>20</v>
      </c>
      <c r="ZM12" s="5">
        <f t="shared" si="529"/>
        <v>0.8</v>
      </c>
      <c r="ZN12" s="3"/>
      <c r="ZO12" s="10">
        <f t="shared" si="530"/>
        <v>0.5</v>
      </c>
      <c r="ZP12" s="5">
        <v>0.08</v>
      </c>
      <c r="ZQ12" s="10">
        <f t="shared" si="531"/>
        <v>-0.42</v>
      </c>
      <c r="ZS12" s="24"/>
      <c r="ZT12" s="6" t="s">
        <v>20</v>
      </c>
      <c r="ZU12" s="24">
        <v>0.7</v>
      </c>
      <c r="ZV12" s="6" t="s">
        <v>20</v>
      </c>
      <c r="ZW12" s="5">
        <f t="shared" si="532"/>
        <v>0.7</v>
      </c>
      <c r="ZX12" s="3">
        <v>1</v>
      </c>
      <c r="ZY12" s="10">
        <f t="shared" si="533"/>
        <v>0.10000000000000009</v>
      </c>
      <c r="ZZ12" s="5">
        <v>0.12</v>
      </c>
      <c r="AAA12" s="10">
        <f t="shared" si="534"/>
        <v>1.9999999999999907E-2</v>
      </c>
      <c r="AAC12" s="24">
        <v>1</v>
      </c>
      <c r="AAD12" s="6" t="s">
        <v>20</v>
      </c>
      <c r="AAE12" s="24">
        <v>0.9</v>
      </c>
      <c r="AAF12" s="6" t="s">
        <v>20</v>
      </c>
      <c r="AAG12" s="5">
        <f t="shared" si="535"/>
        <v>1.9</v>
      </c>
      <c r="AAH12" s="3"/>
      <c r="AAI12" s="10">
        <f t="shared" si="536"/>
        <v>-0.19999999999999996</v>
      </c>
      <c r="AAJ12" s="5">
        <v>0.05</v>
      </c>
      <c r="AAK12" s="10">
        <f t="shared" si="537"/>
        <v>0.24999999999999994</v>
      </c>
      <c r="AAM12" s="2">
        <v>1</v>
      </c>
      <c r="AAN12" s="6" t="s">
        <v>20</v>
      </c>
      <c r="AAO12" s="2">
        <v>0.7</v>
      </c>
      <c r="AAP12" s="6" t="s">
        <v>20</v>
      </c>
      <c r="AAQ12" s="5">
        <f t="shared" si="538"/>
        <v>1.7</v>
      </c>
      <c r="AAR12" s="3"/>
      <c r="AAS12" s="10">
        <f t="shared" si="539"/>
        <v>0.19999999999999996</v>
      </c>
      <c r="AAT12" s="5">
        <v>0.15</v>
      </c>
      <c r="AAU12" s="10">
        <f t="shared" si="540"/>
        <v>-4.9999999999999961E-2</v>
      </c>
      <c r="AAW12" s="2">
        <v>1</v>
      </c>
      <c r="AAX12" s="6" t="s">
        <v>20</v>
      </c>
      <c r="AAY12" s="2">
        <v>0.8</v>
      </c>
      <c r="AAZ12" s="6" t="s">
        <v>20</v>
      </c>
      <c r="ABA12" s="5">
        <f t="shared" si="541"/>
        <v>1.8</v>
      </c>
      <c r="ABB12" s="3"/>
      <c r="ABC12" s="10">
        <f t="shared" si="542"/>
        <v>-0.10000000000000009</v>
      </c>
      <c r="ABD12" s="5">
        <v>0.19</v>
      </c>
      <c r="ABE12" s="10">
        <f t="shared" si="543"/>
        <v>0.29000000000000009</v>
      </c>
      <c r="ABG12" s="24">
        <v>1</v>
      </c>
      <c r="ABH12" s="6" t="s">
        <v>20</v>
      </c>
      <c r="ABI12" s="24">
        <v>0.7</v>
      </c>
      <c r="ABJ12" s="6" t="s">
        <v>20</v>
      </c>
      <c r="ABK12" s="5">
        <f t="shared" si="544"/>
        <v>1.7</v>
      </c>
      <c r="ABL12" s="3"/>
      <c r="ABM12" s="10">
        <f t="shared" si="545"/>
        <v>0.10000000000000009</v>
      </c>
      <c r="ABN12" s="5">
        <v>0.09</v>
      </c>
      <c r="ABO12" s="10">
        <f t="shared" si="546"/>
        <v>-1.0000000000000092E-2</v>
      </c>
      <c r="ABQ12" s="2">
        <v>1</v>
      </c>
      <c r="ABR12" s="6" t="s">
        <v>20</v>
      </c>
      <c r="ABS12" s="2">
        <v>0.3</v>
      </c>
      <c r="ABT12" s="6" t="s">
        <v>20</v>
      </c>
      <c r="ABU12" s="5">
        <f t="shared" si="547"/>
        <v>1.3</v>
      </c>
      <c r="ABV12" s="3"/>
      <c r="ABW12" s="10">
        <f t="shared" si="615"/>
        <v>0.39999999999999991</v>
      </c>
      <c r="ABX12" s="5">
        <v>0.1</v>
      </c>
      <c r="ABY12" s="10">
        <f t="shared" si="548"/>
        <v>-0.29999999999999993</v>
      </c>
      <c r="ACA12" s="24">
        <v>1</v>
      </c>
      <c r="ACB12" s="6" t="s">
        <v>20</v>
      </c>
      <c r="ACC12" s="24">
        <v>0.2</v>
      </c>
      <c r="ACD12" s="6" t="s">
        <v>20</v>
      </c>
      <c r="ACE12" s="5">
        <f>IF(OR(ISNUMBER(ACA12), ISNUMBER(ACC12)), IF(ISNUMBER(ACA12), ACA12, 0) + IF(ISNUMBER(ACC12), ACC12, 0), "")</f>
        <v>1.2</v>
      </c>
      <c r="ACF12" s="3"/>
      <c r="ACG12" s="10">
        <f>IF(ISNUMBER(ACE12), (ABU12+ABV12)-ACE12, "")</f>
        <v>0.10000000000000009</v>
      </c>
      <c r="ACH12" s="5">
        <v>0.04</v>
      </c>
      <c r="ACI12" s="10">
        <f>IF(ISNUMBER(ACH12), ACH12-ACG12, "")</f>
        <v>-6.0000000000000088E-2</v>
      </c>
      <c r="ACK12" s="24">
        <v>1</v>
      </c>
      <c r="ACL12" s="6" t="s">
        <v>20</v>
      </c>
      <c r="ACM12" s="24">
        <v>0.1</v>
      </c>
      <c r="ACN12" s="6" t="s">
        <v>20</v>
      </c>
      <c r="ACO12" s="5">
        <f t="shared" si="549"/>
        <v>1.1000000000000001</v>
      </c>
      <c r="ACP12" s="3"/>
      <c r="ACQ12" s="10">
        <f t="shared" si="616"/>
        <v>9.9999999999999867E-2</v>
      </c>
      <c r="ACR12" s="5">
        <v>7.0000000000000007E-2</v>
      </c>
      <c r="ACS12" s="10">
        <f t="shared" si="550"/>
        <v>-2.999999999999986E-2</v>
      </c>
      <c r="ACU12" s="24">
        <v>1</v>
      </c>
      <c r="ACV12" s="6" t="s">
        <v>20</v>
      </c>
      <c r="ACW12" s="24">
        <v>0.1</v>
      </c>
      <c r="ACX12" s="6" t="s">
        <v>20</v>
      </c>
      <c r="ACY12" s="5">
        <f t="shared" si="551"/>
        <v>1.1000000000000001</v>
      </c>
      <c r="ACZ12" s="3"/>
      <c r="ADA12" s="10">
        <f t="shared" si="617"/>
        <v>0</v>
      </c>
      <c r="ADB12" s="5"/>
      <c r="ADC12" s="10" t="str">
        <f t="shared" si="552"/>
        <v/>
      </c>
      <c r="ADE12" s="24">
        <v>0</v>
      </c>
      <c r="ADF12" s="6" t="s">
        <v>20</v>
      </c>
      <c r="ADG12" s="24">
        <v>1</v>
      </c>
      <c r="ADH12" s="6" t="s">
        <v>20</v>
      </c>
      <c r="ADI12" s="5">
        <f t="shared" si="553"/>
        <v>1</v>
      </c>
      <c r="ADJ12" s="3">
        <v>1</v>
      </c>
      <c r="ADK12" s="10">
        <f t="shared" si="618"/>
        <v>0.10000000000000009</v>
      </c>
      <c r="ADL12" s="5">
        <v>0.09</v>
      </c>
      <c r="ADM12" s="10">
        <f t="shared" si="554"/>
        <v>-1.0000000000000092E-2</v>
      </c>
      <c r="ADO12" s="2">
        <v>1</v>
      </c>
      <c r="ADP12" s="6" t="s">
        <v>20</v>
      </c>
      <c r="ADQ12" s="2">
        <v>0.9</v>
      </c>
      <c r="ADR12" s="6" t="s">
        <v>20</v>
      </c>
      <c r="ADS12" s="5">
        <f t="shared" si="555"/>
        <v>1.9</v>
      </c>
      <c r="ADT12" s="3"/>
      <c r="ADU12" s="10">
        <f t="shared" si="619"/>
        <v>0.10000000000000009</v>
      </c>
      <c r="ADV12" s="5">
        <v>0.15</v>
      </c>
      <c r="ADW12" s="10">
        <f t="shared" si="556"/>
        <v>4.9999999999999906E-2</v>
      </c>
      <c r="ADY12" s="24">
        <v>1</v>
      </c>
      <c r="ADZ12" s="6" t="s">
        <v>20</v>
      </c>
      <c r="AEA12" s="24">
        <v>0.7</v>
      </c>
      <c r="AEB12" s="6" t="s">
        <v>20</v>
      </c>
      <c r="AEC12" s="5">
        <f t="shared" si="557"/>
        <v>1.7</v>
      </c>
      <c r="AED12" s="3"/>
      <c r="AEE12" s="10">
        <f t="shared" si="620"/>
        <v>0.19999999999999996</v>
      </c>
      <c r="AEF12" s="5">
        <v>0.18</v>
      </c>
      <c r="AEG12" s="10">
        <f t="shared" si="558"/>
        <v>-1.9999999999999962E-2</v>
      </c>
      <c r="AEI12" s="2">
        <v>1</v>
      </c>
      <c r="AEJ12" s="6" t="s">
        <v>20</v>
      </c>
      <c r="AEK12" s="2">
        <v>0.7</v>
      </c>
      <c r="AEL12" s="6" t="s">
        <v>20</v>
      </c>
      <c r="AEM12" s="5">
        <f t="shared" si="559"/>
        <v>1.7</v>
      </c>
      <c r="AEN12" s="3"/>
      <c r="AEO12" s="10">
        <f t="shared" si="621"/>
        <v>0</v>
      </c>
      <c r="AEP12" s="5">
        <v>0.11</v>
      </c>
      <c r="AEQ12" s="10">
        <f t="shared" si="560"/>
        <v>0.11</v>
      </c>
      <c r="AES12" s="24">
        <v>1</v>
      </c>
      <c r="AET12" s="6" t="s">
        <v>20</v>
      </c>
      <c r="AEU12" s="24">
        <v>0.6</v>
      </c>
      <c r="AEV12" s="6" t="s">
        <v>20</v>
      </c>
      <c r="AEW12" s="5">
        <f t="shared" si="561"/>
        <v>1.6</v>
      </c>
      <c r="AEX12" s="3"/>
      <c r="AEY12" s="10">
        <f t="shared" si="622"/>
        <v>9.9999999999999867E-2</v>
      </c>
      <c r="AEZ12" s="5">
        <v>0.09</v>
      </c>
      <c r="AFA12" s="10">
        <f t="shared" si="562"/>
        <v>-9.9999999999998701E-3</v>
      </c>
      <c r="AFC12" s="2">
        <v>1</v>
      </c>
      <c r="AFD12" s="6" t="s">
        <v>20</v>
      </c>
      <c r="AFE12" s="2">
        <v>0.5</v>
      </c>
      <c r="AFF12" s="6" t="s">
        <v>20</v>
      </c>
      <c r="AFG12" s="5">
        <f t="shared" si="563"/>
        <v>1.5</v>
      </c>
      <c r="AFH12" s="3"/>
      <c r="AFI12" s="10">
        <f t="shared" si="623"/>
        <v>0.10000000000000009</v>
      </c>
      <c r="AFJ12" s="5">
        <v>0.1</v>
      </c>
      <c r="AFK12" s="10">
        <f t="shared" si="564"/>
        <v>-8.3266726846886741E-17</v>
      </c>
      <c r="AFM12" s="2">
        <v>1</v>
      </c>
      <c r="AFN12" s="6" t="s">
        <v>20</v>
      </c>
      <c r="AFO12" s="2">
        <v>0.4</v>
      </c>
      <c r="AFP12" s="6" t="s">
        <v>20</v>
      </c>
      <c r="AFQ12" s="5">
        <f t="shared" si="565"/>
        <v>1.4</v>
      </c>
      <c r="AFR12" s="3"/>
      <c r="AFS12" s="10">
        <f t="shared" si="624"/>
        <v>0.10000000000000009</v>
      </c>
      <c r="AFT12" s="5">
        <v>0.11</v>
      </c>
      <c r="AFU12" s="10">
        <f t="shared" si="566"/>
        <v>9.9999999999999117E-3</v>
      </c>
      <c r="AFW12" s="24">
        <v>1</v>
      </c>
      <c r="AFX12" s="6" t="s">
        <v>20</v>
      </c>
      <c r="AFY12" s="24">
        <v>0.3</v>
      </c>
      <c r="AFZ12" s="6" t="s">
        <v>20</v>
      </c>
      <c r="AGA12" s="5">
        <f t="shared" si="567"/>
        <v>1.3</v>
      </c>
      <c r="AGB12" s="3"/>
      <c r="AGC12" s="10">
        <f t="shared" si="625"/>
        <v>9.9999999999999867E-2</v>
      </c>
      <c r="AGD12" s="5">
        <v>0.06</v>
      </c>
      <c r="AGE12" s="10">
        <f t="shared" si="568"/>
        <v>-3.9999999999999869E-2</v>
      </c>
      <c r="AGG12" s="24">
        <v>0</v>
      </c>
      <c r="AGH12" s="6" t="s">
        <v>20</v>
      </c>
      <c r="AGI12" s="24">
        <v>1</v>
      </c>
      <c r="AGJ12" s="6" t="s">
        <v>20</v>
      </c>
      <c r="AGK12" s="5">
        <f t="shared" si="569"/>
        <v>1</v>
      </c>
      <c r="AGL12" s="3"/>
      <c r="AGM12" s="10">
        <f t="shared" si="626"/>
        <v>0.30000000000000004</v>
      </c>
      <c r="AGN12" s="5">
        <v>0.12</v>
      </c>
      <c r="AGO12" s="10">
        <f t="shared" si="570"/>
        <v>-0.18000000000000005</v>
      </c>
      <c r="AGQ12" s="24">
        <v>0</v>
      </c>
      <c r="AGR12" s="6" t="s">
        <v>20</v>
      </c>
      <c r="AGS12" s="24">
        <v>0.9</v>
      </c>
      <c r="AGT12" s="6" t="s">
        <v>20</v>
      </c>
      <c r="AGU12" s="5">
        <f t="shared" si="571"/>
        <v>0.9</v>
      </c>
      <c r="AGV12" s="3"/>
      <c r="AGW12" s="10">
        <f t="shared" si="627"/>
        <v>9.9999999999999978E-2</v>
      </c>
      <c r="AGX12" s="5">
        <v>0.12</v>
      </c>
      <c r="AGY12" s="10">
        <f t="shared" si="572"/>
        <v>2.0000000000000018E-2</v>
      </c>
      <c r="AHA12" s="24">
        <v>0</v>
      </c>
      <c r="AHB12" s="6" t="s">
        <v>20</v>
      </c>
      <c r="AHC12" s="24">
        <v>0.8</v>
      </c>
      <c r="AHD12" s="6" t="s">
        <v>20</v>
      </c>
      <c r="AHE12" s="5">
        <f t="shared" si="573"/>
        <v>0.8</v>
      </c>
      <c r="AHF12" s="3">
        <v>1</v>
      </c>
      <c r="AHG12" s="10">
        <f t="shared" si="628"/>
        <v>9.9999999999999978E-2</v>
      </c>
      <c r="AHH12" s="5">
        <v>0.13</v>
      </c>
      <c r="AHI12" s="10">
        <f t="shared" si="574"/>
        <v>3.0000000000000027E-2</v>
      </c>
      <c r="AHK12" s="2">
        <v>1</v>
      </c>
      <c r="AHL12" s="6" t="s">
        <v>20</v>
      </c>
      <c r="AHM12" s="2">
        <v>0.7</v>
      </c>
      <c r="AHN12" s="6" t="s">
        <v>20</v>
      </c>
      <c r="AHO12" s="5">
        <f t="shared" si="575"/>
        <v>1.7</v>
      </c>
      <c r="AHP12" s="3"/>
      <c r="AHQ12" s="10">
        <f t="shared" si="629"/>
        <v>0.10000000000000009</v>
      </c>
      <c r="AHR12" s="5">
        <v>0.12</v>
      </c>
      <c r="AHS12" s="10">
        <f t="shared" si="576"/>
        <v>1.9999999999999907E-2</v>
      </c>
      <c r="AHU12" s="2">
        <v>1</v>
      </c>
      <c r="AHV12" s="6" t="s">
        <v>20</v>
      </c>
      <c r="AHW12" s="2">
        <v>0.7</v>
      </c>
      <c r="AHX12" s="6" t="s">
        <v>20</v>
      </c>
      <c r="AHY12" s="5">
        <f t="shared" si="577"/>
        <v>1.7</v>
      </c>
      <c r="AHZ12" s="3"/>
      <c r="AIA12" s="10">
        <f t="shared" si="630"/>
        <v>0</v>
      </c>
      <c r="AIB12" s="5">
        <v>0.16</v>
      </c>
      <c r="AIC12" s="10">
        <f t="shared" si="578"/>
        <v>0.16</v>
      </c>
      <c r="AIE12" s="24">
        <v>1</v>
      </c>
      <c r="AIF12" s="6" t="s">
        <v>20</v>
      </c>
      <c r="AIG12" s="24">
        <v>0.7</v>
      </c>
      <c r="AIH12" s="6" t="s">
        <v>20</v>
      </c>
      <c r="AII12" s="5">
        <f t="shared" si="579"/>
        <v>1.7</v>
      </c>
      <c r="AIJ12" s="3"/>
      <c r="AIK12" s="10">
        <f t="shared" si="631"/>
        <v>0</v>
      </c>
      <c r="AIL12" s="5">
        <v>0.17</v>
      </c>
      <c r="AIM12" s="10">
        <f t="shared" si="580"/>
        <v>0.17</v>
      </c>
      <c r="AIO12" s="24">
        <v>1</v>
      </c>
      <c r="AIP12" s="6" t="s">
        <v>20</v>
      </c>
      <c r="AIQ12" s="24">
        <v>0.7</v>
      </c>
      <c r="AIR12" s="6" t="s">
        <v>20</v>
      </c>
      <c r="AIS12" s="5">
        <f t="shared" si="581"/>
        <v>1.7</v>
      </c>
      <c r="AIT12" s="3"/>
      <c r="AIU12" s="10">
        <f t="shared" si="632"/>
        <v>0</v>
      </c>
      <c r="AIV12" s="5">
        <v>7.0000000000000007E-2</v>
      </c>
      <c r="AIW12" s="10">
        <f t="shared" si="582"/>
        <v>7.0000000000000007E-2</v>
      </c>
      <c r="AIY12" s="24">
        <v>1</v>
      </c>
      <c r="AIZ12" s="6" t="s">
        <v>20</v>
      </c>
      <c r="AJA12" s="24">
        <v>0.3</v>
      </c>
      <c r="AJB12" s="6" t="s">
        <v>20</v>
      </c>
      <c r="AJC12" s="5">
        <f t="shared" si="583"/>
        <v>1.3</v>
      </c>
      <c r="AJD12" s="3"/>
      <c r="AJE12" s="10">
        <f t="shared" si="633"/>
        <v>0.39999999999999991</v>
      </c>
      <c r="AJF12" s="5">
        <v>0.1</v>
      </c>
      <c r="AJG12" s="10">
        <f t="shared" si="584"/>
        <v>-0.29999999999999993</v>
      </c>
      <c r="AJI12" s="2">
        <v>0</v>
      </c>
      <c r="AJJ12" s="6" t="s">
        <v>20</v>
      </c>
      <c r="AJK12" s="2">
        <v>0.9</v>
      </c>
      <c r="AJL12" s="6" t="s">
        <v>20</v>
      </c>
      <c r="AJM12" s="5">
        <f t="shared" si="585"/>
        <v>0.9</v>
      </c>
      <c r="AJN12" s="3"/>
      <c r="AJO12" s="10">
        <f t="shared" si="634"/>
        <v>0.4</v>
      </c>
      <c r="AJP12" s="5">
        <v>0.03</v>
      </c>
      <c r="AJQ12" s="10">
        <f t="shared" si="586"/>
        <v>-0.37</v>
      </c>
      <c r="AJS12" s="24">
        <v>0</v>
      </c>
      <c r="AJT12" s="6" t="s">
        <v>20</v>
      </c>
      <c r="AJU12" s="24">
        <v>0.9</v>
      </c>
      <c r="AJV12" s="6" t="s">
        <v>20</v>
      </c>
      <c r="AJW12" s="5">
        <f t="shared" si="587"/>
        <v>0.9</v>
      </c>
      <c r="AJX12" s="3"/>
      <c r="AJY12" s="10">
        <f t="shared" si="635"/>
        <v>0</v>
      </c>
      <c r="AJZ12" s="5">
        <v>0.03</v>
      </c>
      <c r="AKA12" s="10">
        <f t="shared" si="588"/>
        <v>0.03</v>
      </c>
      <c r="AKC12" s="2"/>
      <c r="AKD12" s="6" t="s">
        <v>20</v>
      </c>
      <c r="AKE12" s="2">
        <v>0.6</v>
      </c>
      <c r="AKF12" s="6" t="s">
        <v>20</v>
      </c>
      <c r="AKG12" s="5">
        <f t="shared" si="589"/>
        <v>0.6</v>
      </c>
      <c r="AKH12" s="3">
        <v>1</v>
      </c>
      <c r="AKI12" s="10">
        <f t="shared" si="636"/>
        <v>0.30000000000000004</v>
      </c>
      <c r="AKJ12" s="5">
        <v>0.08</v>
      </c>
      <c r="AKK12" s="10">
        <f t="shared" si="590"/>
        <v>-0.22000000000000003</v>
      </c>
      <c r="AKM12" s="24">
        <v>1</v>
      </c>
      <c r="AKN12" s="6" t="s">
        <v>20</v>
      </c>
      <c r="AKO12" s="24">
        <v>0.5</v>
      </c>
      <c r="AKP12" s="6" t="s">
        <v>20</v>
      </c>
      <c r="AKQ12" s="5">
        <f t="shared" si="591"/>
        <v>1.5</v>
      </c>
      <c r="AKR12" s="3"/>
      <c r="AKS12" s="10">
        <f t="shared" si="637"/>
        <v>0.10000000000000009</v>
      </c>
      <c r="AKT12" s="5">
        <v>0.1</v>
      </c>
      <c r="AKU12" s="10">
        <f t="shared" si="592"/>
        <v>-8.3266726846886741E-17</v>
      </c>
      <c r="AKW12" s="2">
        <v>1</v>
      </c>
      <c r="AKX12" s="6" t="s">
        <v>20</v>
      </c>
      <c r="AKY12" s="2">
        <v>0.5</v>
      </c>
      <c r="AKZ12" s="6" t="s">
        <v>20</v>
      </c>
      <c r="ALA12" s="5">
        <f t="shared" si="593"/>
        <v>1.5</v>
      </c>
      <c r="ALB12" s="3"/>
      <c r="ALC12" s="10">
        <f t="shared" si="638"/>
        <v>0</v>
      </c>
      <c r="ALD12" s="5">
        <v>0.14000000000000001</v>
      </c>
      <c r="ALE12" s="10">
        <f t="shared" si="594"/>
        <v>0.14000000000000001</v>
      </c>
      <c r="ALG12" s="2">
        <v>1</v>
      </c>
      <c r="ALH12" s="6" t="s">
        <v>20</v>
      </c>
      <c r="ALI12" s="2">
        <v>0.5</v>
      </c>
      <c r="ALJ12" s="6" t="s">
        <v>20</v>
      </c>
      <c r="ALK12" s="5">
        <f t="shared" si="595"/>
        <v>1.5</v>
      </c>
      <c r="ALL12" s="3"/>
      <c r="ALM12" s="10">
        <f t="shared" si="639"/>
        <v>0</v>
      </c>
      <c r="ALN12" s="5">
        <v>0.06</v>
      </c>
      <c r="ALO12" s="10">
        <f t="shared" si="596"/>
        <v>0.06</v>
      </c>
      <c r="ALQ12" s="24">
        <v>1</v>
      </c>
      <c r="ALR12" s="6" t="s">
        <v>20</v>
      </c>
      <c r="ALS12" s="24">
        <v>0.5</v>
      </c>
      <c r="ALT12" s="6" t="s">
        <v>20</v>
      </c>
      <c r="ALU12" s="5">
        <f t="shared" si="597"/>
        <v>1.5</v>
      </c>
      <c r="ALV12" s="3"/>
      <c r="ALW12" s="10">
        <f t="shared" si="640"/>
        <v>0</v>
      </c>
      <c r="ALX12" s="5">
        <v>0.06</v>
      </c>
      <c r="ALY12" s="10">
        <f t="shared" si="598"/>
        <v>0.06</v>
      </c>
      <c r="AMA12" s="24">
        <v>1</v>
      </c>
      <c r="AMB12" s="6" t="s">
        <v>20</v>
      </c>
      <c r="AMC12" s="24">
        <v>0.3</v>
      </c>
      <c r="AMD12" s="6" t="s">
        <v>20</v>
      </c>
      <c r="AME12" s="5">
        <f t="shared" si="599"/>
        <v>1.3</v>
      </c>
      <c r="AMF12" s="3"/>
      <c r="AMG12" s="10">
        <f t="shared" si="641"/>
        <v>0.19999999999999996</v>
      </c>
      <c r="AMH12" s="5">
        <v>0.13</v>
      </c>
      <c r="AMI12" s="10">
        <f t="shared" si="600"/>
        <v>-6.9999999999999951E-2</v>
      </c>
      <c r="AMK12" s="24">
        <v>1</v>
      </c>
      <c r="AML12" s="6" t="s">
        <v>20</v>
      </c>
      <c r="AMM12" s="24">
        <v>0.2</v>
      </c>
      <c r="AMN12" s="6" t="s">
        <v>20</v>
      </c>
      <c r="AMO12" s="5">
        <f t="shared" si="601"/>
        <v>1.2</v>
      </c>
      <c r="AMP12" s="3"/>
      <c r="AMQ12" s="10">
        <f t="shared" si="642"/>
        <v>0.10000000000000009</v>
      </c>
      <c r="AMR12" s="5">
        <v>0.06</v>
      </c>
      <c r="AMS12" s="10">
        <f t="shared" si="602"/>
        <v>-4.0000000000000091E-2</v>
      </c>
      <c r="AMU12" s="2">
        <v>1</v>
      </c>
      <c r="AMV12" s="6" t="s">
        <v>20</v>
      </c>
      <c r="AMW12" s="2">
        <v>0.1</v>
      </c>
      <c r="AMX12" s="6" t="s">
        <v>20</v>
      </c>
      <c r="AMY12" s="5">
        <f t="shared" si="603"/>
        <v>1.1000000000000001</v>
      </c>
      <c r="AMZ12" s="3"/>
      <c r="ANA12" s="10">
        <f t="shared" si="643"/>
        <v>9.9999999999999867E-2</v>
      </c>
      <c r="ANB12" s="5">
        <v>0.13</v>
      </c>
      <c r="ANC12" s="10">
        <f t="shared" si="604"/>
        <v>3.0000000000000138E-2</v>
      </c>
      <c r="ANE12" s="2">
        <v>1</v>
      </c>
      <c r="ANF12" s="6" t="s">
        <v>20</v>
      </c>
      <c r="ANG12" s="2">
        <v>0.1</v>
      </c>
      <c r="ANH12" s="6" t="s">
        <v>20</v>
      </c>
      <c r="ANI12" s="5">
        <f t="shared" si="605"/>
        <v>1.1000000000000001</v>
      </c>
      <c r="ANJ12" s="3"/>
      <c r="ANK12" s="10">
        <f t="shared" si="644"/>
        <v>0</v>
      </c>
      <c r="ANL12" s="5">
        <v>0.03</v>
      </c>
      <c r="ANM12" s="10">
        <f t="shared" si="606"/>
        <v>0.03</v>
      </c>
      <c r="ANO12" s="24"/>
      <c r="ANP12" s="6" t="s">
        <v>20</v>
      </c>
      <c r="ANQ12" s="24">
        <v>0.9</v>
      </c>
      <c r="ANR12" s="6" t="s">
        <v>20</v>
      </c>
      <c r="ANS12" s="5">
        <f t="shared" si="607"/>
        <v>0.9</v>
      </c>
      <c r="ANT12" s="3"/>
      <c r="ANU12" s="10">
        <f t="shared" si="645"/>
        <v>0.20000000000000007</v>
      </c>
      <c r="ANV12" s="5">
        <v>7.0000000000000007E-2</v>
      </c>
      <c r="ANW12" s="10">
        <f t="shared" si="608"/>
        <v>-0.13000000000000006</v>
      </c>
      <c r="ANY12" s="24"/>
      <c r="ANZ12" s="6" t="s">
        <v>20</v>
      </c>
      <c r="AOA12" s="24">
        <v>0.9</v>
      </c>
      <c r="AOB12" s="6" t="s">
        <v>20</v>
      </c>
      <c r="AOC12" s="5">
        <f t="shared" si="609"/>
        <v>0.9</v>
      </c>
      <c r="AOD12" s="3"/>
      <c r="AOE12" s="10">
        <f t="shared" si="646"/>
        <v>0</v>
      </c>
      <c r="AOF12" s="5">
        <v>0.04</v>
      </c>
      <c r="AOG12" s="10">
        <f t="shared" si="610"/>
        <v>0.04</v>
      </c>
      <c r="AOI12" s="24"/>
      <c r="AOJ12" s="6" t="s">
        <v>20</v>
      </c>
      <c r="AOK12" s="24">
        <v>0.9</v>
      </c>
      <c r="AOL12" s="6" t="s">
        <v>20</v>
      </c>
      <c r="AOM12" s="5">
        <f t="shared" si="611"/>
        <v>0.9</v>
      </c>
      <c r="AON12" s="3"/>
      <c r="AOO12" s="10">
        <f t="shared" si="647"/>
        <v>0</v>
      </c>
      <c r="AOP12" s="5">
        <v>0.09</v>
      </c>
      <c r="AOQ12" s="10">
        <f t="shared" si="612"/>
        <v>0.09</v>
      </c>
      <c r="AOS12" s="2"/>
      <c r="AOT12" s="6" t="s">
        <v>20</v>
      </c>
      <c r="AOU12" s="2">
        <v>0.9</v>
      </c>
      <c r="AOV12" s="6" t="s">
        <v>20</v>
      </c>
      <c r="AOW12" s="5">
        <f t="shared" si="613"/>
        <v>0.9</v>
      </c>
      <c r="AOX12" s="3"/>
      <c r="AOY12" s="10">
        <f t="shared" si="648"/>
        <v>0</v>
      </c>
      <c r="AOZ12" s="5">
        <v>0.01</v>
      </c>
      <c r="APA12" s="10">
        <f t="shared" si="614"/>
        <v>0.01</v>
      </c>
    </row>
    <row r="13" spans="1:1093" ht="12.75" customHeight="1" x14ac:dyDescent="0.2">
      <c r="B13" s="8"/>
      <c r="C13" s="8"/>
      <c r="PR13" s="21"/>
      <c r="QB13" s="21"/>
      <c r="QL13" s="21"/>
      <c r="QV13" s="21"/>
      <c r="RF13" s="21"/>
      <c r="RP13" s="21"/>
      <c r="RZ13" s="21"/>
      <c r="SJ13" s="21"/>
      <c r="ST13" s="21"/>
      <c r="TD13" s="21"/>
      <c r="TN13" s="21"/>
      <c r="TX13" s="21"/>
      <c r="UH13" s="21"/>
      <c r="UR13" s="21"/>
      <c r="VB13" s="21"/>
      <c r="VL13" s="21"/>
      <c r="VV13" s="21"/>
      <c r="WF13" s="21"/>
      <c r="WP13" s="21"/>
      <c r="WZ13" s="21"/>
      <c r="XJ13" s="21"/>
      <c r="XT13" s="21"/>
      <c r="YD13" s="21"/>
      <c r="YN13" s="21"/>
      <c r="YX13" s="21"/>
      <c r="ZH13" s="21"/>
      <c r="ZR13" s="21"/>
      <c r="AAB13" s="21"/>
      <c r="AAL13" s="21"/>
      <c r="AAV13" s="21"/>
      <c r="ABF13" s="21"/>
      <c r="ABP13" s="21"/>
      <c r="ABZ13" s="21"/>
      <c r="ACJ13" s="21"/>
      <c r="ACT13" s="21"/>
      <c r="ADD13" s="21"/>
      <c r="ADN13" s="21"/>
      <c r="ADX13" s="21"/>
      <c r="AEH13" s="21"/>
      <c r="AER13" s="21"/>
      <c r="AFB13" s="21"/>
      <c r="AFL13" s="21"/>
      <c r="AFV13" s="21"/>
      <c r="AGF13" s="21"/>
      <c r="AGP13" s="21"/>
      <c r="AGZ13" s="21"/>
      <c r="AHJ13" s="21"/>
      <c r="AHT13" s="21"/>
      <c r="AID13" s="21"/>
      <c r="AIN13" s="21"/>
      <c r="AIX13" s="21"/>
      <c r="AJH13" s="21"/>
      <c r="AJR13" s="21"/>
      <c r="AKB13" s="21"/>
      <c r="AKL13" s="21"/>
      <c r="AKV13" s="21"/>
      <c r="ALF13" s="21"/>
      <c r="ALP13" s="21"/>
      <c r="ALZ13" s="21"/>
      <c r="AMJ13" s="21"/>
      <c r="AMT13" s="21"/>
      <c r="AND13" s="21"/>
      <c r="ANN13" s="21"/>
      <c r="ANX13" s="21"/>
      <c r="AOH13" s="21"/>
      <c r="AOR13" s="21"/>
    </row>
    <row r="14" spans="1:1093" s="21" customFormat="1" ht="9" customHeight="1" x14ac:dyDescent="0.2">
      <c r="A14" s="20" t="s">
        <v>30</v>
      </c>
      <c r="B14" s="4" t="s">
        <v>9</v>
      </c>
      <c r="C14" s="4"/>
      <c r="E14" s="39" t="s">
        <v>31</v>
      </c>
      <c r="F14" s="40"/>
      <c r="G14" s="41" t="s">
        <v>32</v>
      </c>
      <c r="H14" s="42"/>
      <c r="I14" s="42"/>
      <c r="J14" s="42"/>
      <c r="K14" s="42"/>
      <c r="L14" s="42"/>
      <c r="M14" s="43"/>
      <c r="O14" s="39" t="s">
        <v>31</v>
      </c>
      <c r="P14" s="40"/>
      <c r="Q14" s="41" t="s">
        <v>32</v>
      </c>
      <c r="R14" s="42"/>
      <c r="S14" s="42"/>
      <c r="T14" s="42"/>
      <c r="U14" s="42"/>
      <c r="V14" s="42"/>
      <c r="W14" s="43"/>
      <c r="Y14" s="39" t="s">
        <v>31</v>
      </c>
      <c r="Z14" s="40"/>
      <c r="AA14" s="41" t="s">
        <v>32</v>
      </c>
      <c r="AB14" s="42"/>
      <c r="AC14" s="42"/>
      <c r="AD14" s="42"/>
      <c r="AE14" s="42"/>
      <c r="AF14" s="42"/>
      <c r="AG14" s="43"/>
      <c r="AI14" s="39" t="s">
        <v>31</v>
      </c>
      <c r="AJ14" s="40"/>
      <c r="AK14" s="41" t="s">
        <v>32</v>
      </c>
      <c r="AL14" s="42"/>
      <c r="AM14" s="42"/>
      <c r="AN14" s="42"/>
      <c r="AO14" s="42"/>
      <c r="AP14" s="42"/>
      <c r="AQ14" s="43"/>
      <c r="AS14" s="39" t="s">
        <v>31</v>
      </c>
      <c r="AT14" s="40"/>
      <c r="AU14" s="41" t="s">
        <v>32</v>
      </c>
      <c r="AV14" s="42"/>
      <c r="AW14" s="42"/>
      <c r="AX14" s="42"/>
      <c r="AY14" s="42"/>
      <c r="AZ14" s="42"/>
      <c r="BA14" s="43"/>
      <c r="BC14" s="39" t="s">
        <v>31</v>
      </c>
      <c r="BD14" s="40"/>
      <c r="BE14" s="41" t="s">
        <v>32</v>
      </c>
      <c r="BF14" s="42"/>
      <c r="BG14" s="42"/>
      <c r="BH14" s="42"/>
      <c r="BI14" s="42"/>
      <c r="BJ14" s="42"/>
      <c r="BK14" s="43"/>
      <c r="BM14" s="39" t="s">
        <v>31</v>
      </c>
      <c r="BN14" s="40"/>
      <c r="BO14" s="41" t="s">
        <v>32</v>
      </c>
      <c r="BP14" s="42"/>
      <c r="BQ14" s="42"/>
      <c r="BR14" s="42"/>
      <c r="BS14" s="42"/>
      <c r="BT14" s="42"/>
      <c r="BU14" s="43"/>
      <c r="BW14" s="39" t="s">
        <v>31</v>
      </c>
      <c r="BX14" s="40"/>
      <c r="BY14" s="41" t="s">
        <v>32</v>
      </c>
      <c r="BZ14" s="42"/>
      <c r="CA14" s="42"/>
      <c r="CB14" s="42"/>
      <c r="CC14" s="42"/>
      <c r="CD14" s="42"/>
      <c r="CE14" s="43"/>
      <c r="CG14" s="39" t="s">
        <v>31</v>
      </c>
      <c r="CH14" s="40"/>
      <c r="CI14" s="41" t="s">
        <v>32</v>
      </c>
      <c r="CJ14" s="42"/>
      <c r="CK14" s="42"/>
      <c r="CL14" s="42"/>
      <c r="CM14" s="42"/>
      <c r="CN14" s="42"/>
      <c r="CO14" s="43"/>
      <c r="CQ14" s="39" t="s">
        <v>31</v>
      </c>
      <c r="CR14" s="40"/>
      <c r="CS14" s="41" t="s">
        <v>32</v>
      </c>
      <c r="CT14" s="42"/>
      <c r="CU14" s="42"/>
      <c r="CV14" s="42"/>
      <c r="CW14" s="42"/>
      <c r="CX14" s="42"/>
      <c r="CY14" s="43"/>
      <c r="DA14" s="39" t="s">
        <v>31</v>
      </c>
      <c r="DB14" s="40"/>
      <c r="DC14" s="41" t="s">
        <v>32</v>
      </c>
      <c r="DD14" s="42"/>
      <c r="DE14" s="42"/>
      <c r="DF14" s="42"/>
      <c r="DG14" s="42"/>
      <c r="DH14" s="42"/>
      <c r="DI14" s="43"/>
      <c r="DK14" s="39" t="s">
        <v>31</v>
      </c>
      <c r="DL14" s="40"/>
      <c r="DM14" s="41" t="s">
        <v>32</v>
      </c>
      <c r="DN14" s="42"/>
      <c r="DO14" s="42"/>
      <c r="DP14" s="42"/>
      <c r="DQ14" s="42"/>
      <c r="DR14" s="42"/>
      <c r="DS14" s="43"/>
      <c r="DU14" s="39" t="s">
        <v>31</v>
      </c>
      <c r="DV14" s="40"/>
      <c r="DW14" s="41" t="s">
        <v>32</v>
      </c>
      <c r="DX14" s="42"/>
      <c r="DY14" s="42"/>
      <c r="DZ14" s="42"/>
      <c r="EA14" s="42"/>
      <c r="EB14" s="42"/>
      <c r="EC14" s="43"/>
      <c r="EE14" s="39" t="s">
        <v>31</v>
      </c>
      <c r="EF14" s="40"/>
      <c r="EG14" s="41" t="s">
        <v>32</v>
      </c>
      <c r="EH14" s="42"/>
      <c r="EI14" s="42"/>
      <c r="EJ14" s="42"/>
      <c r="EK14" s="42"/>
      <c r="EL14" s="42"/>
      <c r="EM14" s="43"/>
      <c r="EO14" s="39" t="s">
        <v>31</v>
      </c>
      <c r="EP14" s="40"/>
      <c r="EQ14" s="41" t="s">
        <v>32</v>
      </c>
      <c r="ER14" s="42"/>
      <c r="ES14" s="42"/>
      <c r="ET14" s="42"/>
      <c r="EU14" s="42"/>
      <c r="EV14" s="42"/>
      <c r="EW14" s="43"/>
      <c r="EY14" s="39" t="s">
        <v>31</v>
      </c>
      <c r="EZ14" s="40"/>
      <c r="FA14" s="41" t="s">
        <v>32</v>
      </c>
      <c r="FB14" s="42"/>
      <c r="FC14" s="42"/>
      <c r="FD14" s="42"/>
      <c r="FE14" s="42"/>
      <c r="FF14" s="42"/>
      <c r="FG14" s="43"/>
      <c r="FI14" s="39" t="s">
        <v>31</v>
      </c>
      <c r="FJ14" s="40"/>
      <c r="FK14" s="41" t="s">
        <v>32</v>
      </c>
      <c r="FL14" s="42"/>
      <c r="FM14" s="42"/>
      <c r="FN14" s="42"/>
      <c r="FO14" s="42"/>
      <c r="FP14" s="42"/>
      <c r="FQ14" s="43"/>
      <c r="FS14" s="39" t="s">
        <v>31</v>
      </c>
      <c r="FT14" s="40"/>
      <c r="FU14" s="41" t="s">
        <v>32</v>
      </c>
      <c r="FV14" s="42"/>
      <c r="FW14" s="42"/>
      <c r="FX14" s="42"/>
      <c r="FY14" s="42"/>
      <c r="FZ14" s="42"/>
      <c r="GA14" s="43"/>
      <c r="GC14" s="39" t="s">
        <v>31</v>
      </c>
      <c r="GD14" s="40"/>
      <c r="GE14" s="41" t="s">
        <v>32</v>
      </c>
      <c r="GF14" s="42"/>
      <c r="GG14" s="42"/>
      <c r="GH14" s="42"/>
      <c r="GI14" s="42"/>
      <c r="GJ14" s="42"/>
      <c r="GK14" s="43"/>
      <c r="GM14" s="39" t="s">
        <v>31</v>
      </c>
      <c r="GN14" s="40"/>
      <c r="GO14" s="41" t="s">
        <v>32</v>
      </c>
      <c r="GP14" s="42"/>
      <c r="GQ14" s="42"/>
      <c r="GR14" s="42"/>
      <c r="GS14" s="42"/>
      <c r="GT14" s="42"/>
      <c r="GU14" s="43"/>
      <c r="GW14" s="39" t="s">
        <v>31</v>
      </c>
      <c r="GX14" s="40"/>
      <c r="GY14" s="41" t="s">
        <v>32</v>
      </c>
      <c r="GZ14" s="42"/>
      <c r="HA14" s="42"/>
      <c r="HB14" s="42"/>
      <c r="HC14" s="42"/>
      <c r="HD14" s="42"/>
      <c r="HE14" s="43"/>
      <c r="HG14" s="39" t="s">
        <v>31</v>
      </c>
      <c r="HH14" s="40"/>
      <c r="HI14" s="41" t="s">
        <v>32</v>
      </c>
      <c r="HJ14" s="42"/>
      <c r="HK14" s="42"/>
      <c r="HL14" s="42"/>
      <c r="HM14" s="42"/>
      <c r="HN14" s="42"/>
      <c r="HO14" s="43"/>
      <c r="HQ14" s="39" t="s">
        <v>31</v>
      </c>
      <c r="HR14" s="40"/>
      <c r="HS14" s="41" t="s">
        <v>32</v>
      </c>
      <c r="HT14" s="42"/>
      <c r="HU14" s="42"/>
      <c r="HV14" s="42"/>
      <c r="HW14" s="42"/>
      <c r="HX14" s="42"/>
      <c r="HY14" s="43"/>
      <c r="IA14" s="39" t="s">
        <v>31</v>
      </c>
      <c r="IB14" s="40"/>
      <c r="IC14" s="41" t="s">
        <v>32</v>
      </c>
      <c r="ID14" s="42"/>
      <c r="IE14" s="42"/>
      <c r="IF14" s="42"/>
      <c r="IG14" s="42"/>
      <c r="IH14" s="42"/>
      <c r="II14" s="43"/>
      <c r="IK14" s="39" t="s">
        <v>31</v>
      </c>
      <c r="IL14" s="40"/>
      <c r="IM14" s="41" t="s">
        <v>32</v>
      </c>
      <c r="IN14" s="42"/>
      <c r="IO14" s="42"/>
      <c r="IP14" s="42"/>
      <c r="IQ14" s="42"/>
      <c r="IR14" s="42"/>
      <c r="IS14" s="43"/>
      <c r="IU14" s="39" t="s">
        <v>31</v>
      </c>
      <c r="IV14" s="40"/>
      <c r="IW14" s="41" t="s">
        <v>32</v>
      </c>
      <c r="IX14" s="42"/>
      <c r="IY14" s="42"/>
      <c r="IZ14" s="42"/>
      <c r="JA14" s="42"/>
      <c r="JB14" s="42"/>
      <c r="JC14" s="43"/>
      <c r="JE14" s="39" t="s">
        <v>31</v>
      </c>
      <c r="JF14" s="40"/>
      <c r="JG14" s="41" t="s">
        <v>32</v>
      </c>
      <c r="JH14" s="42"/>
      <c r="JI14" s="42"/>
      <c r="JJ14" s="42"/>
      <c r="JK14" s="42"/>
      <c r="JL14" s="42"/>
      <c r="JM14" s="43"/>
      <c r="JO14" s="39" t="s">
        <v>31</v>
      </c>
      <c r="JP14" s="40"/>
      <c r="JQ14" s="41" t="s">
        <v>32</v>
      </c>
      <c r="JR14" s="42"/>
      <c r="JS14" s="42"/>
      <c r="JT14" s="42"/>
      <c r="JU14" s="42"/>
      <c r="JV14" s="42"/>
      <c r="JW14" s="43"/>
      <c r="JY14" s="39" t="s">
        <v>31</v>
      </c>
      <c r="JZ14" s="40"/>
      <c r="KA14" s="41" t="s">
        <v>32</v>
      </c>
      <c r="KB14" s="42"/>
      <c r="KC14" s="42"/>
      <c r="KD14" s="42"/>
      <c r="KE14" s="42"/>
      <c r="KF14" s="42"/>
      <c r="KG14" s="43"/>
      <c r="KI14" s="39" t="s">
        <v>31</v>
      </c>
      <c r="KJ14" s="40"/>
      <c r="KK14" s="41" t="s">
        <v>32</v>
      </c>
      <c r="KL14" s="42"/>
      <c r="KM14" s="42"/>
      <c r="KN14" s="42"/>
      <c r="KO14" s="42"/>
      <c r="KP14" s="42"/>
      <c r="KQ14" s="43"/>
      <c r="KS14" s="39" t="s">
        <v>31</v>
      </c>
      <c r="KT14" s="40"/>
      <c r="KU14" s="41" t="s">
        <v>32</v>
      </c>
      <c r="KV14" s="42"/>
      <c r="KW14" s="42"/>
      <c r="KX14" s="42"/>
      <c r="KY14" s="42"/>
      <c r="KZ14" s="42"/>
      <c r="LA14" s="43"/>
      <c r="LC14" s="39" t="s">
        <v>31</v>
      </c>
      <c r="LD14" s="40"/>
      <c r="LE14" s="41" t="s">
        <v>32</v>
      </c>
      <c r="LF14" s="42"/>
      <c r="LG14" s="42"/>
      <c r="LH14" s="42"/>
      <c r="LI14" s="42"/>
      <c r="LJ14" s="42"/>
      <c r="LK14" s="43"/>
      <c r="LM14" s="39" t="s">
        <v>31</v>
      </c>
      <c r="LN14" s="40"/>
      <c r="LO14" s="41" t="s">
        <v>32</v>
      </c>
      <c r="LP14" s="42"/>
      <c r="LQ14" s="42"/>
      <c r="LR14" s="42"/>
      <c r="LS14" s="42"/>
      <c r="LT14" s="42"/>
      <c r="LU14" s="43"/>
      <c r="LW14" s="39" t="s">
        <v>31</v>
      </c>
      <c r="LX14" s="40"/>
      <c r="LY14" s="41" t="s">
        <v>32</v>
      </c>
      <c r="LZ14" s="42"/>
      <c r="MA14" s="42"/>
      <c r="MB14" s="42"/>
      <c r="MC14" s="42"/>
      <c r="MD14" s="42"/>
      <c r="ME14" s="43"/>
      <c r="MG14" s="39" t="s">
        <v>31</v>
      </c>
      <c r="MH14" s="40"/>
      <c r="MI14" s="41" t="s">
        <v>32</v>
      </c>
      <c r="MJ14" s="42"/>
      <c r="MK14" s="42"/>
      <c r="ML14" s="42"/>
      <c r="MM14" s="42"/>
      <c r="MN14" s="42"/>
      <c r="MO14" s="43"/>
      <c r="MQ14" s="39" t="s">
        <v>31</v>
      </c>
      <c r="MR14" s="40"/>
      <c r="MS14" s="41" t="s">
        <v>32</v>
      </c>
      <c r="MT14" s="42"/>
      <c r="MU14" s="42"/>
      <c r="MV14" s="42"/>
      <c r="MW14" s="42"/>
      <c r="MX14" s="42"/>
      <c r="MY14" s="43"/>
      <c r="NA14" s="39" t="s">
        <v>31</v>
      </c>
      <c r="NB14" s="40"/>
      <c r="NC14" s="41" t="s">
        <v>32</v>
      </c>
      <c r="ND14" s="42"/>
      <c r="NE14" s="42"/>
      <c r="NF14" s="42"/>
      <c r="NG14" s="42"/>
      <c r="NH14" s="42"/>
      <c r="NI14" s="43"/>
      <c r="NK14" s="39" t="s">
        <v>31</v>
      </c>
      <c r="NL14" s="40"/>
      <c r="NM14" s="41" t="s">
        <v>32</v>
      </c>
      <c r="NN14" s="42"/>
      <c r="NO14" s="42"/>
      <c r="NP14" s="42"/>
      <c r="NQ14" s="42"/>
      <c r="NR14" s="42"/>
      <c r="NS14" s="43"/>
      <c r="NU14" s="39" t="s">
        <v>31</v>
      </c>
      <c r="NV14" s="40"/>
      <c r="NW14" s="41" t="s">
        <v>32</v>
      </c>
      <c r="NX14" s="42"/>
      <c r="NY14" s="42"/>
      <c r="NZ14" s="42"/>
      <c r="OA14" s="42"/>
      <c r="OB14" s="42"/>
      <c r="OC14" s="43"/>
      <c r="OE14" s="39" t="s">
        <v>31</v>
      </c>
      <c r="OF14" s="40"/>
      <c r="OG14" s="41" t="s">
        <v>32</v>
      </c>
      <c r="OH14" s="42"/>
      <c r="OI14" s="42"/>
      <c r="OJ14" s="42"/>
      <c r="OK14" s="42"/>
      <c r="OL14" s="42"/>
      <c r="OM14" s="43"/>
      <c r="OO14" s="39" t="s">
        <v>31</v>
      </c>
      <c r="OP14" s="40"/>
      <c r="OQ14" s="41" t="s">
        <v>32</v>
      </c>
      <c r="OR14" s="42"/>
      <c r="OS14" s="42"/>
      <c r="OT14" s="42"/>
      <c r="OU14" s="42"/>
      <c r="OV14" s="42"/>
      <c r="OW14" s="43"/>
      <c r="OY14" s="39" t="s">
        <v>31</v>
      </c>
      <c r="OZ14" s="40"/>
      <c r="PA14" s="41" t="s">
        <v>32</v>
      </c>
      <c r="PB14" s="42"/>
      <c r="PC14" s="42"/>
      <c r="PD14" s="42"/>
      <c r="PE14" s="42"/>
      <c r="PF14" s="42"/>
      <c r="PG14" s="43"/>
      <c r="PI14" s="39" t="s">
        <v>31</v>
      </c>
      <c r="PJ14" s="40"/>
      <c r="PK14" s="41" t="s">
        <v>32</v>
      </c>
      <c r="PL14" s="42"/>
      <c r="PM14" s="42"/>
      <c r="PN14" s="42"/>
      <c r="PO14" s="42"/>
      <c r="PP14" s="42"/>
      <c r="PQ14" s="43"/>
      <c r="PR14" s="1"/>
      <c r="PS14" s="39" t="s">
        <v>31</v>
      </c>
      <c r="PT14" s="40"/>
      <c r="PU14" s="41" t="s">
        <v>32</v>
      </c>
      <c r="PV14" s="42"/>
      <c r="PW14" s="42"/>
      <c r="PX14" s="42"/>
      <c r="PY14" s="42"/>
      <c r="PZ14" s="42"/>
      <c r="QA14" s="43"/>
      <c r="QB14" s="1"/>
      <c r="QC14" s="39" t="s">
        <v>31</v>
      </c>
      <c r="QD14" s="40"/>
      <c r="QE14" s="41" t="s">
        <v>32</v>
      </c>
      <c r="QF14" s="42"/>
      <c r="QG14" s="42"/>
      <c r="QH14" s="42"/>
      <c r="QI14" s="42"/>
      <c r="QJ14" s="42"/>
      <c r="QK14" s="43"/>
      <c r="QL14" s="1"/>
      <c r="QM14" s="39" t="s">
        <v>31</v>
      </c>
      <c r="QN14" s="40"/>
      <c r="QO14" s="41" t="s">
        <v>32</v>
      </c>
      <c r="QP14" s="42"/>
      <c r="QQ14" s="42"/>
      <c r="QR14" s="42"/>
      <c r="QS14" s="42"/>
      <c r="QT14" s="42"/>
      <c r="QU14" s="43"/>
      <c r="QV14" s="1"/>
      <c r="QW14" s="39" t="s">
        <v>31</v>
      </c>
      <c r="QX14" s="40"/>
      <c r="QY14" s="41" t="s">
        <v>32</v>
      </c>
      <c r="QZ14" s="42"/>
      <c r="RA14" s="42"/>
      <c r="RB14" s="42"/>
      <c r="RC14" s="42"/>
      <c r="RD14" s="42"/>
      <c r="RE14" s="43"/>
      <c r="RF14" s="1"/>
      <c r="RG14" s="39" t="s">
        <v>31</v>
      </c>
      <c r="RH14" s="40"/>
      <c r="RI14" s="41" t="s">
        <v>32</v>
      </c>
      <c r="RJ14" s="42"/>
      <c r="RK14" s="42"/>
      <c r="RL14" s="42"/>
      <c r="RM14" s="42"/>
      <c r="RN14" s="42"/>
      <c r="RO14" s="43"/>
      <c r="RP14" s="1"/>
      <c r="RQ14" s="39" t="s">
        <v>31</v>
      </c>
      <c r="RR14" s="40"/>
      <c r="RS14" s="41" t="s">
        <v>32</v>
      </c>
      <c r="RT14" s="42"/>
      <c r="RU14" s="42"/>
      <c r="RV14" s="42"/>
      <c r="RW14" s="42"/>
      <c r="RX14" s="42"/>
      <c r="RY14" s="43"/>
      <c r="RZ14" s="1"/>
      <c r="SA14" s="39" t="s">
        <v>31</v>
      </c>
      <c r="SB14" s="40"/>
      <c r="SC14" s="41" t="s">
        <v>32</v>
      </c>
      <c r="SD14" s="42"/>
      <c r="SE14" s="42"/>
      <c r="SF14" s="42"/>
      <c r="SG14" s="42"/>
      <c r="SH14" s="42"/>
      <c r="SI14" s="43"/>
      <c r="SJ14" s="1"/>
      <c r="SK14" s="39" t="s">
        <v>31</v>
      </c>
      <c r="SL14" s="40"/>
      <c r="SM14" s="41" t="s">
        <v>32</v>
      </c>
      <c r="SN14" s="42"/>
      <c r="SO14" s="42"/>
      <c r="SP14" s="42"/>
      <c r="SQ14" s="42"/>
      <c r="SR14" s="42"/>
      <c r="SS14" s="43"/>
      <c r="ST14" s="1"/>
      <c r="SU14" s="39" t="s">
        <v>31</v>
      </c>
      <c r="SV14" s="40"/>
      <c r="SW14" s="41" t="s">
        <v>32</v>
      </c>
      <c r="SX14" s="42"/>
      <c r="SY14" s="42"/>
      <c r="SZ14" s="42"/>
      <c r="TA14" s="42"/>
      <c r="TB14" s="42"/>
      <c r="TC14" s="43"/>
      <c r="TD14" s="1"/>
      <c r="TE14" s="39" t="s">
        <v>31</v>
      </c>
      <c r="TF14" s="40"/>
      <c r="TG14" s="41" t="s">
        <v>32</v>
      </c>
      <c r="TH14" s="42"/>
      <c r="TI14" s="42"/>
      <c r="TJ14" s="42"/>
      <c r="TK14" s="42"/>
      <c r="TL14" s="42"/>
      <c r="TM14" s="43"/>
      <c r="TN14" s="1"/>
      <c r="TO14" s="39" t="s">
        <v>31</v>
      </c>
      <c r="TP14" s="40"/>
      <c r="TQ14" s="41" t="s">
        <v>32</v>
      </c>
      <c r="TR14" s="42"/>
      <c r="TS14" s="42"/>
      <c r="TT14" s="42"/>
      <c r="TU14" s="42"/>
      <c r="TV14" s="42"/>
      <c r="TW14" s="43"/>
      <c r="TX14" s="1"/>
      <c r="TY14" s="39" t="s">
        <v>31</v>
      </c>
      <c r="TZ14" s="40"/>
      <c r="UA14" s="41" t="s">
        <v>32</v>
      </c>
      <c r="UB14" s="42"/>
      <c r="UC14" s="42"/>
      <c r="UD14" s="42"/>
      <c r="UE14" s="42"/>
      <c r="UF14" s="42"/>
      <c r="UG14" s="43"/>
      <c r="UH14" s="1"/>
      <c r="UI14" s="39" t="s">
        <v>31</v>
      </c>
      <c r="UJ14" s="40"/>
      <c r="UK14" s="41" t="s">
        <v>32</v>
      </c>
      <c r="UL14" s="42"/>
      <c r="UM14" s="42"/>
      <c r="UN14" s="42"/>
      <c r="UO14" s="42"/>
      <c r="UP14" s="42"/>
      <c r="UQ14" s="43"/>
      <c r="UR14" s="1"/>
      <c r="US14" s="39" t="s">
        <v>31</v>
      </c>
      <c r="UT14" s="40"/>
      <c r="UU14" s="41" t="s">
        <v>32</v>
      </c>
      <c r="UV14" s="42"/>
      <c r="UW14" s="42"/>
      <c r="UX14" s="42"/>
      <c r="UY14" s="42"/>
      <c r="UZ14" s="42"/>
      <c r="VA14" s="43"/>
      <c r="VB14" s="1"/>
      <c r="VC14" s="39" t="s">
        <v>31</v>
      </c>
      <c r="VD14" s="40"/>
      <c r="VE14" s="41" t="s">
        <v>32</v>
      </c>
      <c r="VF14" s="42"/>
      <c r="VG14" s="42"/>
      <c r="VH14" s="42"/>
      <c r="VI14" s="42"/>
      <c r="VJ14" s="42"/>
      <c r="VK14" s="43"/>
      <c r="VL14" s="1"/>
      <c r="VM14" s="39" t="s">
        <v>31</v>
      </c>
      <c r="VN14" s="40"/>
      <c r="VO14" s="41" t="s">
        <v>32</v>
      </c>
      <c r="VP14" s="42"/>
      <c r="VQ14" s="42"/>
      <c r="VR14" s="42"/>
      <c r="VS14" s="42"/>
      <c r="VT14" s="42"/>
      <c r="VU14" s="43"/>
      <c r="VV14" s="1"/>
      <c r="VW14" s="39" t="s">
        <v>31</v>
      </c>
      <c r="VX14" s="40"/>
      <c r="VY14" s="41" t="s">
        <v>32</v>
      </c>
      <c r="VZ14" s="42"/>
      <c r="WA14" s="42"/>
      <c r="WB14" s="42"/>
      <c r="WC14" s="42"/>
      <c r="WD14" s="42"/>
      <c r="WE14" s="43"/>
      <c r="WF14" s="1"/>
      <c r="WG14" s="39" t="s">
        <v>31</v>
      </c>
      <c r="WH14" s="40"/>
      <c r="WI14" s="41" t="s">
        <v>32</v>
      </c>
      <c r="WJ14" s="42"/>
      <c r="WK14" s="42"/>
      <c r="WL14" s="42"/>
      <c r="WM14" s="42"/>
      <c r="WN14" s="42"/>
      <c r="WO14" s="43"/>
      <c r="WP14" s="1"/>
      <c r="WQ14" s="39" t="s">
        <v>31</v>
      </c>
      <c r="WR14" s="40"/>
      <c r="WS14" s="41" t="s">
        <v>32</v>
      </c>
      <c r="WT14" s="42"/>
      <c r="WU14" s="42"/>
      <c r="WV14" s="42"/>
      <c r="WW14" s="42"/>
      <c r="WX14" s="42"/>
      <c r="WY14" s="43"/>
      <c r="WZ14" s="1"/>
      <c r="XA14" s="39" t="s">
        <v>31</v>
      </c>
      <c r="XB14" s="40"/>
      <c r="XC14" s="41" t="s">
        <v>32</v>
      </c>
      <c r="XD14" s="42"/>
      <c r="XE14" s="42"/>
      <c r="XF14" s="42"/>
      <c r="XG14" s="42"/>
      <c r="XH14" s="42"/>
      <c r="XI14" s="43"/>
      <c r="XJ14" s="1"/>
      <c r="XK14" s="39" t="s">
        <v>31</v>
      </c>
      <c r="XL14" s="40"/>
      <c r="XM14" s="41" t="s">
        <v>32</v>
      </c>
      <c r="XN14" s="42"/>
      <c r="XO14" s="42"/>
      <c r="XP14" s="42"/>
      <c r="XQ14" s="42"/>
      <c r="XR14" s="42"/>
      <c r="XS14" s="43"/>
      <c r="XT14" s="1"/>
      <c r="XU14" s="39" t="s">
        <v>31</v>
      </c>
      <c r="XV14" s="40"/>
      <c r="XW14" s="41" t="s">
        <v>32</v>
      </c>
      <c r="XX14" s="42"/>
      <c r="XY14" s="42"/>
      <c r="XZ14" s="42"/>
      <c r="YA14" s="42"/>
      <c r="YB14" s="42"/>
      <c r="YC14" s="43"/>
      <c r="YD14" s="1"/>
      <c r="YE14" s="39" t="s">
        <v>31</v>
      </c>
      <c r="YF14" s="40"/>
      <c r="YG14" s="41" t="s">
        <v>32</v>
      </c>
      <c r="YH14" s="42"/>
      <c r="YI14" s="42"/>
      <c r="YJ14" s="42"/>
      <c r="YK14" s="42"/>
      <c r="YL14" s="42"/>
      <c r="YM14" s="43"/>
      <c r="YN14" s="1"/>
      <c r="YO14" s="39" t="s">
        <v>31</v>
      </c>
      <c r="YP14" s="40"/>
      <c r="YQ14" s="41" t="s">
        <v>32</v>
      </c>
      <c r="YR14" s="42"/>
      <c r="YS14" s="42"/>
      <c r="YT14" s="42"/>
      <c r="YU14" s="42"/>
      <c r="YV14" s="42"/>
      <c r="YW14" s="43"/>
      <c r="YX14" s="1"/>
      <c r="YY14" s="39" t="s">
        <v>31</v>
      </c>
      <c r="YZ14" s="40"/>
      <c r="ZA14" s="41" t="s">
        <v>32</v>
      </c>
      <c r="ZB14" s="42"/>
      <c r="ZC14" s="42"/>
      <c r="ZD14" s="42"/>
      <c r="ZE14" s="42"/>
      <c r="ZF14" s="42"/>
      <c r="ZG14" s="43"/>
      <c r="ZH14" s="1"/>
      <c r="ZI14" s="39" t="s">
        <v>31</v>
      </c>
      <c r="ZJ14" s="40"/>
      <c r="ZK14" s="41" t="s">
        <v>32</v>
      </c>
      <c r="ZL14" s="42"/>
      <c r="ZM14" s="42"/>
      <c r="ZN14" s="42"/>
      <c r="ZO14" s="42"/>
      <c r="ZP14" s="42"/>
      <c r="ZQ14" s="43"/>
      <c r="ZR14" s="1"/>
      <c r="ZS14" s="39" t="s">
        <v>31</v>
      </c>
      <c r="ZT14" s="40"/>
      <c r="ZU14" s="41" t="s">
        <v>32</v>
      </c>
      <c r="ZV14" s="42"/>
      <c r="ZW14" s="42"/>
      <c r="ZX14" s="42"/>
      <c r="ZY14" s="42"/>
      <c r="ZZ14" s="42"/>
      <c r="AAA14" s="43"/>
      <c r="AAB14" s="1"/>
      <c r="AAC14" s="39" t="s">
        <v>31</v>
      </c>
      <c r="AAD14" s="40"/>
      <c r="AAE14" s="41" t="s">
        <v>32</v>
      </c>
      <c r="AAF14" s="42"/>
      <c r="AAG14" s="42"/>
      <c r="AAH14" s="42"/>
      <c r="AAI14" s="42"/>
      <c r="AAJ14" s="42"/>
      <c r="AAK14" s="43"/>
      <c r="AAL14" s="1"/>
      <c r="AAM14" s="39" t="s">
        <v>31</v>
      </c>
      <c r="AAN14" s="40"/>
      <c r="AAO14" s="41" t="s">
        <v>32</v>
      </c>
      <c r="AAP14" s="42"/>
      <c r="AAQ14" s="42"/>
      <c r="AAR14" s="42"/>
      <c r="AAS14" s="42"/>
      <c r="AAT14" s="42"/>
      <c r="AAU14" s="43"/>
      <c r="AAV14" s="1"/>
      <c r="AAW14" s="39" t="s">
        <v>31</v>
      </c>
      <c r="AAX14" s="40"/>
      <c r="AAY14" s="41" t="s">
        <v>32</v>
      </c>
      <c r="AAZ14" s="42"/>
      <c r="ABA14" s="42"/>
      <c r="ABB14" s="42"/>
      <c r="ABC14" s="42"/>
      <c r="ABD14" s="42"/>
      <c r="ABE14" s="43"/>
      <c r="ABF14" s="1"/>
      <c r="ABG14" s="39" t="s">
        <v>31</v>
      </c>
      <c r="ABH14" s="40"/>
      <c r="ABI14" s="41" t="s">
        <v>32</v>
      </c>
      <c r="ABJ14" s="42"/>
      <c r="ABK14" s="42"/>
      <c r="ABL14" s="42"/>
      <c r="ABM14" s="42"/>
      <c r="ABN14" s="42"/>
      <c r="ABO14" s="43"/>
      <c r="ABP14" s="1"/>
      <c r="ABQ14" s="39" t="s">
        <v>31</v>
      </c>
      <c r="ABR14" s="40"/>
      <c r="ABS14" s="41" t="s">
        <v>32</v>
      </c>
      <c r="ABT14" s="42"/>
      <c r="ABU14" s="42"/>
      <c r="ABV14" s="42"/>
      <c r="ABW14" s="42"/>
      <c r="ABX14" s="42"/>
      <c r="ABY14" s="43"/>
      <c r="ABZ14" s="1"/>
      <c r="ACA14" s="39" t="s">
        <v>31</v>
      </c>
      <c r="ACB14" s="40"/>
      <c r="ACC14" s="41" t="s">
        <v>32</v>
      </c>
      <c r="ACD14" s="42"/>
      <c r="ACE14" s="42"/>
      <c r="ACF14" s="42"/>
      <c r="ACG14" s="42"/>
      <c r="ACH14" s="42"/>
      <c r="ACI14" s="43"/>
      <c r="ACJ14" s="1"/>
      <c r="ACK14" s="39" t="s">
        <v>31</v>
      </c>
      <c r="ACL14" s="40"/>
      <c r="ACM14" s="41" t="s">
        <v>32</v>
      </c>
      <c r="ACN14" s="42"/>
      <c r="ACO14" s="42"/>
      <c r="ACP14" s="42"/>
      <c r="ACQ14" s="42"/>
      <c r="ACR14" s="42"/>
      <c r="ACS14" s="43"/>
      <c r="ACT14" s="1"/>
      <c r="ACU14" s="39" t="s">
        <v>31</v>
      </c>
      <c r="ACV14" s="40"/>
      <c r="ACW14" s="41" t="s">
        <v>32</v>
      </c>
      <c r="ACX14" s="42"/>
      <c r="ACY14" s="42"/>
      <c r="ACZ14" s="42"/>
      <c r="ADA14" s="42"/>
      <c r="ADB14" s="42"/>
      <c r="ADC14" s="43"/>
      <c r="ADD14" s="1"/>
      <c r="ADE14" s="39" t="s">
        <v>31</v>
      </c>
      <c r="ADF14" s="40"/>
      <c r="ADG14" s="41" t="s">
        <v>32</v>
      </c>
      <c r="ADH14" s="42"/>
      <c r="ADI14" s="42"/>
      <c r="ADJ14" s="42"/>
      <c r="ADK14" s="42"/>
      <c r="ADL14" s="42"/>
      <c r="ADM14" s="43"/>
      <c r="ADN14" s="1"/>
      <c r="ADO14" s="39" t="s">
        <v>31</v>
      </c>
      <c r="ADP14" s="40"/>
      <c r="ADQ14" s="41" t="s">
        <v>32</v>
      </c>
      <c r="ADR14" s="42"/>
      <c r="ADS14" s="42"/>
      <c r="ADT14" s="42"/>
      <c r="ADU14" s="42"/>
      <c r="ADV14" s="42"/>
      <c r="ADW14" s="43"/>
      <c r="ADX14" s="1"/>
      <c r="ADY14" s="39" t="s">
        <v>31</v>
      </c>
      <c r="ADZ14" s="40"/>
      <c r="AEA14" s="41" t="s">
        <v>32</v>
      </c>
      <c r="AEB14" s="42"/>
      <c r="AEC14" s="42"/>
      <c r="AED14" s="42"/>
      <c r="AEE14" s="42"/>
      <c r="AEF14" s="42"/>
      <c r="AEG14" s="43"/>
      <c r="AEH14" s="1"/>
      <c r="AEI14" s="39" t="s">
        <v>31</v>
      </c>
      <c r="AEJ14" s="40"/>
      <c r="AEK14" s="41" t="s">
        <v>32</v>
      </c>
      <c r="AEL14" s="42"/>
      <c r="AEM14" s="42"/>
      <c r="AEN14" s="42"/>
      <c r="AEO14" s="42"/>
      <c r="AEP14" s="42"/>
      <c r="AEQ14" s="43"/>
      <c r="AER14" s="1"/>
      <c r="AES14" s="39" t="s">
        <v>31</v>
      </c>
      <c r="AET14" s="40"/>
      <c r="AEU14" s="41" t="s">
        <v>32</v>
      </c>
      <c r="AEV14" s="42"/>
      <c r="AEW14" s="42"/>
      <c r="AEX14" s="42"/>
      <c r="AEY14" s="42"/>
      <c r="AEZ14" s="42"/>
      <c r="AFA14" s="43"/>
      <c r="AFB14" s="1"/>
      <c r="AFC14" s="39" t="s">
        <v>31</v>
      </c>
      <c r="AFD14" s="40"/>
      <c r="AFE14" s="41" t="s">
        <v>32</v>
      </c>
      <c r="AFF14" s="42"/>
      <c r="AFG14" s="42"/>
      <c r="AFH14" s="42"/>
      <c r="AFI14" s="42"/>
      <c r="AFJ14" s="42"/>
      <c r="AFK14" s="43"/>
      <c r="AFL14" s="1"/>
      <c r="AFM14" s="39" t="s">
        <v>31</v>
      </c>
      <c r="AFN14" s="40"/>
      <c r="AFO14" s="41" t="s">
        <v>32</v>
      </c>
      <c r="AFP14" s="42"/>
      <c r="AFQ14" s="42"/>
      <c r="AFR14" s="42"/>
      <c r="AFS14" s="42"/>
      <c r="AFT14" s="42"/>
      <c r="AFU14" s="43"/>
      <c r="AFV14" s="1"/>
      <c r="AFW14" s="39" t="s">
        <v>31</v>
      </c>
      <c r="AFX14" s="40"/>
      <c r="AFY14" s="41" t="s">
        <v>32</v>
      </c>
      <c r="AFZ14" s="42"/>
      <c r="AGA14" s="42"/>
      <c r="AGB14" s="42"/>
      <c r="AGC14" s="42"/>
      <c r="AGD14" s="42"/>
      <c r="AGE14" s="43"/>
      <c r="AGF14" s="1"/>
      <c r="AGG14" s="39" t="s">
        <v>31</v>
      </c>
      <c r="AGH14" s="40"/>
      <c r="AGI14" s="41" t="s">
        <v>32</v>
      </c>
      <c r="AGJ14" s="42"/>
      <c r="AGK14" s="42"/>
      <c r="AGL14" s="42"/>
      <c r="AGM14" s="42"/>
      <c r="AGN14" s="42"/>
      <c r="AGO14" s="43"/>
      <c r="AGP14" s="1"/>
      <c r="AGQ14" s="39" t="s">
        <v>31</v>
      </c>
      <c r="AGR14" s="40"/>
      <c r="AGS14" s="41" t="s">
        <v>32</v>
      </c>
      <c r="AGT14" s="42"/>
      <c r="AGU14" s="42"/>
      <c r="AGV14" s="42"/>
      <c r="AGW14" s="42"/>
      <c r="AGX14" s="42"/>
      <c r="AGY14" s="43"/>
      <c r="AGZ14" s="1"/>
      <c r="AHA14" s="39" t="s">
        <v>31</v>
      </c>
      <c r="AHB14" s="40"/>
      <c r="AHC14" s="41" t="s">
        <v>32</v>
      </c>
      <c r="AHD14" s="42"/>
      <c r="AHE14" s="42"/>
      <c r="AHF14" s="42"/>
      <c r="AHG14" s="42"/>
      <c r="AHH14" s="42"/>
      <c r="AHI14" s="43"/>
      <c r="AHJ14" s="1"/>
      <c r="AHK14" s="39" t="s">
        <v>31</v>
      </c>
      <c r="AHL14" s="40"/>
      <c r="AHM14" s="41" t="s">
        <v>32</v>
      </c>
      <c r="AHN14" s="42"/>
      <c r="AHO14" s="42"/>
      <c r="AHP14" s="42"/>
      <c r="AHQ14" s="42"/>
      <c r="AHR14" s="42"/>
      <c r="AHS14" s="43"/>
      <c r="AHT14" s="1"/>
      <c r="AHU14" s="39" t="s">
        <v>31</v>
      </c>
      <c r="AHV14" s="40"/>
      <c r="AHW14" s="41" t="s">
        <v>32</v>
      </c>
      <c r="AHX14" s="42"/>
      <c r="AHY14" s="42"/>
      <c r="AHZ14" s="42"/>
      <c r="AIA14" s="42"/>
      <c r="AIB14" s="42"/>
      <c r="AIC14" s="43"/>
      <c r="AID14" s="1"/>
      <c r="AIE14" s="39" t="s">
        <v>31</v>
      </c>
      <c r="AIF14" s="40"/>
      <c r="AIG14" s="41" t="s">
        <v>32</v>
      </c>
      <c r="AIH14" s="42"/>
      <c r="AII14" s="42"/>
      <c r="AIJ14" s="42"/>
      <c r="AIK14" s="42"/>
      <c r="AIL14" s="42"/>
      <c r="AIM14" s="43"/>
      <c r="AIN14" s="1"/>
      <c r="AIO14" s="39" t="s">
        <v>31</v>
      </c>
      <c r="AIP14" s="40"/>
      <c r="AIQ14" s="41" t="s">
        <v>32</v>
      </c>
      <c r="AIR14" s="42"/>
      <c r="AIS14" s="42"/>
      <c r="AIT14" s="42"/>
      <c r="AIU14" s="42"/>
      <c r="AIV14" s="42"/>
      <c r="AIW14" s="43"/>
      <c r="AIX14" s="1"/>
      <c r="AIY14" s="39" t="s">
        <v>31</v>
      </c>
      <c r="AIZ14" s="40"/>
      <c r="AJA14" s="41" t="s">
        <v>32</v>
      </c>
      <c r="AJB14" s="42"/>
      <c r="AJC14" s="42"/>
      <c r="AJD14" s="42"/>
      <c r="AJE14" s="42"/>
      <c r="AJF14" s="42"/>
      <c r="AJG14" s="43"/>
      <c r="AJH14" s="1"/>
      <c r="AJI14" s="39" t="s">
        <v>31</v>
      </c>
      <c r="AJJ14" s="40"/>
      <c r="AJK14" s="41" t="s">
        <v>32</v>
      </c>
      <c r="AJL14" s="42"/>
      <c r="AJM14" s="42"/>
      <c r="AJN14" s="42"/>
      <c r="AJO14" s="42"/>
      <c r="AJP14" s="42"/>
      <c r="AJQ14" s="43"/>
      <c r="AJR14" s="1"/>
      <c r="AJS14" s="39" t="s">
        <v>31</v>
      </c>
      <c r="AJT14" s="40"/>
      <c r="AJU14" s="41" t="s">
        <v>32</v>
      </c>
      <c r="AJV14" s="42"/>
      <c r="AJW14" s="42"/>
      <c r="AJX14" s="42"/>
      <c r="AJY14" s="42"/>
      <c r="AJZ14" s="42"/>
      <c r="AKA14" s="43"/>
      <c r="AKB14" s="1"/>
      <c r="AKC14" s="39" t="s">
        <v>31</v>
      </c>
      <c r="AKD14" s="40"/>
      <c r="AKE14" s="41" t="s">
        <v>32</v>
      </c>
      <c r="AKF14" s="42"/>
      <c r="AKG14" s="42"/>
      <c r="AKH14" s="42"/>
      <c r="AKI14" s="42"/>
      <c r="AKJ14" s="42"/>
      <c r="AKK14" s="43"/>
      <c r="AKL14" s="1"/>
      <c r="AKM14" s="39" t="s">
        <v>31</v>
      </c>
      <c r="AKN14" s="40"/>
      <c r="AKO14" s="41" t="s">
        <v>32</v>
      </c>
      <c r="AKP14" s="42"/>
      <c r="AKQ14" s="42"/>
      <c r="AKR14" s="42"/>
      <c r="AKS14" s="42"/>
      <c r="AKT14" s="42"/>
      <c r="AKU14" s="43"/>
      <c r="AKV14" s="1"/>
      <c r="AKW14" s="39" t="s">
        <v>31</v>
      </c>
      <c r="AKX14" s="40"/>
      <c r="AKY14" s="41" t="s">
        <v>32</v>
      </c>
      <c r="AKZ14" s="42"/>
      <c r="ALA14" s="42"/>
      <c r="ALB14" s="42"/>
      <c r="ALC14" s="42"/>
      <c r="ALD14" s="42"/>
      <c r="ALE14" s="43"/>
      <c r="ALF14" s="1"/>
      <c r="ALG14" s="39" t="s">
        <v>31</v>
      </c>
      <c r="ALH14" s="40"/>
      <c r="ALI14" s="41" t="s">
        <v>32</v>
      </c>
      <c r="ALJ14" s="42"/>
      <c r="ALK14" s="42"/>
      <c r="ALL14" s="42"/>
      <c r="ALM14" s="42"/>
      <c r="ALN14" s="42"/>
      <c r="ALO14" s="43"/>
      <c r="ALP14" s="1"/>
      <c r="ALQ14" s="39" t="s">
        <v>31</v>
      </c>
      <c r="ALR14" s="40"/>
      <c r="ALS14" s="41" t="s">
        <v>32</v>
      </c>
      <c r="ALT14" s="42"/>
      <c r="ALU14" s="42"/>
      <c r="ALV14" s="42"/>
      <c r="ALW14" s="42"/>
      <c r="ALX14" s="42"/>
      <c r="ALY14" s="43"/>
      <c r="ALZ14" s="1"/>
      <c r="AMA14" s="39" t="s">
        <v>31</v>
      </c>
      <c r="AMB14" s="40"/>
      <c r="AMC14" s="41" t="s">
        <v>32</v>
      </c>
      <c r="AMD14" s="42"/>
      <c r="AME14" s="42"/>
      <c r="AMF14" s="42"/>
      <c r="AMG14" s="42"/>
      <c r="AMH14" s="42"/>
      <c r="AMI14" s="43"/>
      <c r="AMJ14" s="1"/>
      <c r="AMK14" s="39" t="s">
        <v>31</v>
      </c>
      <c r="AML14" s="40"/>
      <c r="AMM14" s="41" t="s">
        <v>32</v>
      </c>
      <c r="AMN14" s="42"/>
      <c r="AMO14" s="42"/>
      <c r="AMP14" s="42"/>
      <c r="AMQ14" s="42"/>
      <c r="AMR14" s="42"/>
      <c r="AMS14" s="43"/>
      <c r="AMT14" s="1"/>
      <c r="AMU14" s="39" t="s">
        <v>31</v>
      </c>
      <c r="AMV14" s="40"/>
      <c r="AMW14" s="41" t="s">
        <v>32</v>
      </c>
      <c r="AMX14" s="42"/>
      <c r="AMY14" s="42"/>
      <c r="AMZ14" s="42"/>
      <c r="ANA14" s="42"/>
      <c r="ANB14" s="42"/>
      <c r="ANC14" s="43"/>
      <c r="AND14" s="1"/>
      <c r="ANE14" s="39" t="s">
        <v>31</v>
      </c>
      <c r="ANF14" s="40"/>
      <c r="ANG14" s="41" t="s">
        <v>32</v>
      </c>
      <c r="ANH14" s="42"/>
      <c r="ANI14" s="42"/>
      <c r="ANJ14" s="42"/>
      <c r="ANK14" s="42"/>
      <c r="ANL14" s="42"/>
      <c r="ANM14" s="43"/>
      <c r="ANN14" s="1"/>
      <c r="ANO14" s="39" t="s">
        <v>31</v>
      </c>
      <c r="ANP14" s="40"/>
      <c r="ANQ14" s="41" t="s">
        <v>32</v>
      </c>
      <c r="ANR14" s="42"/>
      <c r="ANS14" s="42"/>
      <c r="ANT14" s="42"/>
      <c r="ANU14" s="42"/>
      <c r="ANV14" s="42"/>
      <c r="ANW14" s="43"/>
      <c r="ANX14" s="1"/>
      <c r="ANY14" s="39" t="s">
        <v>31</v>
      </c>
      <c r="ANZ14" s="40"/>
      <c r="AOA14" s="41" t="s">
        <v>32</v>
      </c>
      <c r="AOB14" s="42"/>
      <c r="AOC14" s="42"/>
      <c r="AOD14" s="42"/>
      <c r="AOE14" s="42"/>
      <c r="AOF14" s="42"/>
      <c r="AOG14" s="43"/>
      <c r="AOH14" s="1"/>
      <c r="AOI14" s="39"/>
      <c r="AOJ14" s="40"/>
      <c r="AOK14" s="41" t="s">
        <v>32</v>
      </c>
      <c r="AOL14" s="42"/>
      <c r="AOM14" s="42"/>
      <c r="AON14" s="42"/>
      <c r="AOO14" s="42"/>
      <c r="AOP14" s="42"/>
      <c r="AOQ14" s="43"/>
      <c r="AOR14" s="1"/>
      <c r="AOS14" s="60" t="s">
        <v>31</v>
      </c>
      <c r="AOT14" s="61"/>
      <c r="AOU14" s="41" t="s">
        <v>32</v>
      </c>
      <c r="AOV14" s="42"/>
      <c r="AOW14" s="42"/>
      <c r="AOX14" s="42"/>
      <c r="AOY14" s="42"/>
      <c r="AOZ14" s="42"/>
      <c r="APA14" s="43"/>
    </row>
    <row r="15" spans="1:1093" ht="11.25" x14ac:dyDescent="0.2">
      <c r="A15" s="22" t="s">
        <v>33</v>
      </c>
      <c r="B15" s="14" t="s">
        <v>34</v>
      </c>
      <c r="C15" s="23"/>
      <c r="E15" s="24"/>
      <c r="F15" s="6" t="s">
        <v>20</v>
      </c>
      <c r="G15" s="44"/>
      <c r="H15" s="45"/>
      <c r="I15" s="45"/>
      <c r="J15" s="45"/>
      <c r="K15" s="45"/>
      <c r="L15" s="45"/>
      <c r="M15" s="46"/>
      <c r="O15" s="24"/>
      <c r="P15" s="6" t="s">
        <v>20</v>
      </c>
      <c r="Q15" s="44"/>
      <c r="R15" s="45"/>
      <c r="S15" s="45"/>
      <c r="T15" s="45"/>
      <c r="U15" s="45"/>
      <c r="V15" s="45"/>
      <c r="W15" s="46"/>
      <c r="Y15" s="24">
        <v>2</v>
      </c>
      <c r="Z15" s="6" t="s">
        <v>20</v>
      </c>
      <c r="AA15" s="44"/>
      <c r="AB15" s="45"/>
      <c r="AC15" s="45"/>
      <c r="AD15" s="45"/>
      <c r="AE15" s="45"/>
      <c r="AF15" s="45"/>
      <c r="AG15" s="46"/>
      <c r="AI15" s="24">
        <v>1</v>
      </c>
      <c r="AJ15" s="6" t="s">
        <v>20</v>
      </c>
      <c r="AK15" s="44"/>
      <c r="AL15" s="45"/>
      <c r="AM15" s="45"/>
      <c r="AN15" s="45"/>
      <c r="AO15" s="45"/>
      <c r="AP15" s="45"/>
      <c r="AQ15" s="46"/>
      <c r="AS15" s="24">
        <v>2</v>
      </c>
      <c r="AT15" s="6" t="s">
        <v>20</v>
      </c>
      <c r="AU15" s="44"/>
      <c r="AV15" s="45"/>
      <c r="AW15" s="45"/>
      <c r="AX15" s="45"/>
      <c r="AY15" s="45"/>
      <c r="AZ15" s="45"/>
      <c r="BA15" s="46"/>
      <c r="BC15" s="2">
        <v>4</v>
      </c>
      <c r="BD15" s="6" t="s">
        <v>20</v>
      </c>
      <c r="BE15" s="44"/>
      <c r="BF15" s="45"/>
      <c r="BG15" s="45"/>
      <c r="BH15" s="45"/>
      <c r="BI15" s="45"/>
      <c r="BJ15" s="45"/>
      <c r="BK15" s="46"/>
      <c r="BM15" s="2">
        <v>4</v>
      </c>
      <c r="BN15" s="6" t="s">
        <v>20</v>
      </c>
      <c r="BO15" s="44"/>
      <c r="BP15" s="45"/>
      <c r="BQ15" s="45"/>
      <c r="BR15" s="45"/>
      <c r="BS15" s="45"/>
      <c r="BT15" s="45"/>
      <c r="BU15" s="46"/>
      <c r="BW15" s="24">
        <v>1</v>
      </c>
      <c r="BX15" s="6" t="s">
        <v>20</v>
      </c>
      <c r="BY15" s="44"/>
      <c r="BZ15" s="45"/>
      <c r="CA15" s="45"/>
      <c r="CB15" s="45"/>
      <c r="CC15" s="45"/>
      <c r="CD15" s="45"/>
      <c r="CE15" s="46"/>
      <c r="CG15" s="24">
        <v>1</v>
      </c>
      <c r="CH15" s="6" t="s">
        <v>20</v>
      </c>
      <c r="CI15" s="44"/>
      <c r="CJ15" s="45"/>
      <c r="CK15" s="45"/>
      <c r="CL15" s="45"/>
      <c r="CM15" s="45"/>
      <c r="CN15" s="45"/>
      <c r="CO15" s="46"/>
      <c r="CQ15" s="24">
        <v>0</v>
      </c>
      <c r="CR15" s="6" t="s">
        <v>20</v>
      </c>
      <c r="CS15" s="44"/>
      <c r="CT15" s="45"/>
      <c r="CU15" s="45"/>
      <c r="CV15" s="45"/>
      <c r="CW15" s="45"/>
      <c r="CX15" s="45"/>
      <c r="CY15" s="46"/>
      <c r="DA15" s="24">
        <v>0</v>
      </c>
      <c r="DB15" s="6" t="s">
        <v>20</v>
      </c>
      <c r="DC15" s="44"/>
      <c r="DD15" s="45"/>
      <c r="DE15" s="45"/>
      <c r="DF15" s="45"/>
      <c r="DG15" s="45"/>
      <c r="DH15" s="45"/>
      <c r="DI15" s="46"/>
      <c r="DK15" s="24">
        <v>0</v>
      </c>
      <c r="DL15" s="6" t="s">
        <v>20</v>
      </c>
      <c r="DM15" s="44"/>
      <c r="DN15" s="45"/>
      <c r="DO15" s="45"/>
      <c r="DP15" s="45"/>
      <c r="DQ15" s="45"/>
      <c r="DR15" s="45"/>
      <c r="DS15" s="46"/>
      <c r="DU15" s="24">
        <v>2</v>
      </c>
      <c r="DV15" s="6" t="s">
        <v>20</v>
      </c>
      <c r="DW15" s="44"/>
      <c r="DX15" s="45"/>
      <c r="DY15" s="45"/>
      <c r="DZ15" s="45"/>
      <c r="EA15" s="45"/>
      <c r="EB15" s="45"/>
      <c r="EC15" s="46"/>
      <c r="EE15" s="24">
        <v>0</v>
      </c>
      <c r="EF15" s="6" t="s">
        <v>20</v>
      </c>
      <c r="EG15" s="44"/>
      <c r="EH15" s="45"/>
      <c r="EI15" s="45"/>
      <c r="EJ15" s="45"/>
      <c r="EK15" s="45"/>
      <c r="EL15" s="45"/>
      <c r="EM15" s="46"/>
      <c r="EO15" s="24">
        <v>0</v>
      </c>
      <c r="EP15" s="6" t="s">
        <v>20</v>
      </c>
      <c r="EQ15" s="44"/>
      <c r="ER15" s="45"/>
      <c r="ES15" s="45"/>
      <c r="ET15" s="45"/>
      <c r="EU15" s="45"/>
      <c r="EV15" s="45"/>
      <c r="EW15" s="46"/>
      <c r="EY15" s="24">
        <v>0</v>
      </c>
      <c r="EZ15" s="6" t="s">
        <v>20</v>
      </c>
      <c r="FA15" s="44"/>
      <c r="FB15" s="45"/>
      <c r="FC15" s="45"/>
      <c r="FD15" s="45"/>
      <c r="FE15" s="45"/>
      <c r="FF15" s="45"/>
      <c r="FG15" s="46"/>
      <c r="FI15" s="24">
        <v>2</v>
      </c>
      <c r="FJ15" s="6" t="s">
        <v>20</v>
      </c>
      <c r="FK15" s="44"/>
      <c r="FL15" s="45"/>
      <c r="FM15" s="45"/>
      <c r="FN15" s="45"/>
      <c r="FO15" s="45"/>
      <c r="FP15" s="45"/>
      <c r="FQ15" s="46"/>
      <c r="FS15" s="24">
        <v>3</v>
      </c>
      <c r="FT15" s="6" t="s">
        <v>20</v>
      </c>
      <c r="FU15" s="44"/>
      <c r="FV15" s="45"/>
      <c r="FW15" s="45"/>
      <c r="FX15" s="45"/>
      <c r="FY15" s="45"/>
      <c r="FZ15" s="45"/>
      <c r="GA15" s="46"/>
      <c r="GC15" s="24">
        <v>0</v>
      </c>
      <c r="GD15" s="6" t="s">
        <v>20</v>
      </c>
      <c r="GE15" s="44"/>
      <c r="GF15" s="45"/>
      <c r="GG15" s="45"/>
      <c r="GH15" s="45"/>
      <c r="GI15" s="45"/>
      <c r="GJ15" s="45"/>
      <c r="GK15" s="46"/>
      <c r="GM15" s="24">
        <v>2</v>
      </c>
      <c r="GN15" s="6" t="s">
        <v>20</v>
      </c>
      <c r="GO15" s="44"/>
      <c r="GP15" s="45"/>
      <c r="GQ15" s="45"/>
      <c r="GR15" s="45"/>
      <c r="GS15" s="45"/>
      <c r="GT15" s="45"/>
      <c r="GU15" s="46"/>
      <c r="GW15" s="24">
        <v>2</v>
      </c>
      <c r="GX15" s="6" t="s">
        <v>20</v>
      </c>
      <c r="GY15" s="44"/>
      <c r="GZ15" s="45"/>
      <c r="HA15" s="45"/>
      <c r="HB15" s="45"/>
      <c r="HC15" s="45"/>
      <c r="HD15" s="45"/>
      <c r="HE15" s="46"/>
      <c r="HG15" s="24">
        <v>3</v>
      </c>
      <c r="HH15" s="6" t="s">
        <v>20</v>
      </c>
      <c r="HI15" s="44"/>
      <c r="HJ15" s="45"/>
      <c r="HK15" s="45"/>
      <c r="HL15" s="45"/>
      <c r="HM15" s="45"/>
      <c r="HN15" s="45"/>
      <c r="HO15" s="46"/>
      <c r="HQ15" s="24">
        <v>3</v>
      </c>
      <c r="HR15" s="6" t="s">
        <v>20</v>
      </c>
      <c r="HS15" s="44"/>
      <c r="HT15" s="45"/>
      <c r="HU15" s="45"/>
      <c r="HV15" s="45"/>
      <c r="HW15" s="45"/>
      <c r="HX15" s="45"/>
      <c r="HY15" s="46"/>
      <c r="IA15" s="24">
        <v>2</v>
      </c>
      <c r="IB15" s="6" t="s">
        <v>20</v>
      </c>
      <c r="IC15" s="44"/>
      <c r="ID15" s="45"/>
      <c r="IE15" s="45"/>
      <c r="IF15" s="45"/>
      <c r="IG15" s="45"/>
      <c r="IH15" s="45"/>
      <c r="II15" s="46"/>
      <c r="IK15" s="24">
        <v>2</v>
      </c>
      <c r="IL15" s="6" t="s">
        <v>20</v>
      </c>
      <c r="IM15" s="44"/>
      <c r="IN15" s="45"/>
      <c r="IO15" s="45"/>
      <c r="IP15" s="45"/>
      <c r="IQ15" s="45"/>
      <c r="IR15" s="45"/>
      <c r="IS15" s="46"/>
      <c r="IU15" s="24">
        <v>1</v>
      </c>
      <c r="IV15" s="6" t="s">
        <v>20</v>
      </c>
      <c r="IW15" s="44"/>
      <c r="IX15" s="45"/>
      <c r="IY15" s="45"/>
      <c r="IZ15" s="45"/>
      <c r="JA15" s="45"/>
      <c r="JB15" s="45"/>
      <c r="JC15" s="46"/>
      <c r="JE15" s="24">
        <v>3</v>
      </c>
      <c r="JF15" s="6" t="s">
        <v>20</v>
      </c>
      <c r="JG15" s="44"/>
      <c r="JH15" s="45"/>
      <c r="JI15" s="45"/>
      <c r="JJ15" s="45"/>
      <c r="JK15" s="45"/>
      <c r="JL15" s="45"/>
      <c r="JM15" s="46"/>
      <c r="JO15" s="24">
        <v>1</v>
      </c>
      <c r="JP15" s="6" t="s">
        <v>20</v>
      </c>
      <c r="JQ15" s="44"/>
      <c r="JR15" s="45"/>
      <c r="JS15" s="45"/>
      <c r="JT15" s="45"/>
      <c r="JU15" s="45"/>
      <c r="JV15" s="45"/>
      <c r="JW15" s="46"/>
      <c r="JY15" s="24">
        <v>2</v>
      </c>
      <c r="JZ15" s="6" t="s">
        <v>20</v>
      </c>
      <c r="KA15" s="44"/>
      <c r="KB15" s="45"/>
      <c r="KC15" s="45"/>
      <c r="KD15" s="45"/>
      <c r="KE15" s="45"/>
      <c r="KF15" s="45"/>
      <c r="KG15" s="46"/>
      <c r="KI15" s="24">
        <v>5</v>
      </c>
      <c r="KJ15" s="6" t="s">
        <v>20</v>
      </c>
      <c r="KK15" s="44"/>
      <c r="KL15" s="45"/>
      <c r="KM15" s="45"/>
      <c r="KN15" s="45"/>
      <c r="KO15" s="45"/>
      <c r="KP15" s="45"/>
      <c r="KQ15" s="46"/>
      <c r="KS15" s="24">
        <v>5</v>
      </c>
      <c r="KT15" s="6" t="s">
        <v>20</v>
      </c>
      <c r="KU15" s="44"/>
      <c r="KV15" s="45"/>
      <c r="KW15" s="45"/>
      <c r="KX15" s="45"/>
      <c r="KY15" s="45"/>
      <c r="KZ15" s="45"/>
      <c r="LA15" s="46"/>
      <c r="LC15" s="24">
        <v>4</v>
      </c>
      <c r="LD15" s="6" t="s">
        <v>20</v>
      </c>
      <c r="LE15" s="44"/>
      <c r="LF15" s="45"/>
      <c r="LG15" s="45"/>
      <c r="LH15" s="45"/>
      <c r="LI15" s="45"/>
      <c r="LJ15" s="45"/>
      <c r="LK15" s="46"/>
      <c r="LM15" s="24">
        <v>4</v>
      </c>
      <c r="LN15" s="6" t="s">
        <v>20</v>
      </c>
      <c r="LO15" s="44"/>
      <c r="LP15" s="45"/>
      <c r="LQ15" s="45"/>
      <c r="LR15" s="45"/>
      <c r="LS15" s="45"/>
      <c r="LT15" s="45"/>
      <c r="LU15" s="46"/>
      <c r="LW15" s="24">
        <v>2</v>
      </c>
      <c r="LX15" s="6" t="s">
        <v>20</v>
      </c>
      <c r="LY15" s="44"/>
      <c r="LZ15" s="45"/>
      <c r="MA15" s="45"/>
      <c r="MB15" s="45"/>
      <c r="MC15" s="45"/>
      <c r="MD15" s="45"/>
      <c r="ME15" s="46"/>
      <c r="MG15" s="24">
        <v>4</v>
      </c>
      <c r="MH15" s="6" t="s">
        <v>20</v>
      </c>
      <c r="MI15" s="44"/>
      <c r="MJ15" s="45"/>
      <c r="MK15" s="45"/>
      <c r="ML15" s="45"/>
      <c r="MM15" s="45"/>
      <c r="MN15" s="45"/>
      <c r="MO15" s="46"/>
      <c r="MQ15" s="2">
        <v>2</v>
      </c>
      <c r="MR15" s="6" t="s">
        <v>20</v>
      </c>
      <c r="MS15" s="44"/>
      <c r="MT15" s="45"/>
      <c r="MU15" s="45"/>
      <c r="MV15" s="45"/>
      <c r="MW15" s="45"/>
      <c r="MX15" s="45"/>
      <c r="MY15" s="46"/>
      <c r="NA15" s="24">
        <v>3</v>
      </c>
      <c r="NB15" s="6" t="s">
        <v>20</v>
      </c>
      <c r="NC15" s="44"/>
      <c r="ND15" s="45"/>
      <c r="NE15" s="45"/>
      <c r="NF15" s="45"/>
      <c r="NG15" s="45"/>
      <c r="NH15" s="45"/>
      <c r="NI15" s="46"/>
      <c r="NK15" s="24">
        <v>4</v>
      </c>
      <c r="NL15" s="6" t="s">
        <v>20</v>
      </c>
      <c r="NM15" s="44"/>
      <c r="NN15" s="45"/>
      <c r="NO15" s="45"/>
      <c r="NP15" s="45"/>
      <c r="NQ15" s="45"/>
      <c r="NR15" s="45"/>
      <c r="NS15" s="46"/>
      <c r="NU15" s="24">
        <v>5</v>
      </c>
      <c r="NV15" s="6" t="s">
        <v>20</v>
      </c>
      <c r="NW15" s="44"/>
      <c r="NX15" s="45"/>
      <c r="NY15" s="45"/>
      <c r="NZ15" s="45"/>
      <c r="OA15" s="45"/>
      <c r="OB15" s="45"/>
      <c r="OC15" s="46"/>
      <c r="OE15" s="2">
        <v>6</v>
      </c>
      <c r="OF15" s="6" t="s">
        <v>20</v>
      </c>
      <c r="OG15" s="44"/>
      <c r="OH15" s="45"/>
      <c r="OI15" s="45"/>
      <c r="OJ15" s="45"/>
      <c r="OK15" s="45"/>
      <c r="OL15" s="45"/>
      <c r="OM15" s="46"/>
      <c r="OO15" s="24">
        <v>7</v>
      </c>
      <c r="OP15" s="6" t="s">
        <v>20</v>
      </c>
      <c r="OQ15" s="44"/>
      <c r="OR15" s="45"/>
      <c r="OS15" s="45"/>
      <c r="OT15" s="45"/>
      <c r="OU15" s="45"/>
      <c r="OV15" s="45"/>
      <c r="OW15" s="46"/>
      <c r="OY15" s="24">
        <v>4</v>
      </c>
      <c r="OZ15" s="6" t="s">
        <v>20</v>
      </c>
      <c r="PA15" s="44"/>
      <c r="PB15" s="45"/>
      <c r="PC15" s="45"/>
      <c r="PD15" s="45"/>
      <c r="PE15" s="45"/>
      <c r="PF15" s="45"/>
      <c r="PG15" s="46"/>
      <c r="PI15" s="24">
        <v>5</v>
      </c>
      <c r="PJ15" s="6" t="s">
        <v>20</v>
      </c>
      <c r="PK15" s="44"/>
      <c r="PL15" s="45"/>
      <c r="PM15" s="45"/>
      <c r="PN15" s="45"/>
      <c r="PO15" s="45"/>
      <c r="PP15" s="45"/>
      <c r="PQ15" s="46"/>
      <c r="PS15" s="2">
        <v>3</v>
      </c>
      <c r="PT15" s="6" t="s">
        <v>20</v>
      </c>
      <c r="PU15" s="44"/>
      <c r="PV15" s="45"/>
      <c r="PW15" s="45"/>
      <c r="PX15" s="45"/>
      <c r="PY15" s="45"/>
      <c r="PZ15" s="45"/>
      <c r="QA15" s="46"/>
      <c r="QC15" s="24">
        <v>4</v>
      </c>
      <c r="QD15" s="6" t="s">
        <v>20</v>
      </c>
      <c r="QE15" s="44"/>
      <c r="QF15" s="45"/>
      <c r="QG15" s="45"/>
      <c r="QH15" s="45"/>
      <c r="QI15" s="45"/>
      <c r="QJ15" s="45"/>
      <c r="QK15" s="46"/>
      <c r="QM15" s="24">
        <v>3</v>
      </c>
      <c r="QN15" s="6" t="s">
        <v>20</v>
      </c>
      <c r="QO15" s="44"/>
      <c r="QP15" s="45"/>
      <c r="QQ15" s="45"/>
      <c r="QR15" s="45"/>
      <c r="QS15" s="45"/>
      <c r="QT15" s="45"/>
      <c r="QU15" s="46"/>
      <c r="QW15" s="24">
        <v>4</v>
      </c>
      <c r="QX15" s="6" t="s">
        <v>20</v>
      </c>
      <c r="QY15" s="44"/>
      <c r="QZ15" s="45"/>
      <c r="RA15" s="45"/>
      <c r="RB15" s="45"/>
      <c r="RC15" s="45"/>
      <c r="RD15" s="45"/>
      <c r="RE15" s="46"/>
      <c r="RG15" s="24">
        <v>4</v>
      </c>
      <c r="RH15" s="6" t="s">
        <v>20</v>
      </c>
      <c r="RI15" s="44"/>
      <c r="RJ15" s="45"/>
      <c r="RK15" s="45"/>
      <c r="RL15" s="45"/>
      <c r="RM15" s="45"/>
      <c r="RN15" s="45"/>
      <c r="RO15" s="46"/>
      <c r="RQ15" s="24">
        <v>4</v>
      </c>
      <c r="RR15" s="6" t="s">
        <v>20</v>
      </c>
      <c r="RS15" s="44"/>
      <c r="RT15" s="45"/>
      <c r="RU15" s="45"/>
      <c r="RV15" s="45"/>
      <c r="RW15" s="45"/>
      <c r="RX15" s="45"/>
      <c r="RY15" s="46"/>
      <c r="SA15" s="2">
        <v>4</v>
      </c>
      <c r="SB15" s="6" t="s">
        <v>20</v>
      </c>
      <c r="SC15" s="44"/>
      <c r="SD15" s="45"/>
      <c r="SE15" s="45"/>
      <c r="SF15" s="45"/>
      <c r="SG15" s="45"/>
      <c r="SH15" s="45"/>
      <c r="SI15" s="46"/>
      <c r="SK15" s="24">
        <v>6</v>
      </c>
      <c r="SL15" s="6" t="s">
        <v>20</v>
      </c>
      <c r="SM15" s="44"/>
      <c r="SN15" s="45"/>
      <c r="SO15" s="45"/>
      <c r="SP15" s="45"/>
      <c r="SQ15" s="45"/>
      <c r="SR15" s="45"/>
      <c r="SS15" s="46"/>
      <c r="SU15" s="24">
        <v>4</v>
      </c>
      <c r="SV15" s="6" t="s">
        <v>20</v>
      </c>
      <c r="SW15" s="44"/>
      <c r="SX15" s="45"/>
      <c r="SY15" s="45"/>
      <c r="SZ15" s="45"/>
      <c r="TA15" s="45"/>
      <c r="TB15" s="45"/>
      <c r="TC15" s="46"/>
      <c r="TE15" s="24">
        <v>4</v>
      </c>
      <c r="TF15" s="6" t="s">
        <v>20</v>
      </c>
      <c r="TG15" s="44"/>
      <c r="TH15" s="45"/>
      <c r="TI15" s="45"/>
      <c r="TJ15" s="45"/>
      <c r="TK15" s="45"/>
      <c r="TL15" s="45"/>
      <c r="TM15" s="46"/>
      <c r="TO15" s="24">
        <v>2</v>
      </c>
      <c r="TP15" s="6" t="s">
        <v>20</v>
      </c>
      <c r="TQ15" s="44"/>
      <c r="TR15" s="45"/>
      <c r="TS15" s="45"/>
      <c r="TT15" s="45"/>
      <c r="TU15" s="45"/>
      <c r="TV15" s="45"/>
      <c r="TW15" s="46"/>
      <c r="TY15" s="24">
        <v>3</v>
      </c>
      <c r="TZ15" s="6" t="s">
        <v>20</v>
      </c>
      <c r="UA15" s="44"/>
      <c r="UB15" s="45"/>
      <c r="UC15" s="45"/>
      <c r="UD15" s="45"/>
      <c r="UE15" s="45"/>
      <c r="UF15" s="45"/>
      <c r="UG15" s="46"/>
      <c r="UI15" s="2">
        <v>3</v>
      </c>
      <c r="UJ15" s="6" t="s">
        <v>20</v>
      </c>
      <c r="UK15" s="44"/>
      <c r="UL15" s="45"/>
      <c r="UM15" s="45"/>
      <c r="UN15" s="45"/>
      <c r="UO15" s="45"/>
      <c r="UP15" s="45"/>
      <c r="UQ15" s="46"/>
      <c r="US15" s="24">
        <v>5</v>
      </c>
      <c r="UT15" s="6" t="s">
        <v>20</v>
      </c>
      <c r="UU15" s="44"/>
      <c r="UV15" s="45"/>
      <c r="UW15" s="45"/>
      <c r="UX15" s="45"/>
      <c r="UY15" s="45"/>
      <c r="UZ15" s="45"/>
      <c r="VA15" s="46"/>
      <c r="VC15" s="2">
        <v>1</v>
      </c>
      <c r="VD15" s="6" t="s">
        <v>20</v>
      </c>
      <c r="VE15" s="44"/>
      <c r="VF15" s="45"/>
      <c r="VG15" s="45"/>
      <c r="VH15" s="45"/>
      <c r="VI15" s="45"/>
      <c r="VJ15" s="45"/>
      <c r="VK15" s="46"/>
      <c r="VM15" s="24">
        <v>1</v>
      </c>
      <c r="VN15" s="6" t="s">
        <v>20</v>
      </c>
      <c r="VO15" s="44"/>
      <c r="VP15" s="45"/>
      <c r="VQ15" s="45"/>
      <c r="VR15" s="45"/>
      <c r="VS15" s="45"/>
      <c r="VT15" s="45"/>
      <c r="VU15" s="46"/>
      <c r="VW15" s="2">
        <v>0</v>
      </c>
      <c r="VX15" s="6" t="s">
        <v>20</v>
      </c>
      <c r="VY15" s="44"/>
      <c r="VZ15" s="45"/>
      <c r="WA15" s="45"/>
      <c r="WB15" s="45"/>
      <c r="WC15" s="45"/>
      <c r="WD15" s="45"/>
      <c r="WE15" s="46"/>
      <c r="WG15" s="2">
        <v>1</v>
      </c>
      <c r="WH15" s="6" t="s">
        <v>20</v>
      </c>
      <c r="WI15" s="44"/>
      <c r="WJ15" s="45"/>
      <c r="WK15" s="45"/>
      <c r="WL15" s="45"/>
      <c r="WM15" s="45"/>
      <c r="WN15" s="45"/>
      <c r="WO15" s="46"/>
      <c r="WQ15" s="2">
        <v>3</v>
      </c>
      <c r="WR15" s="6" t="s">
        <v>20</v>
      </c>
      <c r="WS15" s="44"/>
      <c r="WT15" s="45"/>
      <c r="WU15" s="45"/>
      <c r="WV15" s="45"/>
      <c r="WW15" s="45"/>
      <c r="WX15" s="45"/>
      <c r="WY15" s="46"/>
      <c r="XA15" s="24">
        <v>5</v>
      </c>
      <c r="XB15" s="6" t="s">
        <v>20</v>
      </c>
      <c r="XC15" s="44"/>
      <c r="XD15" s="45"/>
      <c r="XE15" s="45"/>
      <c r="XF15" s="45"/>
      <c r="XG15" s="45"/>
      <c r="XH15" s="45"/>
      <c r="XI15" s="46"/>
      <c r="XK15" s="24">
        <v>0</v>
      </c>
      <c r="XL15" s="6" t="s">
        <v>20</v>
      </c>
      <c r="XM15" s="44"/>
      <c r="XN15" s="45"/>
      <c r="XO15" s="45"/>
      <c r="XP15" s="45"/>
      <c r="XQ15" s="45"/>
      <c r="XR15" s="45"/>
      <c r="XS15" s="46"/>
      <c r="XU15" s="24">
        <v>1</v>
      </c>
      <c r="XV15" s="6" t="s">
        <v>20</v>
      </c>
      <c r="XW15" s="44"/>
      <c r="XX15" s="45"/>
      <c r="XY15" s="45"/>
      <c r="XZ15" s="45"/>
      <c r="YA15" s="45"/>
      <c r="YB15" s="45"/>
      <c r="YC15" s="46"/>
      <c r="YE15" s="24">
        <v>0</v>
      </c>
      <c r="YF15" s="6" t="s">
        <v>20</v>
      </c>
      <c r="YG15" s="44"/>
      <c r="YH15" s="45"/>
      <c r="YI15" s="45"/>
      <c r="YJ15" s="45"/>
      <c r="YK15" s="45"/>
      <c r="YL15" s="45"/>
      <c r="YM15" s="46"/>
      <c r="YO15" s="24">
        <v>1</v>
      </c>
      <c r="YP15" s="6" t="s">
        <v>20</v>
      </c>
      <c r="YQ15" s="44"/>
      <c r="YR15" s="45"/>
      <c r="YS15" s="45"/>
      <c r="YT15" s="45"/>
      <c r="YU15" s="45"/>
      <c r="YV15" s="45"/>
      <c r="YW15" s="46"/>
      <c r="YY15" s="24">
        <v>1</v>
      </c>
      <c r="YZ15" s="6" t="s">
        <v>20</v>
      </c>
      <c r="ZA15" s="44"/>
      <c r="ZB15" s="45"/>
      <c r="ZC15" s="45"/>
      <c r="ZD15" s="45"/>
      <c r="ZE15" s="45"/>
      <c r="ZF15" s="45"/>
      <c r="ZG15" s="46"/>
      <c r="ZI15" s="24">
        <v>4</v>
      </c>
      <c r="ZJ15" s="6" t="s">
        <v>20</v>
      </c>
      <c r="ZK15" s="44"/>
      <c r="ZL15" s="45"/>
      <c r="ZM15" s="45"/>
      <c r="ZN15" s="45"/>
      <c r="ZO15" s="45"/>
      <c r="ZP15" s="45"/>
      <c r="ZQ15" s="46"/>
      <c r="ZS15" s="24">
        <v>4</v>
      </c>
      <c r="ZT15" s="6" t="s">
        <v>20</v>
      </c>
      <c r="ZU15" s="44"/>
      <c r="ZV15" s="45"/>
      <c r="ZW15" s="45"/>
      <c r="ZX15" s="45"/>
      <c r="ZY15" s="45"/>
      <c r="ZZ15" s="45"/>
      <c r="AAA15" s="46"/>
      <c r="AAC15" s="24">
        <v>0</v>
      </c>
      <c r="AAD15" s="6" t="s">
        <v>20</v>
      </c>
      <c r="AAE15" s="44"/>
      <c r="AAF15" s="45"/>
      <c r="AAG15" s="45"/>
      <c r="AAH15" s="45"/>
      <c r="AAI15" s="45"/>
      <c r="AAJ15" s="45"/>
      <c r="AAK15" s="46"/>
      <c r="AAM15" s="2">
        <v>2</v>
      </c>
      <c r="AAN15" s="6" t="s">
        <v>20</v>
      </c>
      <c r="AAO15" s="44"/>
      <c r="AAP15" s="45"/>
      <c r="AAQ15" s="45"/>
      <c r="AAR15" s="45"/>
      <c r="AAS15" s="45"/>
      <c r="AAT15" s="45"/>
      <c r="AAU15" s="46"/>
      <c r="AAW15" s="2">
        <v>3</v>
      </c>
      <c r="AAX15" s="6" t="s">
        <v>20</v>
      </c>
      <c r="AAY15" s="44"/>
      <c r="AAZ15" s="45"/>
      <c r="ABA15" s="45"/>
      <c r="ABB15" s="45"/>
      <c r="ABC15" s="45"/>
      <c r="ABD15" s="45"/>
      <c r="ABE15" s="46"/>
      <c r="ABG15" s="24">
        <v>0</v>
      </c>
      <c r="ABH15" s="6" t="s">
        <v>20</v>
      </c>
      <c r="ABI15" s="44"/>
      <c r="ABJ15" s="45"/>
      <c r="ABK15" s="45"/>
      <c r="ABL15" s="45"/>
      <c r="ABM15" s="45"/>
      <c r="ABN15" s="45"/>
      <c r="ABO15" s="46"/>
      <c r="ABQ15" s="2">
        <v>1</v>
      </c>
      <c r="ABR15" s="6" t="s">
        <v>20</v>
      </c>
      <c r="ABS15" s="44"/>
      <c r="ABT15" s="45"/>
      <c r="ABU15" s="45"/>
      <c r="ABV15" s="45"/>
      <c r="ABW15" s="45"/>
      <c r="ABX15" s="45"/>
      <c r="ABY15" s="46"/>
      <c r="ACA15" s="24">
        <v>0</v>
      </c>
      <c r="ACB15" s="6" t="s">
        <v>20</v>
      </c>
      <c r="ACC15" s="44"/>
      <c r="ACD15" s="45"/>
      <c r="ACE15" s="45"/>
      <c r="ACF15" s="45"/>
      <c r="ACG15" s="45"/>
      <c r="ACH15" s="45"/>
      <c r="ACI15" s="46"/>
      <c r="ACK15" s="24">
        <v>1</v>
      </c>
      <c r="ACL15" s="6" t="s">
        <v>20</v>
      </c>
      <c r="ACM15" s="44"/>
      <c r="ACN15" s="45"/>
      <c r="ACO15" s="45"/>
      <c r="ACP15" s="45"/>
      <c r="ACQ15" s="45"/>
      <c r="ACR15" s="45"/>
      <c r="ACS15" s="46"/>
      <c r="ACU15" s="24">
        <v>2</v>
      </c>
      <c r="ACV15" s="6" t="s">
        <v>20</v>
      </c>
      <c r="ACW15" s="44"/>
      <c r="ACX15" s="45"/>
      <c r="ACY15" s="45"/>
      <c r="ACZ15" s="45"/>
      <c r="ADA15" s="45"/>
      <c r="ADB15" s="45"/>
      <c r="ADC15" s="46"/>
      <c r="ADE15" s="24">
        <v>3</v>
      </c>
      <c r="ADF15" s="6" t="s">
        <v>20</v>
      </c>
      <c r="ADG15" s="44"/>
      <c r="ADH15" s="45"/>
      <c r="ADI15" s="45"/>
      <c r="ADJ15" s="45"/>
      <c r="ADK15" s="45"/>
      <c r="ADL15" s="45"/>
      <c r="ADM15" s="46"/>
      <c r="ADO15" s="24">
        <v>1</v>
      </c>
      <c r="ADP15" s="6" t="s">
        <v>20</v>
      </c>
      <c r="ADQ15" s="44"/>
      <c r="ADR15" s="45"/>
      <c r="ADS15" s="45"/>
      <c r="ADT15" s="45"/>
      <c r="ADU15" s="45"/>
      <c r="ADV15" s="45"/>
      <c r="ADW15" s="46"/>
      <c r="ADY15" s="24">
        <v>1</v>
      </c>
      <c r="ADZ15" s="6" t="s">
        <v>20</v>
      </c>
      <c r="AEA15" s="44"/>
      <c r="AEB15" s="45"/>
      <c r="AEC15" s="45"/>
      <c r="AED15" s="45"/>
      <c r="AEE15" s="45"/>
      <c r="AEF15" s="45"/>
      <c r="AEG15" s="46"/>
      <c r="AEI15" s="2">
        <v>3</v>
      </c>
      <c r="AEJ15" s="6" t="s">
        <v>20</v>
      </c>
      <c r="AEK15" s="44"/>
      <c r="AEL15" s="45"/>
      <c r="AEM15" s="45"/>
      <c r="AEN15" s="45"/>
      <c r="AEO15" s="45"/>
      <c r="AEP15" s="45"/>
      <c r="AEQ15" s="46"/>
      <c r="AES15" s="24">
        <v>3</v>
      </c>
      <c r="AET15" s="6" t="s">
        <v>20</v>
      </c>
      <c r="AEU15" s="44"/>
      <c r="AEV15" s="45"/>
      <c r="AEW15" s="45"/>
      <c r="AEX15" s="45"/>
      <c r="AEY15" s="45"/>
      <c r="AEZ15" s="45"/>
      <c r="AFA15" s="46"/>
      <c r="AFC15" s="2">
        <v>1</v>
      </c>
      <c r="AFD15" s="6" t="s">
        <v>20</v>
      </c>
      <c r="AFE15" s="44"/>
      <c r="AFF15" s="45"/>
      <c r="AFG15" s="45"/>
      <c r="AFH15" s="45"/>
      <c r="AFI15" s="45"/>
      <c r="AFJ15" s="45"/>
      <c r="AFK15" s="46"/>
      <c r="AFM15" s="2">
        <v>1</v>
      </c>
      <c r="AFN15" s="6" t="s">
        <v>20</v>
      </c>
      <c r="AFO15" s="44"/>
      <c r="AFP15" s="45"/>
      <c r="AFQ15" s="45"/>
      <c r="AFR15" s="45"/>
      <c r="AFS15" s="45"/>
      <c r="AFT15" s="45"/>
      <c r="AFU15" s="46"/>
      <c r="AFW15" s="24">
        <v>0</v>
      </c>
      <c r="AFX15" s="6" t="s">
        <v>20</v>
      </c>
      <c r="AFY15" s="44"/>
      <c r="AFZ15" s="45"/>
      <c r="AGA15" s="45"/>
      <c r="AGB15" s="45"/>
      <c r="AGC15" s="45"/>
      <c r="AGD15" s="45"/>
      <c r="AGE15" s="46"/>
      <c r="AGG15" s="24">
        <v>3</v>
      </c>
      <c r="AGH15" s="6" t="s">
        <v>20</v>
      </c>
      <c r="AGI15" s="44"/>
      <c r="AGJ15" s="45"/>
      <c r="AGK15" s="45"/>
      <c r="AGL15" s="45"/>
      <c r="AGM15" s="45"/>
      <c r="AGN15" s="45"/>
      <c r="AGO15" s="46"/>
      <c r="AGQ15" s="24">
        <v>3</v>
      </c>
      <c r="AGR15" s="6" t="s">
        <v>20</v>
      </c>
      <c r="AGS15" s="44"/>
      <c r="AGT15" s="45"/>
      <c r="AGU15" s="45"/>
      <c r="AGV15" s="45"/>
      <c r="AGW15" s="45"/>
      <c r="AGX15" s="45"/>
      <c r="AGY15" s="46"/>
      <c r="AHA15" s="24">
        <v>4</v>
      </c>
      <c r="AHB15" s="6" t="s">
        <v>20</v>
      </c>
      <c r="AHC15" s="44"/>
      <c r="AHD15" s="45"/>
      <c r="AHE15" s="45"/>
      <c r="AHF15" s="45"/>
      <c r="AHG15" s="45"/>
      <c r="AHH15" s="45"/>
      <c r="AHI15" s="46"/>
      <c r="AHK15" s="2">
        <v>0</v>
      </c>
      <c r="AHL15" s="6" t="s">
        <v>20</v>
      </c>
      <c r="AHM15" s="44"/>
      <c r="AHN15" s="45"/>
      <c r="AHO15" s="45"/>
      <c r="AHP15" s="45"/>
      <c r="AHQ15" s="45"/>
      <c r="AHR15" s="45"/>
      <c r="AHS15" s="46"/>
      <c r="AHU15" s="2">
        <v>0</v>
      </c>
      <c r="AHV15" s="6" t="s">
        <v>20</v>
      </c>
      <c r="AHW15" s="44"/>
      <c r="AHX15" s="45"/>
      <c r="AHY15" s="45"/>
      <c r="AHZ15" s="45"/>
      <c r="AIA15" s="45"/>
      <c r="AIB15" s="45"/>
      <c r="AIC15" s="46"/>
      <c r="AIE15" s="24">
        <v>0</v>
      </c>
      <c r="AIF15" s="6" t="s">
        <v>20</v>
      </c>
      <c r="AIG15" s="44"/>
      <c r="AIH15" s="45"/>
      <c r="AII15" s="45"/>
      <c r="AIJ15" s="45"/>
      <c r="AIK15" s="45"/>
      <c r="AIL15" s="45"/>
      <c r="AIM15" s="46"/>
      <c r="AIO15" s="24">
        <v>0</v>
      </c>
      <c r="AIP15" s="6" t="s">
        <v>20</v>
      </c>
      <c r="AIQ15" s="44"/>
      <c r="AIR15" s="45"/>
      <c r="AIS15" s="45"/>
      <c r="AIT15" s="45"/>
      <c r="AIU15" s="45"/>
      <c r="AIV15" s="45"/>
      <c r="AIW15" s="46"/>
      <c r="AIY15" s="24">
        <v>0</v>
      </c>
      <c r="AIZ15" s="6" t="s">
        <v>20</v>
      </c>
      <c r="AJA15" s="44"/>
      <c r="AJB15" s="45"/>
      <c r="AJC15" s="45"/>
      <c r="AJD15" s="45"/>
      <c r="AJE15" s="45"/>
      <c r="AJF15" s="45"/>
      <c r="AJG15" s="46"/>
      <c r="AJI15" s="2">
        <v>3</v>
      </c>
      <c r="AJJ15" s="6" t="s">
        <v>20</v>
      </c>
      <c r="AJK15" s="44"/>
      <c r="AJL15" s="45"/>
      <c r="AJM15" s="45"/>
      <c r="AJN15" s="45"/>
      <c r="AJO15" s="45"/>
      <c r="AJP15" s="45"/>
      <c r="AJQ15" s="46"/>
      <c r="AJS15" s="24">
        <v>1</v>
      </c>
      <c r="AJT15" s="6" t="s">
        <v>20</v>
      </c>
      <c r="AJU15" s="44"/>
      <c r="AJV15" s="45"/>
      <c r="AJW15" s="45"/>
      <c r="AJX15" s="45"/>
      <c r="AJY15" s="45"/>
      <c r="AJZ15" s="45"/>
      <c r="AKA15" s="46"/>
      <c r="AKC15" s="2">
        <v>2</v>
      </c>
      <c r="AKD15" s="6" t="s">
        <v>20</v>
      </c>
      <c r="AKE15" s="44"/>
      <c r="AKF15" s="45"/>
      <c r="AKG15" s="45"/>
      <c r="AKH15" s="45"/>
      <c r="AKI15" s="45"/>
      <c r="AKJ15" s="45"/>
      <c r="AKK15" s="46"/>
      <c r="AKM15" s="24">
        <v>1</v>
      </c>
      <c r="AKN15" s="6" t="s">
        <v>20</v>
      </c>
      <c r="AKO15" s="44"/>
      <c r="AKP15" s="45"/>
      <c r="AKQ15" s="45"/>
      <c r="AKR15" s="45"/>
      <c r="AKS15" s="45"/>
      <c r="AKT15" s="45"/>
      <c r="AKU15" s="46"/>
      <c r="AKW15" s="2">
        <v>1</v>
      </c>
      <c r="AKX15" s="6" t="s">
        <v>20</v>
      </c>
      <c r="AKY15" s="44"/>
      <c r="AKZ15" s="45"/>
      <c r="ALA15" s="45"/>
      <c r="ALB15" s="45"/>
      <c r="ALC15" s="45"/>
      <c r="ALD15" s="45"/>
      <c r="ALE15" s="46"/>
      <c r="ALG15" s="2">
        <v>0</v>
      </c>
      <c r="ALH15" s="6" t="s">
        <v>20</v>
      </c>
      <c r="ALI15" s="44"/>
      <c r="ALJ15" s="45"/>
      <c r="ALK15" s="45"/>
      <c r="ALL15" s="45"/>
      <c r="ALM15" s="45"/>
      <c r="ALN15" s="45"/>
      <c r="ALO15" s="46"/>
      <c r="ALQ15" s="24">
        <v>0</v>
      </c>
      <c r="ALR15" s="6" t="s">
        <v>20</v>
      </c>
      <c r="ALS15" s="44"/>
      <c r="ALT15" s="45"/>
      <c r="ALU15" s="45"/>
      <c r="ALV15" s="45"/>
      <c r="ALW15" s="45"/>
      <c r="ALX15" s="45"/>
      <c r="ALY15" s="46"/>
      <c r="AMA15" s="24">
        <v>1</v>
      </c>
      <c r="AMB15" s="6" t="s">
        <v>20</v>
      </c>
      <c r="AMC15" s="44"/>
      <c r="AMD15" s="45"/>
      <c r="AME15" s="45"/>
      <c r="AMF15" s="45"/>
      <c r="AMG15" s="45"/>
      <c r="AMH15" s="45"/>
      <c r="AMI15" s="46"/>
      <c r="AMK15" s="24">
        <v>1</v>
      </c>
      <c r="AML15" s="6" t="s">
        <v>20</v>
      </c>
      <c r="AMM15" s="44"/>
      <c r="AMN15" s="45"/>
      <c r="AMO15" s="45"/>
      <c r="AMP15" s="45"/>
      <c r="AMQ15" s="45"/>
      <c r="AMR15" s="45"/>
      <c r="AMS15" s="46"/>
      <c r="AMU15" s="2">
        <v>0</v>
      </c>
      <c r="AMV15" s="6" t="s">
        <v>20</v>
      </c>
      <c r="AMW15" s="44"/>
      <c r="AMX15" s="45"/>
      <c r="AMY15" s="45"/>
      <c r="AMZ15" s="45"/>
      <c r="ANA15" s="45"/>
      <c r="ANB15" s="45"/>
      <c r="ANC15" s="46"/>
      <c r="ANE15" s="2">
        <v>1</v>
      </c>
      <c r="ANF15" s="6" t="s">
        <v>20</v>
      </c>
      <c r="ANG15" s="44"/>
      <c r="ANH15" s="45"/>
      <c r="ANI15" s="45"/>
      <c r="ANJ15" s="45"/>
      <c r="ANK15" s="45"/>
      <c r="ANL15" s="45"/>
      <c r="ANM15" s="46"/>
      <c r="ANO15" s="24">
        <v>1</v>
      </c>
      <c r="ANP15" s="6" t="s">
        <v>20</v>
      </c>
      <c r="ANQ15" s="44"/>
      <c r="ANR15" s="45"/>
      <c r="ANS15" s="45"/>
      <c r="ANT15" s="45"/>
      <c r="ANU15" s="45"/>
      <c r="ANV15" s="45"/>
      <c r="ANW15" s="46"/>
      <c r="ANY15" s="24">
        <v>1</v>
      </c>
      <c r="ANZ15" s="6" t="s">
        <v>20</v>
      </c>
      <c r="AOA15" s="44"/>
      <c r="AOB15" s="45"/>
      <c r="AOC15" s="45"/>
      <c r="AOD15" s="45"/>
      <c r="AOE15" s="45"/>
      <c r="AOF15" s="45"/>
      <c r="AOG15" s="46"/>
      <c r="AOI15" s="24">
        <v>0</v>
      </c>
      <c r="AOJ15" s="6" t="s">
        <v>20</v>
      </c>
      <c r="AOK15" s="44"/>
      <c r="AOL15" s="45"/>
      <c r="AOM15" s="45"/>
      <c r="AON15" s="45"/>
      <c r="AOO15" s="45"/>
      <c r="AOP15" s="45"/>
      <c r="AOQ15" s="46"/>
      <c r="AOS15" s="2"/>
      <c r="AOT15" s="6" t="s">
        <v>20</v>
      </c>
      <c r="AOU15" s="44"/>
      <c r="AOV15" s="45"/>
      <c r="AOW15" s="45"/>
      <c r="AOX15" s="45"/>
      <c r="AOY15" s="45"/>
      <c r="AOZ15" s="45"/>
      <c r="APA15" s="46"/>
    </row>
    <row r="16" spans="1:1093" ht="11.25" x14ac:dyDescent="0.2">
      <c r="B16" s="15"/>
      <c r="C16" s="8"/>
      <c r="E16" s="18"/>
      <c r="F16" s="17"/>
      <c r="G16" s="18"/>
      <c r="H16" s="17"/>
      <c r="J16" s="18"/>
      <c r="K16" s="19"/>
      <c r="M16" s="19"/>
      <c r="O16" s="18"/>
      <c r="P16" s="17"/>
      <c r="Q16" s="18"/>
      <c r="R16" s="17"/>
      <c r="T16" s="18"/>
      <c r="U16" s="19"/>
      <c r="W16" s="19"/>
      <c r="Y16" s="18"/>
      <c r="Z16" s="17"/>
      <c r="AA16" s="18"/>
      <c r="AB16" s="17"/>
      <c r="AD16" s="18"/>
      <c r="AE16" s="19"/>
      <c r="AG16" s="19"/>
      <c r="AI16" s="18"/>
      <c r="AJ16" s="17"/>
      <c r="AK16" s="18"/>
      <c r="AL16" s="17"/>
      <c r="AN16" s="18"/>
      <c r="AO16" s="19"/>
      <c r="AQ16" s="19"/>
      <c r="AS16" s="18"/>
      <c r="AT16" s="17"/>
      <c r="AU16" s="18"/>
      <c r="AV16" s="17"/>
      <c r="AX16" s="18"/>
      <c r="AY16" s="19"/>
      <c r="BA16" s="19"/>
      <c r="BC16" s="16"/>
      <c r="BD16" s="17"/>
      <c r="BE16" s="16"/>
      <c r="BF16" s="17"/>
      <c r="BH16" s="18"/>
      <c r="BI16" s="19"/>
      <c r="BK16" s="19"/>
      <c r="BM16" s="16"/>
      <c r="BN16" s="17"/>
      <c r="BO16" s="16"/>
      <c r="BP16" s="17"/>
      <c r="BR16" s="18"/>
      <c r="BS16" s="19"/>
      <c r="BU16" s="19"/>
      <c r="BW16" s="18"/>
      <c r="BX16" s="17"/>
      <c r="BY16" s="18"/>
      <c r="BZ16" s="17"/>
      <c r="CB16" s="18"/>
      <c r="CC16" s="19"/>
      <c r="CE16" s="19"/>
      <c r="CG16" s="18"/>
      <c r="CH16" s="17"/>
      <c r="CI16" s="18"/>
      <c r="CJ16" s="17"/>
      <c r="CL16" s="18"/>
      <c r="CM16" s="19"/>
      <c r="CO16" s="19"/>
      <c r="CQ16" s="18"/>
      <c r="CR16" s="17"/>
      <c r="CS16" s="18"/>
      <c r="CT16" s="17"/>
      <c r="CV16" s="18"/>
      <c r="CW16" s="19"/>
      <c r="CY16" s="19"/>
      <c r="DA16" s="18">
        <v>90</v>
      </c>
      <c r="DB16" s="17"/>
      <c r="DC16" s="18"/>
      <c r="DD16" s="17"/>
      <c r="DF16" s="18"/>
      <c r="DG16" s="19"/>
      <c r="DI16" s="19"/>
      <c r="DK16" s="18"/>
      <c r="DL16" s="17"/>
      <c r="DM16" s="18"/>
      <c r="DN16" s="17"/>
      <c r="DP16" s="18"/>
      <c r="DQ16" s="19"/>
      <c r="DS16" s="19"/>
      <c r="DU16" s="18"/>
      <c r="DV16" s="17"/>
      <c r="DW16" s="18"/>
      <c r="DX16" s="17"/>
      <c r="DZ16" s="18"/>
      <c r="EA16" s="19"/>
      <c r="EC16" s="19"/>
      <c r="EE16" s="18"/>
      <c r="EF16" s="17"/>
      <c r="EG16" s="18"/>
      <c r="EH16" s="17"/>
      <c r="EJ16" s="18"/>
      <c r="EK16" s="19"/>
      <c r="EM16" s="19"/>
      <c r="EO16" s="18"/>
      <c r="EP16" s="17"/>
      <c r="EQ16" s="18"/>
      <c r="ER16" s="17"/>
      <c r="ET16" s="18"/>
      <c r="EU16" s="19"/>
      <c r="EW16" s="19"/>
      <c r="EY16" s="18"/>
      <c r="EZ16" s="17"/>
      <c r="FA16" s="18"/>
      <c r="FB16" s="17"/>
      <c r="FD16" s="18"/>
      <c r="FE16" s="19"/>
      <c r="FG16" s="19"/>
      <c r="FI16" s="18"/>
      <c r="FJ16" s="17"/>
      <c r="FK16" s="18"/>
      <c r="FL16" s="17"/>
      <c r="FN16" s="18"/>
      <c r="FO16" s="19"/>
      <c r="FQ16" s="19"/>
      <c r="FS16" s="18"/>
      <c r="FT16" s="17"/>
      <c r="FU16" s="18"/>
      <c r="FV16" s="17"/>
      <c r="FX16" s="18"/>
      <c r="FY16" s="19"/>
      <c r="GA16" s="19"/>
      <c r="GC16" s="18"/>
      <c r="GD16" s="17"/>
      <c r="GE16" s="18"/>
      <c r="GF16" s="17"/>
      <c r="GH16" s="18"/>
      <c r="GI16" s="19"/>
      <c r="GK16" s="19"/>
      <c r="GM16" s="18"/>
      <c r="GN16" s="17"/>
      <c r="GO16" s="18"/>
      <c r="GP16" s="17"/>
      <c r="GR16" s="18"/>
      <c r="GS16" s="19"/>
      <c r="GU16" s="19"/>
      <c r="GW16" s="18"/>
      <c r="GX16" s="17"/>
      <c r="GY16" s="18"/>
      <c r="GZ16" s="17"/>
      <c r="HB16" s="18"/>
      <c r="HC16" s="19"/>
      <c r="HE16" s="19"/>
      <c r="HG16" s="18"/>
      <c r="HH16" s="17"/>
      <c r="HI16" s="18"/>
      <c r="HJ16" s="17"/>
      <c r="HL16" s="18"/>
      <c r="HM16" s="19"/>
      <c r="HO16" s="19"/>
      <c r="HQ16" s="18"/>
      <c r="HR16" s="17"/>
      <c r="HS16" s="18"/>
      <c r="HT16" s="17"/>
      <c r="HV16" s="18"/>
      <c r="HW16" s="19"/>
      <c r="HY16" s="19"/>
      <c r="IA16" s="18"/>
      <c r="IB16" s="17"/>
      <c r="IC16" s="18"/>
      <c r="ID16" s="17"/>
      <c r="IF16" s="18"/>
      <c r="IG16" s="19"/>
      <c r="II16" s="19"/>
      <c r="IK16" s="18"/>
      <c r="IL16" s="17"/>
      <c r="IM16" s="18"/>
      <c r="IN16" s="17"/>
      <c r="IP16" s="18"/>
      <c r="IQ16" s="19"/>
      <c r="IS16" s="19"/>
      <c r="IU16" s="18"/>
      <c r="IV16" s="17"/>
      <c r="IW16" s="18"/>
      <c r="IX16" s="17"/>
      <c r="IZ16" s="18"/>
      <c r="JA16" s="19"/>
      <c r="JC16" s="19"/>
      <c r="JE16" s="18"/>
      <c r="JF16" s="17"/>
      <c r="JG16" s="18"/>
      <c r="JH16" s="17"/>
      <c r="JJ16" s="18"/>
      <c r="JK16" s="19"/>
      <c r="JM16" s="19"/>
      <c r="JO16" s="18"/>
      <c r="JP16" s="17"/>
      <c r="JQ16" s="18"/>
      <c r="JR16" s="17"/>
      <c r="JT16" s="18"/>
      <c r="JU16" s="19"/>
      <c r="JW16" s="19"/>
      <c r="JY16" s="18"/>
      <c r="JZ16" s="17"/>
      <c r="KA16" s="18"/>
      <c r="KB16" s="17"/>
      <c r="KD16" s="18"/>
      <c r="KE16" s="19"/>
      <c r="KG16" s="19"/>
      <c r="KI16" s="18"/>
      <c r="KJ16" s="17"/>
      <c r="KK16" s="18"/>
      <c r="KL16" s="17"/>
      <c r="KN16" s="18"/>
      <c r="KO16" s="19"/>
      <c r="KQ16" s="19"/>
      <c r="KS16" s="18"/>
      <c r="KT16" s="17"/>
      <c r="KU16" s="18"/>
      <c r="KV16" s="17"/>
      <c r="KX16" s="18"/>
      <c r="KY16" s="19"/>
      <c r="LA16" s="19"/>
      <c r="LC16" s="18"/>
      <c r="LD16" s="17"/>
      <c r="LE16" s="18"/>
      <c r="LF16" s="17"/>
      <c r="LH16" s="18"/>
      <c r="LI16" s="19"/>
      <c r="LK16" s="19"/>
      <c r="LM16" s="18"/>
      <c r="LN16" s="17"/>
      <c r="LO16" s="18"/>
      <c r="LP16" s="17"/>
      <c r="LR16" s="18"/>
      <c r="LS16" s="19"/>
      <c r="LU16" s="19"/>
      <c r="LW16" s="18"/>
      <c r="LX16" s="17"/>
      <c r="LY16" s="18"/>
      <c r="LZ16" s="17"/>
      <c r="MB16" s="18"/>
      <c r="MC16" s="19"/>
      <c r="ME16" s="19"/>
      <c r="MG16" s="18"/>
      <c r="MH16" s="17"/>
      <c r="MI16" s="18"/>
      <c r="MJ16" s="17"/>
      <c r="ML16" s="18"/>
      <c r="MM16" s="19"/>
      <c r="MO16" s="19"/>
      <c r="MQ16" s="16"/>
      <c r="MR16" s="17"/>
      <c r="MS16" s="16"/>
      <c r="MT16" s="17"/>
      <c r="MV16" s="18"/>
      <c r="MW16" s="19"/>
      <c r="MY16" s="19"/>
      <c r="NA16" s="18"/>
      <c r="NB16" s="17"/>
      <c r="NC16" s="18"/>
      <c r="ND16" s="17"/>
      <c r="NF16" s="18"/>
      <c r="NG16" s="19"/>
      <c r="NI16" s="19"/>
      <c r="NK16" s="18"/>
      <c r="NL16" s="17"/>
      <c r="NM16" s="18"/>
      <c r="NN16" s="17"/>
      <c r="NP16" s="18"/>
      <c r="NQ16" s="19"/>
      <c r="NS16" s="19"/>
      <c r="NU16" s="18"/>
      <c r="NV16" s="17"/>
      <c r="NW16" s="18"/>
      <c r="NX16" s="17"/>
      <c r="NZ16" s="18"/>
      <c r="OA16" s="19"/>
      <c r="OC16" s="19"/>
      <c r="OE16" s="16"/>
      <c r="OF16" s="17"/>
      <c r="OG16" s="16"/>
      <c r="OH16" s="17"/>
      <c r="OJ16" s="18"/>
      <c r="OK16" s="19"/>
      <c r="OM16" s="19"/>
      <c r="OO16" s="18"/>
      <c r="OP16" s="17"/>
      <c r="OQ16" s="18"/>
      <c r="OR16" s="17"/>
      <c r="OT16" s="18"/>
      <c r="OU16" s="19"/>
      <c r="OW16" s="19"/>
      <c r="OY16" s="18"/>
      <c r="OZ16" s="17"/>
      <c r="PA16" s="18"/>
      <c r="PB16" s="17"/>
      <c r="PD16" s="18"/>
      <c r="PE16" s="19"/>
      <c r="PG16" s="19"/>
      <c r="PI16" s="18"/>
      <c r="PJ16" s="17"/>
      <c r="PK16" s="18"/>
      <c r="PL16" s="17"/>
      <c r="PN16" s="18"/>
      <c r="PO16" s="19"/>
      <c r="PQ16" s="19"/>
      <c r="PR16" s="21"/>
      <c r="PS16" s="16"/>
      <c r="PT16" s="17"/>
      <c r="PU16" s="16"/>
      <c r="PV16" s="17"/>
      <c r="PX16" s="18"/>
      <c r="PY16" s="19"/>
      <c r="QA16" s="19"/>
      <c r="QB16" s="21"/>
      <c r="QC16" s="18"/>
      <c r="QD16" s="17"/>
      <c r="QE16" s="18"/>
      <c r="QF16" s="17"/>
      <c r="QH16" s="18"/>
      <c r="QI16" s="19"/>
      <c r="QK16" s="19"/>
      <c r="QL16" s="21"/>
      <c r="QM16" s="18"/>
      <c r="QN16" s="17"/>
      <c r="QO16" s="18"/>
      <c r="QP16" s="17"/>
      <c r="QR16" s="18"/>
      <c r="QS16" s="19"/>
      <c r="QU16" s="19"/>
      <c r="QV16" s="21"/>
      <c r="QW16" s="18"/>
      <c r="QX16" s="17"/>
      <c r="QY16" s="18"/>
      <c r="QZ16" s="17"/>
      <c r="RB16" s="18"/>
      <c r="RC16" s="19"/>
      <c r="RE16" s="19"/>
      <c r="RF16" s="21"/>
      <c r="RG16" s="18"/>
      <c r="RH16" s="17"/>
      <c r="RI16" s="18"/>
      <c r="RJ16" s="17"/>
      <c r="RL16" s="18"/>
      <c r="RM16" s="19"/>
      <c r="RO16" s="19"/>
      <c r="RP16" s="21"/>
      <c r="RQ16" s="18"/>
      <c r="RR16" s="17"/>
      <c r="RS16" s="18"/>
      <c r="RT16" s="17"/>
      <c r="RV16" s="18"/>
      <c r="RW16" s="19"/>
      <c r="RY16" s="19"/>
      <c r="RZ16" s="21"/>
      <c r="SA16" s="16"/>
      <c r="SB16" s="17"/>
      <c r="SC16" s="16"/>
      <c r="SD16" s="17"/>
      <c r="SF16" s="18"/>
      <c r="SG16" s="19"/>
      <c r="SI16" s="19"/>
      <c r="SJ16" s="21"/>
      <c r="SK16" s="18"/>
      <c r="SL16" s="17"/>
      <c r="SM16" s="18"/>
      <c r="SN16" s="17"/>
      <c r="SP16" s="18"/>
      <c r="SQ16" s="19"/>
      <c r="SS16" s="19"/>
      <c r="ST16" s="21"/>
      <c r="SU16" s="18"/>
      <c r="SV16" s="17"/>
      <c r="SW16" s="18"/>
      <c r="SX16" s="17"/>
      <c r="SZ16" s="18"/>
      <c r="TA16" s="19"/>
      <c r="TC16" s="19"/>
      <c r="TD16" s="21"/>
      <c r="TE16" s="18"/>
      <c r="TF16" s="17"/>
      <c r="TG16" s="18"/>
      <c r="TH16" s="17"/>
      <c r="TJ16" s="18"/>
      <c r="TK16" s="19"/>
      <c r="TM16" s="19"/>
      <c r="TN16" s="21"/>
      <c r="TO16" s="18"/>
      <c r="TP16" s="17"/>
      <c r="TQ16" s="18"/>
      <c r="TR16" s="17"/>
      <c r="TT16" s="18"/>
      <c r="TU16" s="19"/>
      <c r="TW16" s="19"/>
      <c r="TX16" s="21"/>
      <c r="TY16" s="18"/>
      <c r="TZ16" s="17"/>
      <c r="UA16" s="18"/>
      <c r="UB16" s="17"/>
      <c r="UD16" s="18"/>
      <c r="UE16" s="19"/>
      <c r="UG16" s="19"/>
      <c r="UH16" s="21"/>
      <c r="UI16" s="16"/>
      <c r="UJ16" s="17"/>
      <c r="UK16" s="16"/>
      <c r="UL16" s="17"/>
      <c r="UN16" s="18"/>
      <c r="UO16" s="19"/>
      <c r="UQ16" s="19"/>
      <c r="UR16" s="21"/>
      <c r="US16" s="18"/>
      <c r="UT16" s="17"/>
      <c r="UU16" s="18"/>
      <c r="UV16" s="17"/>
      <c r="UX16" s="18"/>
      <c r="UY16" s="19"/>
      <c r="VA16" s="19"/>
      <c r="VB16" s="21"/>
      <c r="VC16" s="16"/>
      <c r="VD16" s="17"/>
      <c r="VE16" s="16"/>
      <c r="VF16" s="17"/>
      <c r="VH16" s="18"/>
      <c r="VI16" s="19"/>
      <c r="VK16" s="19"/>
      <c r="VL16" s="21"/>
      <c r="VM16" s="18"/>
      <c r="VN16" s="17"/>
      <c r="VO16" s="18"/>
      <c r="VP16" s="17"/>
      <c r="VR16" s="18"/>
      <c r="VS16" s="19"/>
      <c r="VU16" s="19"/>
      <c r="VV16" s="21"/>
      <c r="VW16" s="16"/>
      <c r="VX16" s="17"/>
      <c r="VY16" s="16"/>
      <c r="VZ16" s="17"/>
      <c r="WB16" s="18"/>
      <c r="WC16" s="19"/>
      <c r="WE16" s="19"/>
      <c r="WF16" s="21"/>
      <c r="WG16" s="16"/>
      <c r="WH16" s="17"/>
      <c r="WI16" s="16"/>
      <c r="WJ16" s="17"/>
      <c r="WL16" s="18"/>
      <c r="WM16" s="19"/>
      <c r="WO16" s="19"/>
      <c r="WP16" s="21"/>
      <c r="WQ16" s="16"/>
      <c r="WR16" s="17"/>
      <c r="WS16" s="16"/>
      <c r="WT16" s="17"/>
      <c r="WV16" s="18"/>
      <c r="WW16" s="19"/>
      <c r="WY16" s="19"/>
      <c r="WZ16" s="21"/>
      <c r="XA16" s="18"/>
      <c r="XB16" s="17"/>
      <c r="XC16" s="18"/>
      <c r="XD16" s="17"/>
      <c r="XF16" s="18"/>
      <c r="XG16" s="19"/>
      <c r="XI16" s="19"/>
      <c r="XJ16" s="21"/>
      <c r="XK16" s="18"/>
      <c r="XL16" s="17"/>
      <c r="XM16" s="18"/>
      <c r="XN16" s="17"/>
      <c r="XP16" s="18"/>
      <c r="XQ16" s="19"/>
      <c r="XS16" s="19"/>
      <c r="XT16" s="21"/>
      <c r="XU16" s="18"/>
      <c r="XV16" s="17"/>
      <c r="XW16" s="18"/>
      <c r="XX16" s="17"/>
      <c r="XZ16" s="18"/>
      <c r="YA16" s="19"/>
      <c r="YC16" s="19"/>
      <c r="YD16" s="21"/>
      <c r="YE16" s="18"/>
      <c r="YF16" s="17"/>
      <c r="YG16" s="18"/>
      <c r="YH16" s="17"/>
      <c r="YJ16" s="18"/>
      <c r="YK16" s="19"/>
      <c r="YM16" s="19"/>
      <c r="YN16" s="21"/>
      <c r="YO16" s="18"/>
      <c r="YP16" s="17"/>
      <c r="YQ16" s="18"/>
      <c r="YR16" s="17"/>
      <c r="YT16" s="18"/>
      <c r="YU16" s="19"/>
      <c r="YW16" s="19"/>
      <c r="YX16" s="21"/>
      <c r="YY16" s="18"/>
      <c r="YZ16" s="17"/>
      <c r="ZA16" s="18"/>
      <c r="ZB16" s="17"/>
      <c r="ZD16" s="18"/>
      <c r="ZE16" s="19"/>
      <c r="ZG16" s="19"/>
      <c r="ZH16" s="21"/>
      <c r="ZI16" s="18"/>
      <c r="ZJ16" s="17"/>
      <c r="ZK16" s="18"/>
      <c r="ZL16" s="17"/>
      <c r="ZN16" s="18"/>
      <c r="ZO16" s="19"/>
      <c r="ZQ16" s="19"/>
      <c r="ZR16" s="21"/>
      <c r="ZS16" s="18"/>
      <c r="ZT16" s="17"/>
      <c r="ZU16" s="18"/>
      <c r="ZV16" s="17"/>
      <c r="ZX16" s="18"/>
      <c r="ZY16" s="19"/>
      <c r="AAA16" s="19"/>
      <c r="AAB16" s="21"/>
      <c r="AAC16" s="18"/>
      <c r="AAD16" s="17"/>
      <c r="AAE16" s="18"/>
      <c r="AAF16" s="17"/>
      <c r="AAH16" s="18"/>
      <c r="AAI16" s="19"/>
      <c r="AAK16" s="19"/>
      <c r="AAL16" s="21"/>
      <c r="AAM16" s="16"/>
      <c r="AAN16" s="17"/>
      <c r="AAO16" s="16"/>
      <c r="AAP16" s="17"/>
      <c r="AAR16" s="18"/>
      <c r="AAS16" s="19"/>
      <c r="AAU16" s="19"/>
      <c r="AAV16" s="21"/>
      <c r="AAW16" s="16"/>
      <c r="AAX16" s="17"/>
      <c r="AAY16" s="16"/>
      <c r="AAZ16" s="17"/>
      <c r="ABB16" s="18"/>
      <c r="ABC16" s="19"/>
      <c r="ABE16" s="19"/>
      <c r="ABF16" s="21"/>
      <c r="ABG16" s="18"/>
      <c r="ABH16" s="17"/>
      <c r="ABI16" s="18"/>
      <c r="ABJ16" s="17"/>
      <c r="ABL16" s="18"/>
      <c r="ABM16" s="19"/>
      <c r="ABO16" s="19"/>
      <c r="ABP16" s="21"/>
      <c r="ABQ16" s="16"/>
      <c r="ABR16" s="17"/>
      <c r="ABS16" s="16"/>
      <c r="ABT16" s="17"/>
      <c r="ABV16" s="18"/>
      <c r="ABW16" s="19"/>
      <c r="ABY16" s="19"/>
      <c r="ABZ16" s="21"/>
      <c r="ACA16" s="18"/>
      <c r="ACB16" s="17"/>
      <c r="ACC16" s="18"/>
      <c r="ACD16" s="17"/>
      <c r="ACF16" s="18"/>
      <c r="ACG16" s="19"/>
      <c r="ACI16" s="19"/>
      <c r="ACJ16" s="21"/>
      <c r="ACK16" s="18"/>
      <c r="ACL16" s="17"/>
      <c r="ACM16" s="18"/>
      <c r="ACN16" s="17"/>
      <c r="ACP16" s="18"/>
      <c r="ACQ16" s="19"/>
      <c r="ACS16" s="19"/>
      <c r="ACT16" s="21"/>
      <c r="ACU16" s="18"/>
      <c r="ACV16" s="17"/>
      <c r="ACW16" s="18"/>
      <c r="ACX16" s="17"/>
      <c r="ACZ16" s="18"/>
      <c r="ADA16" s="19"/>
      <c r="ADC16" s="19"/>
      <c r="ADD16" s="21"/>
      <c r="ADE16" s="18"/>
      <c r="ADF16" s="17"/>
      <c r="ADG16" s="18"/>
      <c r="ADH16" s="17"/>
      <c r="ADJ16" s="18"/>
      <c r="ADK16" s="19"/>
      <c r="ADM16" s="19"/>
      <c r="ADN16" s="21"/>
      <c r="ADO16" s="18"/>
      <c r="ADP16" s="17"/>
      <c r="ADQ16" s="18"/>
      <c r="ADR16" s="17"/>
      <c r="ADT16" s="18"/>
      <c r="ADU16" s="19"/>
      <c r="ADW16" s="19"/>
      <c r="ADX16" s="21"/>
      <c r="ADY16" s="18"/>
      <c r="ADZ16" s="17"/>
      <c r="AEA16" s="18"/>
      <c r="AEB16" s="17"/>
      <c r="AED16" s="18"/>
      <c r="AEE16" s="19"/>
      <c r="AEG16" s="19"/>
      <c r="AEH16" s="21"/>
      <c r="AEI16" s="16"/>
      <c r="AEJ16" s="17"/>
      <c r="AEK16" s="16"/>
      <c r="AEL16" s="17"/>
      <c r="AEN16" s="18"/>
      <c r="AEO16" s="19"/>
      <c r="AEQ16" s="19"/>
      <c r="AER16" s="21"/>
      <c r="AES16" s="18"/>
      <c r="AET16" s="17"/>
      <c r="AEU16" s="18"/>
      <c r="AEV16" s="17"/>
      <c r="AEX16" s="18"/>
      <c r="AEY16" s="19"/>
      <c r="AFA16" s="19"/>
      <c r="AFB16" s="21"/>
      <c r="AFC16" s="16"/>
      <c r="AFD16" s="17"/>
      <c r="AFE16" s="16"/>
      <c r="AFF16" s="17"/>
      <c r="AFH16" s="18"/>
      <c r="AFI16" s="19"/>
      <c r="AFK16" s="19"/>
      <c r="AFL16" s="21"/>
      <c r="AFM16" s="16"/>
      <c r="AFN16" s="17"/>
      <c r="AFO16" s="16"/>
      <c r="AFP16" s="17"/>
      <c r="AFR16" s="18"/>
      <c r="AFS16" s="19"/>
      <c r="AFU16" s="19"/>
      <c r="AFV16" s="21"/>
      <c r="AFW16" s="18"/>
      <c r="AFX16" s="17"/>
      <c r="AFY16" s="18"/>
      <c r="AFZ16" s="17"/>
      <c r="AGB16" s="18"/>
      <c r="AGC16" s="19"/>
      <c r="AGE16" s="19"/>
      <c r="AGF16" s="21"/>
      <c r="AGG16" s="18"/>
      <c r="AGH16" s="17"/>
      <c r="AGI16" s="18"/>
      <c r="AGJ16" s="17"/>
      <c r="AGL16" s="18"/>
      <c r="AGM16" s="19"/>
      <c r="AGO16" s="19"/>
      <c r="AGP16" s="21"/>
      <c r="AGQ16" s="18"/>
      <c r="AGR16" s="17"/>
      <c r="AGS16" s="18"/>
      <c r="AGT16" s="17"/>
      <c r="AGV16" s="18"/>
      <c r="AGW16" s="19"/>
      <c r="AGY16" s="19"/>
      <c r="AGZ16" s="21"/>
      <c r="AHA16" s="18"/>
      <c r="AHB16" s="17"/>
      <c r="AHC16" s="18"/>
      <c r="AHD16" s="17"/>
      <c r="AHF16" s="18"/>
      <c r="AHG16" s="19"/>
      <c r="AHI16" s="19"/>
      <c r="AHJ16" s="21"/>
      <c r="AHK16" s="16"/>
      <c r="AHL16" s="17"/>
      <c r="AHM16" s="16"/>
      <c r="AHN16" s="17"/>
      <c r="AHP16" s="18"/>
      <c r="AHQ16" s="19"/>
      <c r="AHS16" s="19"/>
      <c r="AHT16" s="21"/>
      <c r="AHU16" s="16"/>
      <c r="AHV16" s="17"/>
      <c r="AHW16" s="16"/>
      <c r="AHX16" s="17"/>
      <c r="AHZ16" s="18"/>
      <c r="AIA16" s="19"/>
      <c r="AIC16" s="19"/>
      <c r="AID16" s="21"/>
      <c r="AIE16" s="18"/>
      <c r="AIF16" s="17"/>
      <c r="AIG16" s="18"/>
      <c r="AIH16" s="17"/>
      <c r="AIJ16" s="18"/>
      <c r="AIK16" s="19"/>
      <c r="AIM16" s="19"/>
      <c r="AIN16" s="21"/>
      <c r="AIO16" s="18"/>
      <c r="AIP16" s="17"/>
      <c r="AIQ16" s="18"/>
      <c r="AIR16" s="17"/>
      <c r="AIT16" s="18"/>
      <c r="AIU16" s="19"/>
      <c r="AIW16" s="19"/>
      <c r="AIX16" s="21"/>
      <c r="AIY16" s="18"/>
      <c r="AIZ16" s="17"/>
      <c r="AJA16" s="18"/>
      <c r="AJB16" s="17"/>
      <c r="AJD16" s="18"/>
      <c r="AJE16" s="19"/>
      <c r="AJG16" s="19"/>
      <c r="AJH16" s="21"/>
      <c r="AJI16" s="16"/>
      <c r="AJJ16" s="17"/>
      <c r="AJK16" s="16"/>
      <c r="AJL16" s="17"/>
      <c r="AJN16" s="18"/>
      <c r="AJO16" s="19"/>
      <c r="AJQ16" s="19"/>
      <c r="AJR16" s="21"/>
      <c r="AJS16" s="18"/>
      <c r="AJT16" s="17"/>
      <c r="AJU16" s="18"/>
      <c r="AJV16" s="17"/>
      <c r="AJX16" s="18"/>
      <c r="AJY16" s="19"/>
      <c r="AKA16" s="19"/>
      <c r="AKB16" s="21"/>
      <c r="AKC16" s="16"/>
      <c r="AKD16" s="17"/>
      <c r="AKE16" s="16"/>
      <c r="AKF16" s="17"/>
      <c r="AKH16" s="18"/>
      <c r="AKI16" s="19"/>
      <c r="AKK16" s="19"/>
      <c r="AKL16" s="21"/>
      <c r="AKM16" s="18"/>
      <c r="AKN16" s="17"/>
      <c r="AKO16" s="18"/>
      <c r="AKP16" s="17"/>
      <c r="AKR16" s="18"/>
      <c r="AKS16" s="19"/>
      <c r="AKU16" s="19"/>
      <c r="AKV16" s="21"/>
      <c r="AKW16" s="16"/>
      <c r="AKX16" s="17"/>
      <c r="AKY16" s="16"/>
      <c r="AKZ16" s="17"/>
      <c r="ALB16" s="18"/>
      <c r="ALC16" s="19"/>
      <c r="ALE16" s="19"/>
      <c r="ALF16" s="21"/>
      <c r="ALG16" s="16"/>
      <c r="ALH16" s="17"/>
      <c r="ALI16" s="16"/>
      <c r="ALJ16" s="17"/>
      <c r="ALL16" s="18"/>
      <c r="ALM16" s="19"/>
      <c r="ALO16" s="19"/>
      <c r="ALP16" s="21"/>
      <c r="ALQ16" s="18"/>
      <c r="ALR16" s="17"/>
      <c r="ALS16" s="18"/>
      <c r="ALT16" s="17"/>
      <c r="ALV16" s="18"/>
      <c r="ALW16" s="19"/>
      <c r="ALY16" s="19"/>
      <c r="ALZ16" s="21"/>
      <c r="AMA16" s="18"/>
      <c r="AMB16" s="17"/>
      <c r="AMC16" s="18"/>
      <c r="AMD16" s="17"/>
      <c r="AMF16" s="18"/>
      <c r="AMG16" s="19"/>
      <c r="AMI16" s="19"/>
      <c r="AMJ16" s="21"/>
      <c r="AMK16" s="18"/>
      <c r="AML16" s="17"/>
      <c r="AMM16" s="18"/>
      <c r="AMN16" s="17"/>
      <c r="AMP16" s="18"/>
      <c r="AMQ16" s="19"/>
      <c r="AMS16" s="19"/>
      <c r="AMT16" s="21"/>
      <c r="AMU16" s="16"/>
      <c r="AMV16" s="17"/>
      <c r="AMW16" s="16"/>
      <c r="AMX16" s="17"/>
      <c r="AMZ16" s="18"/>
      <c r="ANA16" s="19"/>
      <c r="ANC16" s="19"/>
      <c r="AND16" s="21"/>
      <c r="ANE16" s="16"/>
      <c r="ANF16" s="17"/>
      <c r="ANG16" s="16"/>
      <c r="ANH16" s="17"/>
      <c r="ANJ16" s="18"/>
      <c r="ANK16" s="19"/>
      <c r="ANM16" s="19"/>
      <c r="ANN16" s="21"/>
      <c r="ANO16" s="18"/>
      <c r="ANP16" s="17"/>
      <c r="ANQ16" s="18"/>
      <c r="ANR16" s="17"/>
      <c r="ANT16" s="18"/>
      <c r="ANU16" s="19"/>
      <c r="ANW16" s="19"/>
      <c r="ANX16" s="21"/>
      <c r="ANY16" s="18"/>
      <c r="ANZ16" s="17"/>
      <c r="AOA16" s="18"/>
      <c r="AOB16" s="17"/>
      <c r="AOD16" s="18"/>
      <c r="AOE16" s="19"/>
      <c r="AOG16" s="19"/>
      <c r="AOH16" s="21"/>
      <c r="AOI16" s="18"/>
      <c r="AOJ16" s="17"/>
      <c r="AOK16" s="18"/>
      <c r="AOL16" s="17"/>
      <c r="AON16" s="18"/>
      <c r="AOO16" s="19"/>
      <c r="AOQ16" s="19"/>
      <c r="AOR16" s="21"/>
      <c r="AOS16" s="16"/>
      <c r="AOT16" s="17"/>
      <c r="AOU16" s="16"/>
      <c r="AOV16" s="17"/>
      <c r="AOX16" s="18"/>
      <c r="AOY16" s="19"/>
      <c r="APA16" s="19"/>
    </row>
    <row r="17" spans="1:1093" s="21" customFormat="1" ht="9" customHeight="1" x14ac:dyDescent="0.2">
      <c r="A17" s="20" t="s">
        <v>35</v>
      </c>
      <c r="B17" s="4" t="s">
        <v>9</v>
      </c>
      <c r="C17" s="4" t="s">
        <v>10</v>
      </c>
      <c r="E17" s="39" t="s">
        <v>36</v>
      </c>
      <c r="F17" s="40"/>
      <c r="G17" s="47" t="s">
        <v>37</v>
      </c>
      <c r="H17" s="48"/>
      <c r="I17" s="48"/>
      <c r="J17" s="48"/>
      <c r="K17" s="48"/>
      <c r="L17" s="48"/>
      <c r="M17" s="49"/>
      <c r="O17" s="39" t="s">
        <v>36</v>
      </c>
      <c r="P17" s="40"/>
      <c r="Q17" s="47" t="s">
        <v>37</v>
      </c>
      <c r="R17" s="48"/>
      <c r="S17" s="48"/>
      <c r="T17" s="48"/>
      <c r="U17" s="48"/>
      <c r="V17" s="48"/>
      <c r="W17" s="49"/>
      <c r="Y17" s="39" t="s">
        <v>36</v>
      </c>
      <c r="Z17" s="40"/>
      <c r="AA17" s="47" t="s">
        <v>37</v>
      </c>
      <c r="AB17" s="48"/>
      <c r="AC17" s="48"/>
      <c r="AD17" s="48"/>
      <c r="AE17" s="48"/>
      <c r="AF17" s="48"/>
      <c r="AG17" s="49"/>
      <c r="AI17" s="39" t="s">
        <v>36</v>
      </c>
      <c r="AJ17" s="40"/>
      <c r="AK17" s="47" t="s">
        <v>37</v>
      </c>
      <c r="AL17" s="48"/>
      <c r="AM17" s="48"/>
      <c r="AN17" s="48"/>
      <c r="AO17" s="48"/>
      <c r="AP17" s="48"/>
      <c r="AQ17" s="49"/>
      <c r="AS17" s="39" t="s">
        <v>36</v>
      </c>
      <c r="AT17" s="40"/>
      <c r="AU17" s="47" t="s">
        <v>37</v>
      </c>
      <c r="AV17" s="48"/>
      <c r="AW17" s="48"/>
      <c r="AX17" s="48"/>
      <c r="AY17" s="48"/>
      <c r="AZ17" s="48"/>
      <c r="BA17" s="49"/>
      <c r="BC17" s="39" t="s">
        <v>36</v>
      </c>
      <c r="BD17" s="40"/>
      <c r="BE17" s="47" t="s">
        <v>37</v>
      </c>
      <c r="BF17" s="48"/>
      <c r="BG17" s="48"/>
      <c r="BH17" s="48"/>
      <c r="BI17" s="48"/>
      <c r="BJ17" s="48"/>
      <c r="BK17" s="49"/>
      <c r="BM17" s="39" t="s">
        <v>36</v>
      </c>
      <c r="BN17" s="40"/>
      <c r="BO17" s="47" t="s">
        <v>37</v>
      </c>
      <c r="BP17" s="48"/>
      <c r="BQ17" s="48"/>
      <c r="BR17" s="48"/>
      <c r="BS17" s="48"/>
      <c r="BT17" s="48"/>
      <c r="BU17" s="49"/>
      <c r="BW17" s="39" t="s">
        <v>36</v>
      </c>
      <c r="BX17" s="40"/>
      <c r="BY17" s="47" t="s">
        <v>37</v>
      </c>
      <c r="BZ17" s="48"/>
      <c r="CA17" s="48"/>
      <c r="CB17" s="48"/>
      <c r="CC17" s="48"/>
      <c r="CD17" s="48"/>
      <c r="CE17" s="49"/>
      <c r="CG17" s="39" t="s">
        <v>36</v>
      </c>
      <c r="CH17" s="40"/>
      <c r="CI17" s="47" t="s">
        <v>37</v>
      </c>
      <c r="CJ17" s="48"/>
      <c r="CK17" s="48"/>
      <c r="CL17" s="48"/>
      <c r="CM17" s="48"/>
      <c r="CN17" s="48"/>
      <c r="CO17" s="49"/>
      <c r="CQ17" s="39" t="s">
        <v>36</v>
      </c>
      <c r="CR17" s="40"/>
      <c r="CS17" s="47" t="s">
        <v>37</v>
      </c>
      <c r="CT17" s="48"/>
      <c r="CU17" s="48"/>
      <c r="CV17" s="48"/>
      <c r="CW17" s="48"/>
      <c r="CX17" s="48"/>
      <c r="CY17" s="49"/>
      <c r="DA17" s="39" t="s">
        <v>36</v>
      </c>
      <c r="DB17" s="40"/>
      <c r="DC17" s="47" t="s">
        <v>37</v>
      </c>
      <c r="DD17" s="48"/>
      <c r="DE17" s="48"/>
      <c r="DF17" s="48"/>
      <c r="DG17" s="48"/>
      <c r="DH17" s="48"/>
      <c r="DI17" s="49"/>
      <c r="DK17" s="39" t="s">
        <v>36</v>
      </c>
      <c r="DL17" s="40"/>
      <c r="DM17" s="47" t="s">
        <v>37</v>
      </c>
      <c r="DN17" s="48"/>
      <c r="DO17" s="48"/>
      <c r="DP17" s="48"/>
      <c r="DQ17" s="48"/>
      <c r="DR17" s="48"/>
      <c r="DS17" s="49"/>
      <c r="DU17" s="39" t="s">
        <v>36</v>
      </c>
      <c r="DV17" s="40"/>
      <c r="DW17" s="47" t="s">
        <v>37</v>
      </c>
      <c r="DX17" s="48"/>
      <c r="DY17" s="48"/>
      <c r="DZ17" s="48"/>
      <c r="EA17" s="48"/>
      <c r="EB17" s="48"/>
      <c r="EC17" s="49"/>
      <c r="EE17" s="39" t="s">
        <v>36</v>
      </c>
      <c r="EF17" s="40"/>
      <c r="EG17" s="47" t="s">
        <v>37</v>
      </c>
      <c r="EH17" s="48"/>
      <c r="EI17" s="48"/>
      <c r="EJ17" s="48"/>
      <c r="EK17" s="48"/>
      <c r="EL17" s="48"/>
      <c r="EM17" s="49"/>
      <c r="EO17" s="39" t="s">
        <v>36</v>
      </c>
      <c r="EP17" s="40"/>
      <c r="EQ17" s="47" t="s">
        <v>37</v>
      </c>
      <c r="ER17" s="48"/>
      <c r="ES17" s="48"/>
      <c r="ET17" s="48"/>
      <c r="EU17" s="48"/>
      <c r="EV17" s="48"/>
      <c r="EW17" s="49"/>
      <c r="EY17" s="39" t="s">
        <v>36</v>
      </c>
      <c r="EZ17" s="40"/>
      <c r="FA17" s="47" t="s">
        <v>37</v>
      </c>
      <c r="FB17" s="48"/>
      <c r="FC17" s="48"/>
      <c r="FD17" s="48"/>
      <c r="FE17" s="48"/>
      <c r="FF17" s="48"/>
      <c r="FG17" s="49"/>
      <c r="FI17" s="39" t="s">
        <v>36</v>
      </c>
      <c r="FJ17" s="40"/>
      <c r="FK17" s="47" t="s">
        <v>37</v>
      </c>
      <c r="FL17" s="48"/>
      <c r="FM17" s="48"/>
      <c r="FN17" s="48"/>
      <c r="FO17" s="48"/>
      <c r="FP17" s="48"/>
      <c r="FQ17" s="49"/>
      <c r="FS17" s="39" t="s">
        <v>36</v>
      </c>
      <c r="FT17" s="40"/>
      <c r="FU17" s="47" t="s">
        <v>37</v>
      </c>
      <c r="FV17" s="48"/>
      <c r="FW17" s="48"/>
      <c r="FX17" s="48"/>
      <c r="FY17" s="48"/>
      <c r="FZ17" s="48"/>
      <c r="GA17" s="49"/>
      <c r="GC17" s="39" t="s">
        <v>36</v>
      </c>
      <c r="GD17" s="40"/>
      <c r="GE17" s="47" t="s">
        <v>37</v>
      </c>
      <c r="GF17" s="48"/>
      <c r="GG17" s="48"/>
      <c r="GH17" s="48"/>
      <c r="GI17" s="48"/>
      <c r="GJ17" s="48"/>
      <c r="GK17" s="49"/>
      <c r="GM17" s="39" t="s">
        <v>36</v>
      </c>
      <c r="GN17" s="40"/>
      <c r="GO17" s="47" t="s">
        <v>37</v>
      </c>
      <c r="GP17" s="48"/>
      <c r="GQ17" s="48"/>
      <c r="GR17" s="48"/>
      <c r="GS17" s="48"/>
      <c r="GT17" s="48"/>
      <c r="GU17" s="49"/>
      <c r="GW17" s="39" t="s">
        <v>36</v>
      </c>
      <c r="GX17" s="40"/>
      <c r="GY17" s="47" t="s">
        <v>37</v>
      </c>
      <c r="GZ17" s="48"/>
      <c r="HA17" s="48"/>
      <c r="HB17" s="48"/>
      <c r="HC17" s="48"/>
      <c r="HD17" s="48"/>
      <c r="HE17" s="49"/>
      <c r="HG17" s="39" t="s">
        <v>36</v>
      </c>
      <c r="HH17" s="40"/>
      <c r="HI17" s="47" t="s">
        <v>37</v>
      </c>
      <c r="HJ17" s="48"/>
      <c r="HK17" s="48"/>
      <c r="HL17" s="48"/>
      <c r="HM17" s="48"/>
      <c r="HN17" s="48"/>
      <c r="HO17" s="49"/>
      <c r="HQ17" s="39" t="s">
        <v>36</v>
      </c>
      <c r="HR17" s="40"/>
      <c r="HS17" s="47" t="s">
        <v>37</v>
      </c>
      <c r="HT17" s="48"/>
      <c r="HU17" s="48"/>
      <c r="HV17" s="48"/>
      <c r="HW17" s="48"/>
      <c r="HX17" s="48"/>
      <c r="HY17" s="49"/>
      <c r="IA17" s="39" t="s">
        <v>36</v>
      </c>
      <c r="IB17" s="40"/>
      <c r="IC17" s="47" t="s">
        <v>37</v>
      </c>
      <c r="ID17" s="48"/>
      <c r="IE17" s="48"/>
      <c r="IF17" s="48"/>
      <c r="IG17" s="48"/>
      <c r="IH17" s="48"/>
      <c r="II17" s="49"/>
      <c r="IK17" s="39" t="s">
        <v>36</v>
      </c>
      <c r="IL17" s="40"/>
      <c r="IM17" s="47" t="s">
        <v>37</v>
      </c>
      <c r="IN17" s="48"/>
      <c r="IO17" s="48"/>
      <c r="IP17" s="48"/>
      <c r="IQ17" s="48"/>
      <c r="IR17" s="48"/>
      <c r="IS17" s="49"/>
      <c r="IU17" s="39" t="s">
        <v>36</v>
      </c>
      <c r="IV17" s="40"/>
      <c r="IW17" s="47" t="s">
        <v>37</v>
      </c>
      <c r="IX17" s="48"/>
      <c r="IY17" s="48"/>
      <c r="IZ17" s="48"/>
      <c r="JA17" s="48"/>
      <c r="JB17" s="48"/>
      <c r="JC17" s="49"/>
      <c r="JE17" s="39" t="s">
        <v>36</v>
      </c>
      <c r="JF17" s="40"/>
      <c r="JG17" s="47" t="s">
        <v>37</v>
      </c>
      <c r="JH17" s="48"/>
      <c r="JI17" s="48"/>
      <c r="JJ17" s="48"/>
      <c r="JK17" s="48"/>
      <c r="JL17" s="48"/>
      <c r="JM17" s="49"/>
      <c r="JO17" s="39" t="s">
        <v>36</v>
      </c>
      <c r="JP17" s="40"/>
      <c r="JQ17" s="47" t="s">
        <v>37</v>
      </c>
      <c r="JR17" s="48"/>
      <c r="JS17" s="48"/>
      <c r="JT17" s="48"/>
      <c r="JU17" s="48"/>
      <c r="JV17" s="48"/>
      <c r="JW17" s="49"/>
      <c r="JY17" s="39" t="s">
        <v>36</v>
      </c>
      <c r="JZ17" s="40"/>
      <c r="KA17" s="47" t="s">
        <v>37</v>
      </c>
      <c r="KB17" s="48"/>
      <c r="KC17" s="48"/>
      <c r="KD17" s="48"/>
      <c r="KE17" s="48"/>
      <c r="KF17" s="48"/>
      <c r="KG17" s="49"/>
      <c r="KI17" s="39" t="s">
        <v>36</v>
      </c>
      <c r="KJ17" s="40"/>
      <c r="KK17" s="47" t="s">
        <v>37</v>
      </c>
      <c r="KL17" s="48"/>
      <c r="KM17" s="48"/>
      <c r="KN17" s="48"/>
      <c r="KO17" s="48"/>
      <c r="KP17" s="48"/>
      <c r="KQ17" s="49"/>
      <c r="KS17" s="39" t="s">
        <v>36</v>
      </c>
      <c r="KT17" s="40"/>
      <c r="KU17" s="47" t="s">
        <v>37</v>
      </c>
      <c r="KV17" s="48"/>
      <c r="KW17" s="48"/>
      <c r="KX17" s="48"/>
      <c r="KY17" s="48"/>
      <c r="KZ17" s="48"/>
      <c r="LA17" s="49"/>
      <c r="LC17" s="39" t="s">
        <v>36</v>
      </c>
      <c r="LD17" s="40"/>
      <c r="LE17" s="47" t="s">
        <v>37</v>
      </c>
      <c r="LF17" s="48"/>
      <c r="LG17" s="48"/>
      <c r="LH17" s="48"/>
      <c r="LI17" s="48"/>
      <c r="LJ17" s="48"/>
      <c r="LK17" s="49"/>
      <c r="LM17" s="39" t="s">
        <v>36</v>
      </c>
      <c r="LN17" s="40"/>
      <c r="LO17" s="47" t="s">
        <v>37</v>
      </c>
      <c r="LP17" s="48"/>
      <c r="LQ17" s="48"/>
      <c r="LR17" s="48"/>
      <c r="LS17" s="48"/>
      <c r="LT17" s="48"/>
      <c r="LU17" s="49"/>
      <c r="LW17" s="39" t="s">
        <v>36</v>
      </c>
      <c r="LX17" s="40"/>
      <c r="LY17" s="47" t="s">
        <v>37</v>
      </c>
      <c r="LZ17" s="48"/>
      <c r="MA17" s="48"/>
      <c r="MB17" s="48"/>
      <c r="MC17" s="48"/>
      <c r="MD17" s="48"/>
      <c r="ME17" s="49"/>
      <c r="MG17" s="39" t="s">
        <v>36</v>
      </c>
      <c r="MH17" s="40"/>
      <c r="MI17" s="47" t="s">
        <v>37</v>
      </c>
      <c r="MJ17" s="48"/>
      <c r="MK17" s="48"/>
      <c r="ML17" s="48"/>
      <c r="MM17" s="48"/>
      <c r="MN17" s="48"/>
      <c r="MO17" s="49"/>
      <c r="MQ17" s="39" t="s">
        <v>36</v>
      </c>
      <c r="MR17" s="40"/>
      <c r="MS17" s="47" t="s">
        <v>37</v>
      </c>
      <c r="MT17" s="48"/>
      <c r="MU17" s="48"/>
      <c r="MV17" s="48"/>
      <c r="MW17" s="48"/>
      <c r="MX17" s="48"/>
      <c r="MY17" s="49"/>
      <c r="NA17" s="39" t="s">
        <v>36</v>
      </c>
      <c r="NB17" s="40"/>
      <c r="NC17" s="47" t="s">
        <v>37</v>
      </c>
      <c r="ND17" s="48"/>
      <c r="NE17" s="48"/>
      <c r="NF17" s="48"/>
      <c r="NG17" s="48"/>
      <c r="NH17" s="48"/>
      <c r="NI17" s="49"/>
      <c r="NK17" s="39" t="s">
        <v>36</v>
      </c>
      <c r="NL17" s="40"/>
      <c r="NM17" s="47" t="s">
        <v>37</v>
      </c>
      <c r="NN17" s="48"/>
      <c r="NO17" s="48"/>
      <c r="NP17" s="48"/>
      <c r="NQ17" s="48"/>
      <c r="NR17" s="48"/>
      <c r="NS17" s="49"/>
      <c r="NU17" s="39" t="s">
        <v>36</v>
      </c>
      <c r="NV17" s="40"/>
      <c r="NW17" s="47" t="s">
        <v>37</v>
      </c>
      <c r="NX17" s="48"/>
      <c r="NY17" s="48"/>
      <c r="NZ17" s="48"/>
      <c r="OA17" s="48"/>
      <c r="OB17" s="48"/>
      <c r="OC17" s="49"/>
      <c r="OE17" s="39" t="s">
        <v>36</v>
      </c>
      <c r="OF17" s="40"/>
      <c r="OG17" s="47" t="s">
        <v>37</v>
      </c>
      <c r="OH17" s="48"/>
      <c r="OI17" s="48"/>
      <c r="OJ17" s="48"/>
      <c r="OK17" s="48"/>
      <c r="OL17" s="48"/>
      <c r="OM17" s="49"/>
      <c r="OO17" s="39" t="s">
        <v>36</v>
      </c>
      <c r="OP17" s="40"/>
      <c r="OQ17" s="47" t="s">
        <v>37</v>
      </c>
      <c r="OR17" s="48"/>
      <c r="OS17" s="48"/>
      <c r="OT17" s="48"/>
      <c r="OU17" s="48"/>
      <c r="OV17" s="48"/>
      <c r="OW17" s="49"/>
      <c r="OY17" s="39" t="s">
        <v>36</v>
      </c>
      <c r="OZ17" s="40"/>
      <c r="PA17" s="47" t="s">
        <v>37</v>
      </c>
      <c r="PB17" s="48"/>
      <c r="PC17" s="48"/>
      <c r="PD17" s="48"/>
      <c r="PE17" s="48"/>
      <c r="PF17" s="48"/>
      <c r="PG17" s="49"/>
      <c r="PI17" s="39" t="s">
        <v>36</v>
      </c>
      <c r="PJ17" s="40"/>
      <c r="PK17" s="47" t="s">
        <v>37</v>
      </c>
      <c r="PL17" s="48"/>
      <c r="PM17" s="48"/>
      <c r="PN17" s="48"/>
      <c r="PO17" s="48"/>
      <c r="PP17" s="48"/>
      <c r="PQ17" s="49"/>
      <c r="PR17" s="1"/>
      <c r="PS17" s="39" t="s">
        <v>36</v>
      </c>
      <c r="PT17" s="40"/>
      <c r="PU17" s="47" t="s">
        <v>37</v>
      </c>
      <c r="PV17" s="48"/>
      <c r="PW17" s="48"/>
      <c r="PX17" s="48"/>
      <c r="PY17" s="48"/>
      <c r="PZ17" s="48"/>
      <c r="QA17" s="49"/>
      <c r="QB17" s="1"/>
      <c r="QC17" s="39" t="s">
        <v>36</v>
      </c>
      <c r="QD17" s="40"/>
      <c r="QE17" s="47" t="s">
        <v>37</v>
      </c>
      <c r="QF17" s="48"/>
      <c r="QG17" s="48"/>
      <c r="QH17" s="48"/>
      <c r="QI17" s="48"/>
      <c r="QJ17" s="48"/>
      <c r="QK17" s="49"/>
      <c r="QL17" s="1"/>
      <c r="QM17" s="39" t="s">
        <v>36</v>
      </c>
      <c r="QN17" s="40"/>
      <c r="QO17" s="47" t="s">
        <v>37</v>
      </c>
      <c r="QP17" s="48"/>
      <c r="QQ17" s="48"/>
      <c r="QR17" s="48"/>
      <c r="QS17" s="48"/>
      <c r="QT17" s="48"/>
      <c r="QU17" s="49"/>
      <c r="QV17" s="1"/>
      <c r="QW17" s="39" t="s">
        <v>36</v>
      </c>
      <c r="QX17" s="40"/>
      <c r="QY17" s="47" t="s">
        <v>37</v>
      </c>
      <c r="QZ17" s="48"/>
      <c r="RA17" s="48"/>
      <c r="RB17" s="48"/>
      <c r="RC17" s="48"/>
      <c r="RD17" s="48"/>
      <c r="RE17" s="49"/>
      <c r="RF17" s="1"/>
      <c r="RG17" s="39" t="s">
        <v>36</v>
      </c>
      <c r="RH17" s="40"/>
      <c r="RI17" s="47" t="s">
        <v>37</v>
      </c>
      <c r="RJ17" s="48"/>
      <c r="RK17" s="48"/>
      <c r="RL17" s="48"/>
      <c r="RM17" s="48"/>
      <c r="RN17" s="48"/>
      <c r="RO17" s="49"/>
      <c r="RP17" s="1"/>
      <c r="RQ17" s="39" t="s">
        <v>36</v>
      </c>
      <c r="RR17" s="40"/>
      <c r="RS17" s="47" t="s">
        <v>37</v>
      </c>
      <c r="RT17" s="48"/>
      <c r="RU17" s="48"/>
      <c r="RV17" s="48"/>
      <c r="RW17" s="48"/>
      <c r="RX17" s="48"/>
      <c r="RY17" s="49"/>
      <c r="RZ17" s="1"/>
      <c r="SA17" s="39" t="s">
        <v>36</v>
      </c>
      <c r="SB17" s="40"/>
      <c r="SC17" s="47" t="s">
        <v>37</v>
      </c>
      <c r="SD17" s="48"/>
      <c r="SE17" s="48"/>
      <c r="SF17" s="48"/>
      <c r="SG17" s="48"/>
      <c r="SH17" s="48"/>
      <c r="SI17" s="49"/>
      <c r="SJ17" s="1"/>
      <c r="SK17" s="39" t="s">
        <v>36</v>
      </c>
      <c r="SL17" s="40"/>
      <c r="SM17" s="47" t="s">
        <v>37</v>
      </c>
      <c r="SN17" s="48"/>
      <c r="SO17" s="48"/>
      <c r="SP17" s="48"/>
      <c r="SQ17" s="48"/>
      <c r="SR17" s="48"/>
      <c r="SS17" s="49"/>
      <c r="ST17" s="1"/>
      <c r="SU17" s="39" t="s">
        <v>36</v>
      </c>
      <c r="SV17" s="40"/>
      <c r="SW17" s="47" t="s">
        <v>37</v>
      </c>
      <c r="SX17" s="48"/>
      <c r="SY17" s="48"/>
      <c r="SZ17" s="48"/>
      <c r="TA17" s="48"/>
      <c r="TB17" s="48"/>
      <c r="TC17" s="49"/>
      <c r="TD17" s="1"/>
      <c r="TE17" s="39" t="s">
        <v>36</v>
      </c>
      <c r="TF17" s="40"/>
      <c r="TG17" s="47" t="s">
        <v>37</v>
      </c>
      <c r="TH17" s="48"/>
      <c r="TI17" s="48"/>
      <c r="TJ17" s="48"/>
      <c r="TK17" s="48"/>
      <c r="TL17" s="48"/>
      <c r="TM17" s="49"/>
      <c r="TN17" s="1"/>
      <c r="TO17" s="39" t="s">
        <v>36</v>
      </c>
      <c r="TP17" s="40"/>
      <c r="TQ17" s="47" t="s">
        <v>37</v>
      </c>
      <c r="TR17" s="48"/>
      <c r="TS17" s="48"/>
      <c r="TT17" s="48"/>
      <c r="TU17" s="48"/>
      <c r="TV17" s="48"/>
      <c r="TW17" s="49"/>
      <c r="TX17" s="1"/>
      <c r="TY17" s="39" t="s">
        <v>36</v>
      </c>
      <c r="TZ17" s="40"/>
      <c r="UA17" s="47" t="s">
        <v>37</v>
      </c>
      <c r="UB17" s="48"/>
      <c r="UC17" s="48"/>
      <c r="UD17" s="48"/>
      <c r="UE17" s="48"/>
      <c r="UF17" s="48"/>
      <c r="UG17" s="49"/>
      <c r="UH17" s="1"/>
      <c r="UI17" s="39" t="s">
        <v>36</v>
      </c>
      <c r="UJ17" s="40"/>
      <c r="UK17" s="47" t="s">
        <v>37</v>
      </c>
      <c r="UL17" s="48"/>
      <c r="UM17" s="48"/>
      <c r="UN17" s="48"/>
      <c r="UO17" s="48"/>
      <c r="UP17" s="48"/>
      <c r="UQ17" s="49"/>
      <c r="UR17" s="1"/>
      <c r="US17" s="39" t="s">
        <v>36</v>
      </c>
      <c r="UT17" s="40"/>
      <c r="UU17" s="47" t="s">
        <v>37</v>
      </c>
      <c r="UV17" s="48"/>
      <c r="UW17" s="48"/>
      <c r="UX17" s="48"/>
      <c r="UY17" s="48"/>
      <c r="UZ17" s="48"/>
      <c r="VA17" s="49"/>
      <c r="VB17" s="1"/>
      <c r="VC17" s="39" t="s">
        <v>36</v>
      </c>
      <c r="VD17" s="40"/>
      <c r="VE17" s="47" t="s">
        <v>37</v>
      </c>
      <c r="VF17" s="48"/>
      <c r="VG17" s="48"/>
      <c r="VH17" s="48"/>
      <c r="VI17" s="48"/>
      <c r="VJ17" s="48"/>
      <c r="VK17" s="49"/>
      <c r="VL17" s="1"/>
      <c r="VM17" s="39" t="s">
        <v>36</v>
      </c>
      <c r="VN17" s="40"/>
      <c r="VO17" s="47" t="s">
        <v>37</v>
      </c>
      <c r="VP17" s="48"/>
      <c r="VQ17" s="48"/>
      <c r="VR17" s="48"/>
      <c r="VS17" s="48"/>
      <c r="VT17" s="48"/>
      <c r="VU17" s="49"/>
      <c r="VV17" s="1"/>
      <c r="VW17" s="39" t="s">
        <v>36</v>
      </c>
      <c r="VX17" s="40"/>
      <c r="VY17" s="47" t="s">
        <v>37</v>
      </c>
      <c r="VZ17" s="48"/>
      <c r="WA17" s="48"/>
      <c r="WB17" s="48"/>
      <c r="WC17" s="48"/>
      <c r="WD17" s="48"/>
      <c r="WE17" s="49"/>
      <c r="WF17" s="1"/>
      <c r="WG17" s="39" t="s">
        <v>36</v>
      </c>
      <c r="WH17" s="40"/>
      <c r="WI17" s="47" t="s">
        <v>37</v>
      </c>
      <c r="WJ17" s="48"/>
      <c r="WK17" s="48"/>
      <c r="WL17" s="48"/>
      <c r="WM17" s="48"/>
      <c r="WN17" s="48"/>
      <c r="WO17" s="49"/>
      <c r="WP17" s="1"/>
      <c r="WQ17" s="39" t="s">
        <v>36</v>
      </c>
      <c r="WR17" s="40"/>
      <c r="WS17" s="47" t="s">
        <v>37</v>
      </c>
      <c r="WT17" s="48"/>
      <c r="WU17" s="48"/>
      <c r="WV17" s="48"/>
      <c r="WW17" s="48"/>
      <c r="WX17" s="48"/>
      <c r="WY17" s="49"/>
      <c r="WZ17" s="1"/>
      <c r="XA17" s="39" t="s">
        <v>36</v>
      </c>
      <c r="XB17" s="40"/>
      <c r="XC17" s="47" t="s">
        <v>37</v>
      </c>
      <c r="XD17" s="48"/>
      <c r="XE17" s="48"/>
      <c r="XF17" s="48"/>
      <c r="XG17" s="48"/>
      <c r="XH17" s="48"/>
      <c r="XI17" s="49"/>
      <c r="XJ17" s="1"/>
      <c r="XK17" s="39" t="s">
        <v>36</v>
      </c>
      <c r="XL17" s="40"/>
      <c r="XM17" s="47" t="s">
        <v>37</v>
      </c>
      <c r="XN17" s="48"/>
      <c r="XO17" s="48"/>
      <c r="XP17" s="48"/>
      <c r="XQ17" s="48"/>
      <c r="XR17" s="48"/>
      <c r="XS17" s="49"/>
      <c r="XT17" s="1"/>
      <c r="XU17" s="39" t="s">
        <v>36</v>
      </c>
      <c r="XV17" s="40"/>
      <c r="XW17" s="47" t="s">
        <v>37</v>
      </c>
      <c r="XX17" s="48"/>
      <c r="XY17" s="48"/>
      <c r="XZ17" s="48"/>
      <c r="YA17" s="48"/>
      <c r="YB17" s="48"/>
      <c r="YC17" s="49"/>
      <c r="YD17" s="1"/>
      <c r="YE17" s="39" t="s">
        <v>36</v>
      </c>
      <c r="YF17" s="40"/>
      <c r="YG17" s="47" t="s">
        <v>37</v>
      </c>
      <c r="YH17" s="48"/>
      <c r="YI17" s="48"/>
      <c r="YJ17" s="48"/>
      <c r="YK17" s="48"/>
      <c r="YL17" s="48"/>
      <c r="YM17" s="49"/>
      <c r="YN17" s="1"/>
      <c r="YO17" s="39" t="s">
        <v>36</v>
      </c>
      <c r="YP17" s="40"/>
      <c r="YQ17" s="47" t="s">
        <v>37</v>
      </c>
      <c r="YR17" s="48"/>
      <c r="YS17" s="48"/>
      <c r="YT17" s="48"/>
      <c r="YU17" s="48"/>
      <c r="YV17" s="48"/>
      <c r="YW17" s="49"/>
      <c r="YX17" s="1"/>
      <c r="YY17" s="39" t="s">
        <v>36</v>
      </c>
      <c r="YZ17" s="40"/>
      <c r="ZA17" s="47" t="s">
        <v>37</v>
      </c>
      <c r="ZB17" s="48"/>
      <c r="ZC17" s="48"/>
      <c r="ZD17" s="48"/>
      <c r="ZE17" s="48"/>
      <c r="ZF17" s="48"/>
      <c r="ZG17" s="49"/>
      <c r="ZH17" s="1"/>
      <c r="ZI17" s="39" t="s">
        <v>36</v>
      </c>
      <c r="ZJ17" s="40"/>
      <c r="ZK17" s="47" t="s">
        <v>37</v>
      </c>
      <c r="ZL17" s="48"/>
      <c r="ZM17" s="48"/>
      <c r="ZN17" s="48"/>
      <c r="ZO17" s="48"/>
      <c r="ZP17" s="48"/>
      <c r="ZQ17" s="49"/>
      <c r="ZR17" s="1"/>
      <c r="ZS17" s="39" t="s">
        <v>36</v>
      </c>
      <c r="ZT17" s="40"/>
      <c r="ZU17" s="47" t="s">
        <v>37</v>
      </c>
      <c r="ZV17" s="48"/>
      <c r="ZW17" s="48"/>
      <c r="ZX17" s="48"/>
      <c r="ZY17" s="48"/>
      <c r="ZZ17" s="48"/>
      <c r="AAA17" s="49"/>
      <c r="AAB17" s="1"/>
      <c r="AAC17" s="39" t="s">
        <v>36</v>
      </c>
      <c r="AAD17" s="40"/>
      <c r="AAE17" s="47" t="s">
        <v>37</v>
      </c>
      <c r="AAF17" s="48"/>
      <c r="AAG17" s="48"/>
      <c r="AAH17" s="48"/>
      <c r="AAI17" s="48"/>
      <c r="AAJ17" s="48"/>
      <c r="AAK17" s="49"/>
      <c r="AAL17" s="1"/>
      <c r="AAM17" s="39" t="s">
        <v>36</v>
      </c>
      <c r="AAN17" s="40"/>
      <c r="AAO17" s="47" t="s">
        <v>37</v>
      </c>
      <c r="AAP17" s="48"/>
      <c r="AAQ17" s="48"/>
      <c r="AAR17" s="48"/>
      <c r="AAS17" s="48"/>
      <c r="AAT17" s="48"/>
      <c r="AAU17" s="49"/>
      <c r="AAV17" s="1"/>
      <c r="AAW17" s="39" t="s">
        <v>36</v>
      </c>
      <c r="AAX17" s="40"/>
      <c r="AAY17" s="47" t="s">
        <v>37</v>
      </c>
      <c r="AAZ17" s="48"/>
      <c r="ABA17" s="48"/>
      <c r="ABB17" s="48"/>
      <c r="ABC17" s="48"/>
      <c r="ABD17" s="48"/>
      <c r="ABE17" s="49"/>
      <c r="ABF17" s="1"/>
      <c r="ABG17" s="39" t="s">
        <v>36</v>
      </c>
      <c r="ABH17" s="40"/>
      <c r="ABI17" s="47" t="s">
        <v>37</v>
      </c>
      <c r="ABJ17" s="48"/>
      <c r="ABK17" s="48"/>
      <c r="ABL17" s="48"/>
      <c r="ABM17" s="48"/>
      <c r="ABN17" s="48"/>
      <c r="ABO17" s="49"/>
      <c r="ABP17" s="1"/>
      <c r="ABQ17" s="39" t="s">
        <v>36</v>
      </c>
      <c r="ABR17" s="40"/>
      <c r="ABS17" s="47" t="s">
        <v>37</v>
      </c>
      <c r="ABT17" s="48"/>
      <c r="ABU17" s="48"/>
      <c r="ABV17" s="48"/>
      <c r="ABW17" s="48"/>
      <c r="ABX17" s="48"/>
      <c r="ABY17" s="49"/>
      <c r="ABZ17" s="1"/>
      <c r="ACA17" s="39" t="s">
        <v>36</v>
      </c>
      <c r="ACB17" s="40"/>
      <c r="ACC17" s="47" t="s">
        <v>37</v>
      </c>
      <c r="ACD17" s="48"/>
      <c r="ACE17" s="48"/>
      <c r="ACF17" s="48"/>
      <c r="ACG17" s="48"/>
      <c r="ACH17" s="48"/>
      <c r="ACI17" s="49"/>
      <c r="ACJ17" s="1"/>
      <c r="ACK17" s="39" t="s">
        <v>36</v>
      </c>
      <c r="ACL17" s="40"/>
      <c r="ACM17" s="47" t="s">
        <v>37</v>
      </c>
      <c r="ACN17" s="48"/>
      <c r="ACO17" s="48"/>
      <c r="ACP17" s="48"/>
      <c r="ACQ17" s="48"/>
      <c r="ACR17" s="48"/>
      <c r="ACS17" s="49"/>
      <c r="ACT17" s="1"/>
      <c r="ACU17" s="39" t="s">
        <v>36</v>
      </c>
      <c r="ACV17" s="40"/>
      <c r="ACW17" s="47" t="s">
        <v>37</v>
      </c>
      <c r="ACX17" s="48"/>
      <c r="ACY17" s="48"/>
      <c r="ACZ17" s="48"/>
      <c r="ADA17" s="48"/>
      <c r="ADB17" s="48"/>
      <c r="ADC17" s="49"/>
      <c r="ADD17" s="1"/>
      <c r="ADE17" s="39" t="s">
        <v>36</v>
      </c>
      <c r="ADF17" s="40"/>
      <c r="ADG17" s="47" t="s">
        <v>37</v>
      </c>
      <c r="ADH17" s="48"/>
      <c r="ADI17" s="48"/>
      <c r="ADJ17" s="48"/>
      <c r="ADK17" s="48"/>
      <c r="ADL17" s="48"/>
      <c r="ADM17" s="49"/>
      <c r="ADN17" s="1"/>
      <c r="ADO17" s="39" t="s">
        <v>36</v>
      </c>
      <c r="ADP17" s="40"/>
      <c r="ADQ17" s="47" t="s">
        <v>37</v>
      </c>
      <c r="ADR17" s="48"/>
      <c r="ADS17" s="48"/>
      <c r="ADT17" s="48"/>
      <c r="ADU17" s="48"/>
      <c r="ADV17" s="48"/>
      <c r="ADW17" s="49"/>
      <c r="ADX17" s="1"/>
      <c r="ADY17" s="39" t="s">
        <v>36</v>
      </c>
      <c r="ADZ17" s="40"/>
      <c r="AEA17" s="47" t="s">
        <v>37</v>
      </c>
      <c r="AEB17" s="48"/>
      <c r="AEC17" s="48"/>
      <c r="AED17" s="48"/>
      <c r="AEE17" s="48"/>
      <c r="AEF17" s="48"/>
      <c r="AEG17" s="49"/>
      <c r="AEH17" s="1"/>
      <c r="AEI17" s="39" t="s">
        <v>36</v>
      </c>
      <c r="AEJ17" s="40"/>
      <c r="AEK17" s="47" t="s">
        <v>37</v>
      </c>
      <c r="AEL17" s="48"/>
      <c r="AEM17" s="48"/>
      <c r="AEN17" s="48"/>
      <c r="AEO17" s="48"/>
      <c r="AEP17" s="48"/>
      <c r="AEQ17" s="49"/>
      <c r="AER17" s="1"/>
      <c r="AES17" s="39" t="s">
        <v>36</v>
      </c>
      <c r="AET17" s="40"/>
      <c r="AEU17" s="47" t="s">
        <v>37</v>
      </c>
      <c r="AEV17" s="48"/>
      <c r="AEW17" s="48"/>
      <c r="AEX17" s="48"/>
      <c r="AEY17" s="48"/>
      <c r="AEZ17" s="48"/>
      <c r="AFA17" s="49"/>
      <c r="AFB17" s="1"/>
      <c r="AFC17" s="39" t="s">
        <v>36</v>
      </c>
      <c r="AFD17" s="40"/>
      <c r="AFE17" s="47" t="s">
        <v>37</v>
      </c>
      <c r="AFF17" s="48"/>
      <c r="AFG17" s="48"/>
      <c r="AFH17" s="48"/>
      <c r="AFI17" s="48"/>
      <c r="AFJ17" s="48"/>
      <c r="AFK17" s="49"/>
      <c r="AFL17" s="1"/>
      <c r="AFM17" s="39" t="s">
        <v>36</v>
      </c>
      <c r="AFN17" s="40"/>
      <c r="AFO17" s="47" t="s">
        <v>37</v>
      </c>
      <c r="AFP17" s="48"/>
      <c r="AFQ17" s="48"/>
      <c r="AFR17" s="48"/>
      <c r="AFS17" s="48"/>
      <c r="AFT17" s="48"/>
      <c r="AFU17" s="49"/>
      <c r="AFV17" s="1"/>
      <c r="AFW17" s="39" t="s">
        <v>36</v>
      </c>
      <c r="AFX17" s="40"/>
      <c r="AFY17" s="47" t="s">
        <v>37</v>
      </c>
      <c r="AFZ17" s="48"/>
      <c r="AGA17" s="48"/>
      <c r="AGB17" s="48"/>
      <c r="AGC17" s="48"/>
      <c r="AGD17" s="48"/>
      <c r="AGE17" s="49"/>
      <c r="AGF17" s="1"/>
      <c r="AGG17" s="39" t="s">
        <v>36</v>
      </c>
      <c r="AGH17" s="40"/>
      <c r="AGI17" s="47" t="s">
        <v>37</v>
      </c>
      <c r="AGJ17" s="48"/>
      <c r="AGK17" s="48"/>
      <c r="AGL17" s="48"/>
      <c r="AGM17" s="48"/>
      <c r="AGN17" s="48"/>
      <c r="AGO17" s="49"/>
      <c r="AGP17" s="1"/>
      <c r="AGQ17" s="39" t="s">
        <v>36</v>
      </c>
      <c r="AGR17" s="40"/>
      <c r="AGS17" s="47" t="s">
        <v>37</v>
      </c>
      <c r="AGT17" s="48"/>
      <c r="AGU17" s="48"/>
      <c r="AGV17" s="48"/>
      <c r="AGW17" s="48"/>
      <c r="AGX17" s="48"/>
      <c r="AGY17" s="49"/>
      <c r="AGZ17" s="1"/>
      <c r="AHA17" s="39" t="s">
        <v>36</v>
      </c>
      <c r="AHB17" s="40"/>
      <c r="AHC17" s="47" t="s">
        <v>37</v>
      </c>
      <c r="AHD17" s="48"/>
      <c r="AHE17" s="48"/>
      <c r="AHF17" s="48"/>
      <c r="AHG17" s="48"/>
      <c r="AHH17" s="48"/>
      <c r="AHI17" s="49"/>
      <c r="AHJ17" s="1"/>
      <c r="AHK17" s="39" t="s">
        <v>36</v>
      </c>
      <c r="AHL17" s="40"/>
      <c r="AHM17" s="47" t="s">
        <v>37</v>
      </c>
      <c r="AHN17" s="48"/>
      <c r="AHO17" s="48"/>
      <c r="AHP17" s="48"/>
      <c r="AHQ17" s="48"/>
      <c r="AHR17" s="48"/>
      <c r="AHS17" s="49"/>
      <c r="AHT17" s="1"/>
      <c r="AHU17" s="39" t="s">
        <v>36</v>
      </c>
      <c r="AHV17" s="40"/>
      <c r="AHW17" s="47" t="s">
        <v>37</v>
      </c>
      <c r="AHX17" s="48"/>
      <c r="AHY17" s="48"/>
      <c r="AHZ17" s="48"/>
      <c r="AIA17" s="48"/>
      <c r="AIB17" s="48"/>
      <c r="AIC17" s="49"/>
      <c r="AID17" s="1"/>
      <c r="AIE17" s="39" t="s">
        <v>36</v>
      </c>
      <c r="AIF17" s="40"/>
      <c r="AIG17" s="47" t="s">
        <v>37</v>
      </c>
      <c r="AIH17" s="48"/>
      <c r="AII17" s="48"/>
      <c r="AIJ17" s="48"/>
      <c r="AIK17" s="48"/>
      <c r="AIL17" s="48"/>
      <c r="AIM17" s="49"/>
      <c r="AIN17" s="1"/>
      <c r="AIO17" s="39" t="s">
        <v>36</v>
      </c>
      <c r="AIP17" s="40"/>
      <c r="AIQ17" s="47" t="s">
        <v>37</v>
      </c>
      <c r="AIR17" s="48"/>
      <c r="AIS17" s="48"/>
      <c r="AIT17" s="48"/>
      <c r="AIU17" s="48"/>
      <c r="AIV17" s="48"/>
      <c r="AIW17" s="49"/>
      <c r="AIX17" s="1"/>
      <c r="AIY17" s="39" t="s">
        <v>36</v>
      </c>
      <c r="AIZ17" s="40"/>
      <c r="AJA17" s="47" t="s">
        <v>37</v>
      </c>
      <c r="AJB17" s="48"/>
      <c r="AJC17" s="48"/>
      <c r="AJD17" s="48"/>
      <c r="AJE17" s="48"/>
      <c r="AJF17" s="48"/>
      <c r="AJG17" s="49"/>
      <c r="AJH17" s="1"/>
      <c r="AJI17" s="39" t="s">
        <v>36</v>
      </c>
      <c r="AJJ17" s="40"/>
      <c r="AJK17" s="47" t="s">
        <v>37</v>
      </c>
      <c r="AJL17" s="48"/>
      <c r="AJM17" s="48"/>
      <c r="AJN17" s="48"/>
      <c r="AJO17" s="48"/>
      <c r="AJP17" s="48"/>
      <c r="AJQ17" s="49"/>
      <c r="AJR17" s="1"/>
      <c r="AJS17" s="39" t="s">
        <v>36</v>
      </c>
      <c r="AJT17" s="40"/>
      <c r="AJU17" s="47" t="s">
        <v>37</v>
      </c>
      <c r="AJV17" s="48"/>
      <c r="AJW17" s="48"/>
      <c r="AJX17" s="48"/>
      <c r="AJY17" s="48"/>
      <c r="AJZ17" s="48"/>
      <c r="AKA17" s="49"/>
      <c r="AKB17" s="1"/>
      <c r="AKC17" s="39" t="s">
        <v>36</v>
      </c>
      <c r="AKD17" s="40"/>
      <c r="AKE17" s="47" t="s">
        <v>37</v>
      </c>
      <c r="AKF17" s="48"/>
      <c r="AKG17" s="48"/>
      <c r="AKH17" s="48"/>
      <c r="AKI17" s="48"/>
      <c r="AKJ17" s="48"/>
      <c r="AKK17" s="49"/>
      <c r="AKL17" s="1"/>
      <c r="AKM17" s="39" t="s">
        <v>36</v>
      </c>
      <c r="AKN17" s="40"/>
      <c r="AKO17" s="47" t="s">
        <v>37</v>
      </c>
      <c r="AKP17" s="48"/>
      <c r="AKQ17" s="48"/>
      <c r="AKR17" s="48"/>
      <c r="AKS17" s="48"/>
      <c r="AKT17" s="48"/>
      <c r="AKU17" s="49"/>
      <c r="AKV17" s="1"/>
      <c r="AKW17" s="39" t="s">
        <v>36</v>
      </c>
      <c r="AKX17" s="40"/>
      <c r="AKY17" s="47" t="s">
        <v>37</v>
      </c>
      <c r="AKZ17" s="48"/>
      <c r="ALA17" s="48"/>
      <c r="ALB17" s="48"/>
      <c r="ALC17" s="48"/>
      <c r="ALD17" s="48"/>
      <c r="ALE17" s="49"/>
      <c r="ALF17" s="1"/>
      <c r="ALG17" s="39" t="s">
        <v>36</v>
      </c>
      <c r="ALH17" s="40"/>
      <c r="ALI17" s="47" t="s">
        <v>37</v>
      </c>
      <c r="ALJ17" s="48"/>
      <c r="ALK17" s="48"/>
      <c r="ALL17" s="48"/>
      <c r="ALM17" s="48"/>
      <c r="ALN17" s="48"/>
      <c r="ALO17" s="49"/>
      <c r="ALP17" s="1"/>
      <c r="ALQ17" s="39" t="s">
        <v>36</v>
      </c>
      <c r="ALR17" s="40"/>
      <c r="ALS17" s="47" t="s">
        <v>37</v>
      </c>
      <c r="ALT17" s="48"/>
      <c r="ALU17" s="48"/>
      <c r="ALV17" s="48"/>
      <c r="ALW17" s="48"/>
      <c r="ALX17" s="48"/>
      <c r="ALY17" s="49"/>
      <c r="ALZ17" s="1"/>
      <c r="AMA17" s="39" t="s">
        <v>36</v>
      </c>
      <c r="AMB17" s="40"/>
      <c r="AMC17" s="47" t="s">
        <v>37</v>
      </c>
      <c r="AMD17" s="48"/>
      <c r="AME17" s="48"/>
      <c r="AMF17" s="48"/>
      <c r="AMG17" s="48"/>
      <c r="AMH17" s="48"/>
      <c r="AMI17" s="49"/>
      <c r="AMJ17" s="1"/>
      <c r="AMK17" s="39" t="s">
        <v>36</v>
      </c>
      <c r="AML17" s="40"/>
      <c r="AMM17" s="47" t="s">
        <v>37</v>
      </c>
      <c r="AMN17" s="48"/>
      <c r="AMO17" s="48"/>
      <c r="AMP17" s="48"/>
      <c r="AMQ17" s="48"/>
      <c r="AMR17" s="48"/>
      <c r="AMS17" s="49"/>
      <c r="AMT17" s="1"/>
      <c r="AMU17" s="39" t="s">
        <v>36</v>
      </c>
      <c r="AMV17" s="40"/>
      <c r="AMW17" s="47" t="s">
        <v>37</v>
      </c>
      <c r="AMX17" s="48"/>
      <c r="AMY17" s="48"/>
      <c r="AMZ17" s="48"/>
      <c r="ANA17" s="48"/>
      <c r="ANB17" s="48"/>
      <c r="ANC17" s="49"/>
      <c r="AND17" s="1"/>
      <c r="ANE17" s="39" t="s">
        <v>36</v>
      </c>
      <c r="ANF17" s="40"/>
      <c r="ANG17" s="47" t="s">
        <v>37</v>
      </c>
      <c r="ANH17" s="48"/>
      <c r="ANI17" s="48"/>
      <c r="ANJ17" s="48"/>
      <c r="ANK17" s="48"/>
      <c r="ANL17" s="48"/>
      <c r="ANM17" s="49"/>
      <c r="ANN17" s="1"/>
      <c r="ANO17" s="39" t="s">
        <v>36</v>
      </c>
      <c r="ANP17" s="40"/>
      <c r="ANQ17" s="47" t="s">
        <v>37</v>
      </c>
      <c r="ANR17" s="48"/>
      <c r="ANS17" s="48"/>
      <c r="ANT17" s="48"/>
      <c r="ANU17" s="48"/>
      <c r="ANV17" s="48"/>
      <c r="ANW17" s="49"/>
      <c r="ANX17" s="1"/>
      <c r="ANY17" s="39" t="s">
        <v>36</v>
      </c>
      <c r="ANZ17" s="40"/>
      <c r="AOA17" s="47" t="s">
        <v>37</v>
      </c>
      <c r="AOB17" s="48"/>
      <c r="AOC17" s="48"/>
      <c r="AOD17" s="48"/>
      <c r="AOE17" s="48"/>
      <c r="AOF17" s="48"/>
      <c r="AOG17" s="49"/>
      <c r="AOH17" s="1"/>
      <c r="AOI17" s="39" t="s">
        <v>36</v>
      </c>
      <c r="AOJ17" s="40"/>
      <c r="AOK17" s="47" t="s">
        <v>37</v>
      </c>
      <c r="AOL17" s="48"/>
      <c r="AOM17" s="48"/>
      <c r="AON17" s="48"/>
      <c r="AOO17" s="48"/>
      <c r="AOP17" s="48"/>
      <c r="AOQ17" s="49"/>
      <c r="AOR17" s="1"/>
      <c r="AOS17" s="60" t="s">
        <v>36</v>
      </c>
      <c r="AOT17" s="61"/>
      <c r="AOU17" s="47" t="s">
        <v>37</v>
      </c>
      <c r="AOV17" s="48"/>
      <c r="AOW17" s="48"/>
      <c r="AOX17" s="48"/>
      <c r="AOY17" s="48"/>
      <c r="AOZ17" s="48"/>
      <c r="APA17" s="49"/>
    </row>
    <row r="18" spans="1:1093" ht="11.25" x14ac:dyDescent="0.2">
      <c r="A18" s="22" t="s">
        <v>38</v>
      </c>
      <c r="B18" s="13" t="s">
        <v>39</v>
      </c>
      <c r="C18" s="13">
        <v>20</v>
      </c>
      <c r="E18" s="24"/>
      <c r="F18" s="6" t="s">
        <v>39</v>
      </c>
      <c r="G18" s="50"/>
      <c r="H18" s="51"/>
      <c r="I18" s="51"/>
      <c r="J18" s="51"/>
      <c r="K18" s="51"/>
      <c r="L18" s="51"/>
      <c r="M18" s="52"/>
      <c r="O18" s="24"/>
      <c r="P18" s="6" t="s">
        <v>39</v>
      </c>
      <c r="Q18" s="50"/>
      <c r="R18" s="51"/>
      <c r="S18" s="51"/>
      <c r="T18" s="51"/>
      <c r="U18" s="51"/>
      <c r="V18" s="51"/>
      <c r="W18" s="52"/>
      <c r="Y18" s="24">
        <v>90</v>
      </c>
      <c r="Z18" s="6" t="s">
        <v>39</v>
      </c>
      <c r="AA18" s="50"/>
      <c r="AB18" s="51"/>
      <c r="AC18" s="51"/>
      <c r="AD18" s="51"/>
      <c r="AE18" s="51"/>
      <c r="AF18" s="51"/>
      <c r="AG18" s="52"/>
      <c r="AI18" s="24">
        <v>90</v>
      </c>
      <c r="AJ18" s="6" t="s">
        <v>39</v>
      </c>
      <c r="AK18" s="50"/>
      <c r="AL18" s="51"/>
      <c r="AM18" s="51"/>
      <c r="AN18" s="51"/>
      <c r="AO18" s="51"/>
      <c r="AP18" s="51"/>
      <c r="AQ18" s="52"/>
      <c r="AS18" s="24">
        <v>90</v>
      </c>
      <c r="AT18" s="6" t="s">
        <v>39</v>
      </c>
      <c r="AU18" s="50"/>
      <c r="AV18" s="51"/>
      <c r="AW18" s="51"/>
      <c r="AX18" s="51"/>
      <c r="AY18" s="51"/>
      <c r="AZ18" s="51"/>
      <c r="BA18" s="52"/>
      <c r="BC18" s="2">
        <v>90</v>
      </c>
      <c r="BD18" s="6" t="s">
        <v>39</v>
      </c>
      <c r="BE18" s="50"/>
      <c r="BF18" s="51"/>
      <c r="BG18" s="51"/>
      <c r="BH18" s="51"/>
      <c r="BI18" s="51"/>
      <c r="BJ18" s="51"/>
      <c r="BK18" s="52"/>
      <c r="BM18" s="2">
        <v>90</v>
      </c>
      <c r="BN18" s="6" t="s">
        <v>39</v>
      </c>
      <c r="BO18" s="50"/>
      <c r="BP18" s="51"/>
      <c r="BQ18" s="51"/>
      <c r="BR18" s="51"/>
      <c r="BS18" s="51"/>
      <c r="BT18" s="51"/>
      <c r="BU18" s="52"/>
      <c r="BW18" s="24">
        <v>90</v>
      </c>
      <c r="BX18" s="6" t="s">
        <v>39</v>
      </c>
      <c r="BY18" s="50"/>
      <c r="BZ18" s="51"/>
      <c r="CA18" s="51"/>
      <c r="CB18" s="51"/>
      <c r="CC18" s="51"/>
      <c r="CD18" s="51"/>
      <c r="CE18" s="52"/>
      <c r="CG18" s="24">
        <v>90</v>
      </c>
      <c r="CH18" s="6" t="s">
        <v>39</v>
      </c>
      <c r="CI18" s="50"/>
      <c r="CJ18" s="51"/>
      <c r="CK18" s="51"/>
      <c r="CL18" s="51"/>
      <c r="CM18" s="51"/>
      <c r="CN18" s="51"/>
      <c r="CO18" s="52"/>
      <c r="CQ18" s="24">
        <v>90</v>
      </c>
      <c r="CR18" s="6" t="s">
        <v>39</v>
      </c>
      <c r="CS18" s="50"/>
      <c r="CT18" s="51"/>
      <c r="CU18" s="51"/>
      <c r="CV18" s="51"/>
      <c r="CW18" s="51"/>
      <c r="CX18" s="51"/>
      <c r="CY18" s="52"/>
      <c r="DA18" s="2">
        <v>90</v>
      </c>
      <c r="DB18" s="6" t="s">
        <v>39</v>
      </c>
      <c r="DC18" s="50"/>
      <c r="DD18" s="51"/>
      <c r="DE18" s="51"/>
      <c r="DF18" s="51"/>
      <c r="DG18" s="51"/>
      <c r="DH18" s="51"/>
      <c r="DI18" s="52"/>
      <c r="DK18" s="24">
        <v>90</v>
      </c>
      <c r="DL18" s="6" t="s">
        <v>39</v>
      </c>
      <c r="DM18" s="50"/>
      <c r="DN18" s="51"/>
      <c r="DO18" s="51"/>
      <c r="DP18" s="51"/>
      <c r="DQ18" s="51"/>
      <c r="DR18" s="51"/>
      <c r="DS18" s="52"/>
      <c r="DU18" s="24">
        <v>90</v>
      </c>
      <c r="DV18" s="6" t="s">
        <v>39</v>
      </c>
      <c r="DW18" s="50"/>
      <c r="DX18" s="51"/>
      <c r="DY18" s="51"/>
      <c r="DZ18" s="51"/>
      <c r="EA18" s="51"/>
      <c r="EB18" s="51"/>
      <c r="EC18" s="52"/>
      <c r="EE18" s="24">
        <v>90</v>
      </c>
      <c r="EF18" s="6" t="s">
        <v>39</v>
      </c>
      <c r="EG18" s="50"/>
      <c r="EH18" s="51"/>
      <c r="EI18" s="51"/>
      <c r="EJ18" s="51"/>
      <c r="EK18" s="51"/>
      <c r="EL18" s="51"/>
      <c r="EM18" s="52"/>
      <c r="EO18" s="24">
        <v>100</v>
      </c>
      <c r="EP18" s="6" t="s">
        <v>39</v>
      </c>
      <c r="EQ18" s="50"/>
      <c r="ER18" s="51"/>
      <c r="ES18" s="51"/>
      <c r="ET18" s="51"/>
      <c r="EU18" s="51"/>
      <c r="EV18" s="51"/>
      <c r="EW18" s="52"/>
      <c r="EY18" s="24">
        <v>90</v>
      </c>
      <c r="EZ18" s="6" t="s">
        <v>39</v>
      </c>
      <c r="FA18" s="50"/>
      <c r="FB18" s="51"/>
      <c r="FC18" s="51"/>
      <c r="FD18" s="51"/>
      <c r="FE18" s="51"/>
      <c r="FF18" s="51"/>
      <c r="FG18" s="52"/>
      <c r="FI18" s="24">
        <v>90</v>
      </c>
      <c r="FJ18" s="6" t="s">
        <v>39</v>
      </c>
      <c r="FK18" s="50"/>
      <c r="FL18" s="51"/>
      <c r="FM18" s="51"/>
      <c r="FN18" s="51"/>
      <c r="FO18" s="51"/>
      <c r="FP18" s="51"/>
      <c r="FQ18" s="52"/>
      <c r="FS18" s="24">
        <v>90</v>
      </c>
      <c r="FT18" s="6" t="s">
        <v>39</v>
      </c>
      <c r="FU18" s="50"/>
      <c r="FV18" s="51"/>
      <c r="FW18" s="51"/>
      <c r="FX18" s="51"/>
      <c r="FY18" s="51"/>
      <c r="FZ18" s="51"/>
      <c r="GA18" s="52"/>
      <c r="GC18" s="24">
        <v>90</v>
      </c>
      <c r="GD18" s="6" t="s">
        <v>39</v>
      </c>
      <c r="GE18" s="50"/>
      <c r="GF18" s="51"/>
      <c r="GG18" s="51"/>
      <c r="GH18" s="51"/>
      <c r="GI18" s="51"/>
      <c r="GJ18" s="51"/>
      <c r="GK18" s="52"/>
      <c r="GM18" s="24">
        <v>90</v>
      </c>
      <c r="GN18" s="6" t="s">
        <v>39</v>
      </c>
      <c r="GO18" s="50"/>
      <c r="GP18" s="51"/>
      <c r="GQ18" s="51"/>
      <c r="GR18" s="51"/>
      <c r="GS18" s="51"/>
      <c r="GT18" s="51"/>
      <c r="GU18" s="52"/>
      <c r="GW18" s="24">
        <v>90</v>
      </c>
      <c r="GX18" s="6" t="s">
        <v>39</v>
      </c>
      <c r="GY18" s="50"/>
      <c r="GZ18" s="51"/>
      <c r="HA18" s="51"/>
      <c r="HB18" s="51"/>
      <c r="HC18" s="51"/>
      <c r="HD18" s="51"/>
      <c r="HE18" s="52"/>
      <c r="HG18" s="24">
        <v>90</v>
      </c>
      <c r="HH18" s="6" t="s">
        <v>39</v>
      </c>
      <c r="HI18" s="50"/>
      <c r="HJ18" s="51"/>
      <c r="HK18" s="51"/>
      <c r="HL18" s="51"/>
      <c r="HM18" s="51"/>
      <c r="HN18" s="51"/>
      <c r="HO18" s="52"/>
      <c r="HQ18" s="24">
        <v>90</v>
      </c>
      <c r="HR18" s="6" t="s">
        <v>39</v>
      </c>
      <c r="HS18" s="50"/>
      <c r="HT18" s="51"/>
      <c r="HU18" s="51"/>
      <c r="HV18" s="51"/>
      <c r="HW18" s="51"/>
      <c r="HX18" s="51"/>
      <c r="HY18" s="52"/>
      <c r="IA18" s="24">
        <v>90</v>
      </c>
      <c r="IB18" s="6" t="s">
        <v>39</v>
      </c>
      <c r="IC18" s="50"/>
      <c r="ID18" s="51"/>
      <c r="IE18" s="51"/>
      <c r="IF18" s="51"/>
      <c r="IG18" s="51"/>
      <c r="IH18" s="51"/>
      <c r="II18" s="52"/>
      <c r="IK18" s="24">
        <v>90</v>
      </c>
      <c r="IL18" s="6" t="s">
        <v>39</v>
      </c>
      <c r="IM18" s="50"/>
      <c r="IN18" s="51"/>
      <c r="IO18" s="51"/>
      <c r="IP18" s="51"/>
      <c r="IQ18" s="51"/>
      <c r="IR18" s="51"/>
      <c r="IS18" s="52"/>
      <c r="IU18" s="24">
        <v>90</v>
      </c>
      <c r="IV18" s="6" t="s">
        <v>39</v>
      </c>
      <c r="IW18" s="50"/>
      <c r="IX18" s="51"/>
      <c r="IY18" s="51"/>
      <c r="IZ18" s="51"/>
      <c r="JA18" s="51"/>
      <c r="JB18" s="51"/>
      <c r="JC18" s="52"/>
      <c r="JE18" s="24">
        <v>90</v>
      </c>
      <c r="JF18" s="6" t="s">
        <v>39</v>
      </c>
      <c r="JG18" s="50"/>
      <c r="JH18" s="51"/>
      <c r="JI18" s="51"/>
      <c r="JJ18" s="51"/>
      <c r="JK18" s="51"/>
      <c r="JL18" s="51"/>
      <c r="JM18" s="52"/>
      <c r="JO18" s="24">
        <v>90</v>
      </c>
      <c r="JP18" s="6" t="s">
        <v>39</v>
      </c>
      <c r="JQ18" s="50"/>
      <c r="JR18" s="51"/>
      <c r="JS18" s="51"/>
      <c r="JT18" s="51"/>
      <c r="JU18" s="51"/>
      <c r="JV18" s="51"/>
      <c r="JW18" s="52"/>
      <c r="JY18" s="24">
        <v>90</v>
      </c>
      <c r="JZ18" s="6" t="s">
        <v>39</v>
      </c>
      <c r="KA18" s="50"/>
      <c r="KB18" s="51"/>
      <c r="KC18" s="51"/>
      <c r="KD18" s="51"/>
      <c r="KE18" s="51"/>
      <c r="KF18" s="51"/>
      <c r="KG18" s="52"/>
      <c r="KI18" s="24">
        <v>90</v>
      </c>
      <c r="KJ18" s="6" t="s">
        <v>39</v>
      </c>
      <c r="KK18" s="50"/>
      <c r="KL18" s="51"/>
      <c r="KM18" s="51"/>
      <c r="KN18" s="51"/>
      <c r="KO18" s="51"/>
      <c r="KP18" s="51"/>
      <c r="KQ18" s="52"/>
      <c r="KS18" s="24">
        <v>90</v>
      </c>
      <c r="KT18" s="6" t="s">
        <v>39</v>
      </c>
      <c r="KU18" s="50"/>
      <c r="KV18" s="51"/>
      <c r="KW18" s="51"/>
      <c r="KX18" s="51"/>
      <c r="KY18" s="51"/>
      <c r="KZ18" s="51"/>
      <c r="LA18" s="52"/>
      <c r="LC18" s="24">
        <v>90</v>
      </c>
      <c r="LD18" s="6" t="s">
        <v>39</v>
      </c>
      <c r="LE18" s="50"/>
      <c r="LF18" s="51"/>
      <c r="LG18" s="51"/>
      <c r="LH18" s="51"/>
      <c r="LI18" s="51"/>
      <c r="LJ18" s="51"/>
      <c r="LK18" s="52"/>
      <c r="LM18" s="24">
        <v>90</v>
      </c>
      <c r="LN18" s="6" t="s">
        <v>39</v>
      </c>
      <c r="LO18" s="50"/>
      <c r="LP18" s="51"/>
      <c r="LQ18" s="51"/>
      <c r="LR18" s="51"/>
      <c r="LS18" s="51"/>
      <c r="LT18" s="51"/>
      <c r="LU18" s="52"/>
      <c r="LW18" s="24">
        <v>90</v>
      </c>
      <c r="LX18" s="6" t="s">
        <v>39</v>
      </c>
      <c r="LY18" s="50"/>
      <c r="LZ18" s="51"/>
      <c r="MA18" s="51"/>
      <c r="MB18" s="51"/>
      <c r="MC18" s="51"/>
      <c r="MD18" s="51"/>
      <c r="ME18" s="52"/>
      <c r="MG18" s="24">
        <v>90</v>
      </c>
      <c r="MH18" s="6" t="s">
        <v>39</v>
      </c>
      <c r="MI18" s="50"/>
      <c r="MJ18" s="51"/>
      <c r="MK18" s="51"/>
      <c r="ML18" s="51"/>
      <c r="MM18" s="51"/>
      <c r="MN18" s="51"/>
      <c r="MO18" s="52"/>
      <c r="MQ18" s="2">
        <v>90</v>
      </c>
      <c r="MR18" s="6" t="s">
        <v>39</v>
      </c>
      <c r="MS18" s="50"/>
      <c r="MT18" s="51"/>
      <c r="MU18" s="51"/>
      <c r="MV18" s="51"/>
      <c r="MW18" s="51"/>
      <c r="MX18" s="51"/>
      <c r="MY18" s="52"/>
      <c r="NA18" s="24">
        <v>90</v>
      </c>
      <c r="NB18" s="6" t="s">
        <v>39</v>
      </c>
      <c r="NC18" s="50"/>
      <c r="ND18" s="51"/>
      <c r="NE18" s="51"/>
      <c r="NF18" s="51"/>
      <c r="NG18" s="51"/>
      <c r="NH18" s="51"/>
      <c r="NI18" s="52"/>
      <c r="NK18" s="24">
        <v>90</v>
      </c>
      <c r="NL18" s="6" t="s">
        <v>39</v>
      </c>
      <c r="NM18" s="50"/>
      <c r="NN18" s="51"/>
      <c r="NO18" s="51"/>
      <c r="NP18" s="51"/>
      <c r="NQ18" s="51"/>
      <c r="NR18" s="51"/>
      <c r="NS18" s="52"/>
      <c r="NU18" s="24">
        <v>90</v>
      </c>
      <c r="NV18" s="6" t="s">
        <v>39</v>
      </c>
      <c r="NW18" s="50"/>
      <c r="NX18" s="51"/>
      <c r="NY18" s="51"/>
      <c r="NZ18" s="51"/>
      <c r="OA18" s="51"/>
      <c r="OB18" s="51"/>
      <c r="OC18" s="52"/>
      <c r="OE18" s="2">
        <v>90</v>
      </c>
      <c r="OF18" s="6" t="s">
        <v>39</v>
      </c>
      <c r="OG18" s="50"/>
      <c r="OH18" s="51"/>
      <c r="OI18" s="51"/>
      <c r="OJ18" s="51"/>
      <c r="OK18" s="51"/>
      <c r="OL18" s="51"/>
      <c r="OM18" s="52"/>
      <c r="OO18" s="24">
        <v>90</v>
      </c>
      <c r="OP18" s="6" t="s">
        <v>39</v>
      </c>
      <c r="OQ18" s="50"/>
      <c r="OR18" s="51"/>
      <c r="OS18" s="51"/>
      <c r="OT18" s="51"/>
      <c r="OU18" s="51"/>
      <c r="OV18" s="51"/>
      <c r="OW18" s="52"/>
      <c r="OY18" s="24">
        <v>90</v>
      </c>
      <c r="OZ18" s="6" t="s">
        <v>39</v>
      </c>
      <c r="PA18" s="50"/>
      <c r="PB18" s="51"/>
      <c r="PC18" s="51"/>
      <c r="PD18" s="51"/>
      <c r="PE18" s="51"/>
      <c r="PF18" s="51"/>
      <c r="PG18" s="52"/>
      <c r="PI18" s="24">
        <v>90</v>
      </c>
      <c r="PJ18" s="6" t="s">
        <v>39</v>
      </c>
      <c r="PK18" s="50"/>
      <c r="PL18" s="51"/>
      <c r="PM18" s="51"/>
      <c r="PN18" s="51"/>
      <c r="PO18" s="51"/>
      <c r="PP18" s="51"/>
      <c r="PQ18" s="52"/>
      <c r="PS18" s="2">
        <v>90</v>
      </c>
      <c r="PT18" s="6" t="s">
        <v>39</v>
      </c>
      <c r="PU18" s="50"/>
      <c r="PV18" s="51"/>
      <c r="PW18" s="51"/>
      <c r="PX18" s="51"/>
      <c r="PY18" s="51"/>
      <c r="PZ18" s="51"/>
      <c r="QA18" s="52"/>
      <c r="QC18" s="24">
        <v>90</v>
      </c>
      <c r="QD18" s="6" t="s">
        <v>39</v>
      </c>
      <c r="QE18" s="50"/>
      <c r="QF18" s="51"/>
      <c r="QG18" s="51"/>
      <c r="QH18" s="51"/>
      <c r="QI18" s="51"/>
      <c r="QJ18" s="51"/>
      <c r="QK18" s="52"/>
      <c r="QM18" s="24">
        <v>90</v>
      </c>
      <c r="QN18" s="6" t="s">
        <v>39</v>
      </c>
      <c r="QO18" s="50"/>
      <c r="QP18" s="51"/>
      <c r="QQ18" s="51"/>
      <c r="QR18" s="51"/>
      <c r="QS18" s="51"/>
      <c r="QT18" s="51"/>
      <c r="QU18" s="52"/>
      <c r="QW18" s="24">
        <v>90</v>
      </c>
      <c r="QX18" s="6" t="s">
        <v>39</v>
      </c>
      <c r="QY18" s="50"/>
      <c r="QZ18" s="51"/>
      <c r="RA18" s="51"/>
      <c r="RB18" s="51"/>
      <c r="RC18" s="51"/>
      <c r="RD18" s="51"/>
      <c r="RE18" s="52"/>
      <c r="RG18" s="24">
        <v>90</v>
      </c>
      <c r="RH18" s="6" t="s">
        <v>39</v>
      </c>
      <c r="RI18" s="50"/>
      <c r="RJ18" s="51"/>
      <c r="RK18" s="51"/>
      <c r="RL18" s="51"/>
      <c r="RM18" s="51"/>
      <c r="RN18" s="51"/>
      <c r="RO18" s="52"/>
      <c r="RQ18" s="24">
        <v>90</v>
      </c>
      <c r="RR18" s="6" t="s">
        <v>39</v>
      </c>
      <c r="RS18" s="50"/>
      <c r="RT18" s="51"/>
      <c r="RU18" s="51"/>
      <c r="RV18" s="51"/>
      <c r="RW18" s="51"/>
      <c r="RX18" s="51"/>
      <c r="RY18" s="52"/>
      <c r="SA18" s="2">
        <v>90</v>
      </c>
      <c r="SB18" s="6" t="s">
        <v>39</v>
      </c>
      <c r="SC18" s="50"/>
      <c r="SD18" s="51"/>
      <c r="SE18" s="51"/>
      <c r="SF18" s="51"/>
      <c r="SG18" s="51"/>
      <c r="SH18" s="51"/>
      <c r="SI18" s="52"/>
      <c r="SK18" s="24">
        <v>90</v>
      </c>
      <c r="SL18" s="6" t="s">
        <v>39</v>
      </c>
      <c r="SM18" s="50"/>
      <c r="SN18" s="51"/>
      <c r="SO18" s="51"/>
      <c r="SP18" s="51"/>
      <c r="SQ18" s="51"/>
      <c r="SR18" s="51"/>
      <c r="SS18" s="52"/>
      <c r="SU18" s="24">
        <v>90</v>
      </c>
      <c r="SV18" s="6" t="s">
        <v>39</v>
      </c>
      <c r="SW18" s="50"/>
      <c r="SX18" s="51"/>
      <c r="SY18" s="51"/>
      <c r="SZ18" s="51"/>
      <c r="TA18" s="51"/>
      <c r="TB18" s="51"/>
      <c r="TC18" s="52"/>
      <c r="TE18" s="24">
        <v>90</v>
      </c>
      <c r="TF18" s="6" t="s">
        <v>39</v>
      </c>
      <c r="TG18" s="50"/>
      <c r="TH18" s="51"/>
      <c r="TI18" s="51"/>
      <c r="TJ18" s="51"/>
      <c r="TK18" s="51"/>
      <c r="TL18" s="51"/>
      <c r="TM18" s="52"/>
      <c r="TO18" s="24">
        <v>50</v>
      </c>
      <c r="TP18" s="6" t="s">
        <v>39</v>
      </c>
      <c r="TQ18" s="50"/>
      <c r="TR18" s="51"/>
      <c r="TS18" s="51"/>
      <c r="TT18" s="51"/>
      <c r="TU18" s="51"/>
      <c r="TV18" s="51"/>
      <c r="TW18" s="52"/>
      <c r="TY18" s="24">
        <v>0.5</v>
      </c>
      <c r="TZ18" s="6" t="s">
        <v>39</v>
      </c>
      <c r="UA18" s="50"/>
      <c r="UB18" s="51"/>
      <c r="UC18" s="51"/>
      <c r="UD18" s="51"/>
      <c r="UE18" s="51"/>
      <c r="UF18" s="51"/>
      <c r="UG18" s="52"/>
      <c r="UI18" s="2">
        <v>70</v>
      </c>
      <c r="UJ18" s="6" t="s">
        <v>39</v>
      </c>
      <c r="UK18" s="50"/>
      <c r="UL18" s="51"/>
      <c r="UM18" s="51"/>
      <c r="UN18" s="51"/>
      <c r="UO18" s="51"/>
      <c r="UP18" s="51"/>
      <c r="UQ18" s="52"/>
      <c r="US18" s="24">
        <v>30</v>
      </c>
      <c r="UT18" s="6" t="s">
        <v>39</v>
      </c>
      <c r="UU18" s="50"/>
      <c r="UV18" s="51"/>
      <c r="UW18" s="51"/>
      <c r="UX18" s="51"/>
      <c r="UY18" s="51"/>
      <c r="UZ18" s="51"/>
      <c r="VA18" s="52"/>
      <c r="VC18" s="2">
        <v>80</v>
      </c>
      <c r="VD18" s="6" t="s">
        <v>39</v>
      </c>
      <c r="VE18" s="50"/>
      <c r="VF18" s="51"/>
      <c r="VG18" s="51"/>
      <c r="VH18" s="51"/>
      <c r="VI18" s="51"/>
      <c r="VJ18" s="51"/>
      <c r="VK18" s="52"/>
      <c r="VM18" s="24">
        <v>80</v>
      </c>
      <c r="VN18" s="6" t="s">
        <v>39</v>
      </c>
      <c r="VO18" s="50"/>
      <c r="VP18" s="51"/>
      <c r="VQ18" s="51"/>
      <c r="VR18" s="51"/>
      <c r="VS18" s="51"/>
      <c r="VT18" s="51"/>
      <c r="VU18" s="52"/>
      <c r="VW18" s="2">
        <v>100</v>
      </c>
      <c r="VX18" s="6" t="s">
        <v>39</v>
      </c>
      <c r="VY18" s="50"/>
      <c r="VZ18" s="51"/>
      <c r="WA18" s="51"/>
      <c r="WB18" s="51"/>
      <c r="WC18" s="51"/>
      <c r="WD18" s="51"/>
      <c r="WE18" s="52"/>
      <c r="WG18" s="2">
        <v>100</v>
      </c>
      <c r="WH18" s="6" t="s">
        <v>39</v>
      </c>
      <c r="WI18" s="50"/>
      <c r="WJ18" s="51"/>
      <c r="WK18" s="51"/>
      <c r="WL18" s="51"/>
      <c r="WM18" s="51"/>
      <c r="WN18" s="51"/>
      <c r="WO18" s="52"/>
      <c r="WQ18" s="2">
        <v>85</v>
      </c>
      <c r="WR18" s="6" t="s">
        <v>39</v>
      </c>
      <c r="WS18" s="50"/>
      <c r="WT18" s="51"/>
      <c r="WU18" s="51"/>
      <c r="WV18" s="51"/>
      <c r="WW18" s="51"/>
      <c r="WX18" s="51"/>
      <c r="WY18" s="52"/>
      <c r="XA18" s="24">
        <v>82</v>
      </c>
      <c r="XB18" s="6" t="s">
        <v>39</v>
      </c>
      <c r="XC18" s="50"/>
      <c r="XD18" s="51"/>
      <c r="XE18" s="51"/>
      <c r="XF18" s="51"/>
      <c r="XG18" s="51"/>
      <c r="XH18" s="51"/>
      <c r="XI18" s="52"/>
      <c r="XK18" s="24">
        <v>78</v>
      </c>
      <c r="XL18" s="6" t="s">
        <v>39</v>
      </c>
      <c r="XM18" s="50"/>
      <c r="XN18" s="51"/>
      <c r="XO18" s="51"/>
      <c r="XP18" s="51"/>
      <c r="XQ18" s="51"/>
      <c r="XR18" s="51"/>
      <c r="XS18" s="52"/>
      <c r="XU18" s="24">
        <v>100</v>
      </c>
      <c r="XV18" s="6" t="s">
        <v>39</v>
      </c>
      <c r="XW18" s="50"/>
      <c r="XX18" s="51"/>
      <c r="XY18" s="51"/>
      <c r="XZ18" s="51"/>
      <c r="YA18" s="51"/>
      <c r="YB18" s="51"/>
      <c r="YC18" s="52"/>
      <c r="YE18" s="24">
        <v>100</v>
      </c>
      <c r="YF18" s="6" t="s">
        <v>39</v>
      </c>
      <c r="YG18" s="50"/>
      <c r="YH18" s="51"/>
      <c r="YI18" s="51"/>
      <c r="YJ18" s="51"/>
      <c r="YK18" s="51"/>
      <c r="YL18" s="51"/>
      <c r="YM18" s="52"/>
      <c r="YO18" s="24">
        <v>100</v>
      </c>
      <c r="YP18" s="6" t="s">
        <v>39</v>
      </c>
      <c r="YQ18" s="50"/>
      <c r="YR18" s="51"/>
      <c r="YS18" s="51"/>
      <c r="YT18" s="51"/>
      <c r="YU18" s="51"/>
      <c r="YV18" s="51"/>
      <c r="YW18" s="52"/>
      <c r="YY18" s="24">
        <v>100</v>
      </c>
      <c r="YZ18" s="6" t="s">
        <v>39</v>
      </c>
      <c r="ZA18" s="50"/>
      <c r="ZB18" s="51"/>
      <c r="ZC18" s="51"/>
      <c r="ZD18" s="51"/>
      <c r="ZE18" s="51"/>
      <c r="ZF18" s="51"/>
      <c r="ZG18" s="52"/>
      <c r="ZI18" s="24">
        <v>100</v>
      </c>
      <c r="ZJ18" s="6" t="s">
        <v>39</v>
      </c>
      <c r="ZK18" s="50"/>
      <c r="ZL18" s="51"/>
      <c r="ZM18" s="51"/>
      <c r="ZN18" s="51"/>
      <c r="ZO18" s="51"/>
      <c r="ZP18" s="51"/>
      <c r="ZQ18" s="52"/>
      <c r="ZS18" s="24">
        <v>100</v>
      </c>
      <c r="ZT18" s="6" t="s">
        <v>39</v>
      </c>
      <c r="ZU18" s="50"/>
      <c r="ZV18" s="51"/>
      <c r="ZW18" s="51"/>
      <c r="ZX18" s="51"/>
      <c r="ZY18" s="51"/>
      <c r="ZZ18" s="51"/>
      <c r="AAA18" s="52"/>
      <c r="AAC18" s="24">
        <v>100</v>
      </c>
      <c r="AAD18" s="6" t="s">
        <v>39</v>
      </c>
      <c r="AAE18" s="50"/>
      <c r="AAF18" s="51"/>
      <c r="AAG18" s="51"/>
      <c r="AAH18" s="51"/>
      <c r="AAI18" s="51"/>
      <c r="AAJ18" s="51"/>
      <c r="AAK18" s="52"/>
      <c r="AAM18" s="2">
        <v>100</v>
      </c>
      <c r="AAN18" s="6" t="s">
        <v>39</v>
      </c>
      <c r="AAO18" s="50"/>
      <c r="AAP18" s="51"/>
      <c r="AAQ18" s="51"/>
      <c r="AAR18" s="51"/>
      <c r="AAS18" s="51"/>
      <c r="AAT18" s="51"/>
      <c r="AAU18" s="52"/>
      <c r="AAW18" s="2">
        <v>100</v>
      </c>
      <c r="AAX18" s="6" t="s">
        <v>39</v>
      </c>
      <c r="AAY18" s="50"/>
      <c r="AAZ18" s="51"/>
      <c r="ABA18" s="51"/>
      <c r="ABB18" s="51"/>
      <c r="ABC18" s="51"/>
      <c r="ABD18" s="51"/>
      <c r="ABE18" s="52"/>
      <c r="ABG18" s="24">
        <v>100</v>
      </c>
      <c r="ABH18" s="6" t="s">
        <v>39</v>
      </c>
      <c r="ABI18" s="50"/>
      <c r="ABJ18" s="51"/>
      <c r="ABK18" s="51"/>
      <c r="ABL18" s="51"/>
      <c r="ABM18" s="51"/>
      <c r="ABN18" s="51"/>
      <c r="ABO18" s="52"/>
      <c r="ABQ18" s="2">
        <v>100</v>
      </c>
      <c r="ABR18" s="6" t="s">
        <v>39</v>
      </c>
      <c r="ABS18" s="50"/>
      <c r="ABT18" s="51"/>
      <c r="ABU18" s="51"/>
      <c r="ABV18" s="51"/>
      <c r="ABW18" s="51"/>
      <c r="ABX18" s="51"/>
      <c r="ABY18" s="52"/>
      <c r="ACA18" s="24">
        <v>100</v>
      </c>
      <c r="ACB18" s="6" t="s">
        <v>39</v>
      </c>
      <c r="ACC18" s="50"/>
      <c r="ACD18" s="51"/>
      <c r="ACE18" s="51"/>
      <c r="ACF18" s="51"/>
      <c r="ACG18" s="51"/>
      <c r="ACH18" s="51"/>
      <c r="ACI18" s="52"/>
      <c r="ACK18" s="24">
        <v>92</v>
      </c>
      <c r="ACL18" s="6" t="s">
        <v>39</v>
      </c>
      <c r="ACM18" s="50"/>
      <c r="ACN18" s="51"/>
      <c r="ACO18" s="51"/>
      <c r="ACP18" s="51"/>
      <c r="ACQ18" s="51"/>
      <c r="ACR18" s="51"/>
      <c r="ACS18" s="52"/>
      <c r="ACU18" s="24">
        <v>85</v>
      </c>
      <c r="ACV18" s="6" t="s">
        <v>39</v>
      </c>
      <c r="ACW18" s="50"/>
      <c r="ACX18" s="51"/>
      <c r="ACY18" s="51"/>
      <c r="ACZ18" s="51"/>
      <c r="ADA18" s="51"/>
      <c r="ADB18" s="51"/>
      <c r="ADC18" s="52"/>
      <c r="ADE18" s="24">
        <v>80</v>
      </c>
      <c r="ADF18" s="6" t="s">
        <v>39</v>
      </c>
      <c r="ADG18" s="50"/>
      <c r="ADH18" s="51"/>
      <c r="ADI18" s="51"/>
      <c r="ADJ18" s="51"/>
      <c r="ADK18" s="51"/>
      <c r="ADL18" s="51"/>
      <c r="ADM18" s="52"/>
      <c r="ADO18" s="24">
        <v>75</v>
      </c>
      <c r="ADP18" s="6" t="s">
        <v>39</v>
      </c>
      <c r="ADQ18" s="50"/>
      <c r="ADR18" s="51"/>
      <c r="ADS18" s="51"/>
      <c r="ADT18" s="51"/>
      <c r="ADU18" s="51"/>
      <c r="ADV18" s="51"/>
      <c r="ADW18" s="52"/>
      <c r="ADY18" s="24">
        <v>70</v>
      </c>
      <c r="ADZ18" s="6" t="s">
        <v>39</v>
      </c>
      <c r="AEA18" s="50"/>
      <c r="AEB18" s="51"/>
      <c r="AEC18" s="51"/>
      <c r="AED18" s="51"/>
      <c r="AEE18" s="51"/>
      <c r="AEF18" s="51"/>
      <c r="AEG18" s="52"/>
      <c r="AEI18" s="2">
        <v>64</v>
      </c>
      <c r="AEJ18" s="6" t="s">
        <v>39</v>
      </c>
      <c r="AEK18" s="50"/>
      <c r="AEL18" s="51"/>
      <c r="AEM18" s="51"/>
      <c r="AEN18" s="51"/>
      <c r="AEO18" s="51"/>
      <c r="AEP18" s="51"/>
      <c r="AEQ18" s="52"/>
      <c r="AES18" s="24">
        <v>58</v>
      </c>
      <c r="AET18" s="6" t="s">
        <v>39</v>
      </c>
      <c r="AEU18" s="50"/>
      <c r="AEV18" s="51"/>
      <c r="AEW18" s="51"/>
      <c r="AEX18" s="51"/>
      <c r="AEY18" s="51"/>
      <c r="AEZ18" s="51"/>
      <c r="AFA18" s="52"/>
      <c r="AFC18" s="2">
        <v>53</v>
      </c>
      <c r="AFD18" s="6" t="s">
        <v>39</v>
      </c>
      <c r="AFE18" s="50"/>
      <c r="AFF18" s="51"/>
      <c r="AFG18" s="51"/>
      <c r="AFH18" s="51"/>
      <c r="AFI18" s="51"/>
      <c r="AFJ18" s="51"/>
      <c r="AFK18" s="52"/>
      <c r="AFM18" s="2">
        <v>47</v>
      </c>
      <c r="AFN18" s="6" t="s">
        <v>39</v>
      </c>
      <c r="AFO18" s="50"/>
      <c r="AFP18" s="51"/>
      <c r="AFQ18" s="51"/>
      <c r="AFR18" s="51"/>
      <c r="AFS18" s="51"/>
      <c r="AFT18" s="51"/>
      <c r="AFU18" s="52"/>
      <c r="AFW18" s="24">
        <v>42</v>
      </c>
      <c r="AFX18" s="6" t="s">
        <v>39</v>
      </c>
      <c r="AFY18" s="50"/>
      <c r="AFZ18" s="51"/>
      <c r="AGA18" s="51"/>
      <c r="AGB18" s="51"/>
      <c r="AGC18" s="51"/>
      <c r="AGD18" s="51"/>
      <c r="AGE18" s="52"/>
      <c r="AGG18" s="24">
        <v>36</v>
      </c>
      <c r="AGH18" s="6" t="s">
        <v>39</v>
      </c>
      <c r="AGI18" s="50"/>
      <c r="AGJ18" s="51"/>
      <c r="AGK18" s="51"/>
      <c r="AGL18" s="51"/>
      <c r="AGM18" s="51"/>
      <c r="AGN18" s="51"/>
      <c r="AGO18" s="52"/>
      <c r="AGQ18" s="24">
        <v>100</v>
      </c>
      <c r="AGR18" s="6" t="s">
        <v>39</v>
      </c>
      <c r="AGS18" s="50"/>
      <c r="AGT18" s="51"/>
      <c r="AGU18" s="51"/>
      <c r="AGV18" s="51"/>
      <c r="AGW18" s="51"/>
      <c r="AGX18" s="51"/>
      <c r="AGY18" s="52"/>
      <c r="AHA18" s="24">
        <v>100</v>
      </c>
      <c r="AHB18" s="6" t="s">
        <v>39</v>
      </c>
      <c r="AHC18" s="50"/>
      <c r="AHD18" s="51"/>
      <c r="AHE18" s="51"/>
      <c r="AHF18" s="51"/>
      <c r="AHG18" s="51"/>
      <c r="AHH18" s="51"/>
      <c r="AHI18" s="52"/>
      <c r="AHK18" s="2">
        <v>100</v>
      </c>
      <c r="AHL18" s="6" t="s">
        <v>39</v>
      </c>
      <c r="AHM18" s="50"/>
      <c r="AHN18" s="51"/>
      <c r="AHO18" s="51"/>
      <c r="AHP18" s="51"/>
      <c r="AHQ18" s="51"/>
      <c r="AHR18" s="51"/>
      <c r="AHS18" s="52"/>
      <c r="AHU18" s="2">
        <v>100</v>
      </c>
      <c r="AHV18" s="6" t="s">
        <v>39</v>
      </c>
      <c r="AHW18" s="50"/>
      <c r="AHX18" s="51"/>
      <c r="AHY18" s="51"/>
      <c r="AHZ18" s="51"/>
      <c r="AIA18" s="51"/>
      <c r="AIB18" s="51"/>
      <c r="AIC18" s="52"/>
      <c r="AIE18" s="24">
        <v>100</v>
      </c>
      <c r="AIF18" s="6" t="s">
        <v>39</v>
      </c>
      <c r="AIG18" s="50"/>
      <c r="AIH18" s="51"/>
      <c r="AII18" s="51"/>
      <c r="AIJ18" s="51"/>
      <c r="AIK18" s="51"/>
      <c r="AIL18" s="51"/>
      <c r="AIM18" s="52"/>
      <c r="AIO18" s="24">
        <v>95</v>
      </c>
      <c r="AIP18" s="6" t="s">
        <v>39</v>
      </c>
      <c r="AIQ18" s="50"/>
      <c r="AIR18" s="51"/>
      <c r="AIS18" s="51"/>
      <c r="AIT18" s="51"/>
      <c r="AIU18" s="51"/>
      <c r="AIV18" s="51"/>
      <c r="AIW18" s="52"/>
      <c r="AIY18" s="24">
        <v>88</v>
      </c>
      <c r="AIZ18" s="6" t="s">
        <v>39</v>
      </c>
      <c r="AJA18" s="50"/>
      <c r="AJB18" s="51"/>
      <c r="AJC18" s="51"/>
      <c r="AJD18" s="51"/>
      <c r="AJE18" s="51"/>
      <c r="AJF18" s="51"/>
      <c r="AJG18" s="52"/>
      <c r="AJI18" s="2">
        <v>81</v>
      </c>
      <c r="AJJ18" s="6" t="s">
        <v>39</v>
      </c>
      <c r="AJK18" s="50"/>
      <c r="AJL18" s="51"/>
      <c r="AJM18" s="51"/>
      <c r="AJN18" s="51"/>
      <c r="AJO18" s="51"/>
      <c r="AJP18" s="51"/>
      <c r="AJQ18" s="52"/>
      <c r="AJS18" s="24">
        <v>76</v>
      </c>
      <c r="AJT18" s="6" t="s">
        <v>39</v>
      </c>
      <c r="AJU18" s="50"/>
      <c r="AJV18" s="51"/>
      <c r="AJW18" s="51"/>
      <c r="AJX18" s="51"/>
      <c r="AJY18" s="51"/>
      <c r="AJZ18" s="51"/>
      <c r="AKA18" s="52"/>
      <c r="AKC18" s="2">
        <v>70</v>
      </c>
      <c r="AKD18" s="6" t="s">
        <v>39</v>
      </c>
      <c r="AKE18" s="50"/>
      <c r="AKF18" s="51"/>
      <c r="AKG18" s="51"/>
      <c r="AKH18" s="51"/>
      <c r="AKI18" s="51"/>
      <c r="AKJ18" s="51"/>
      <c r="AKK18" s="52"/>
      <c r="AKM18" s="24">
        <v>62</v>
      </c>
      <c r="AKN18" s="6" t="s">
        <v>39</v>
      </c>
      <c r="AKO18" s="50"/>
      <c r="AKP18" s="51"/>
      <c r="AKQ18" s="51"/>
      <c r="AKR18" s="51"/>
      <c r="AKS18" s="51"/>
      <c r="AKT18" s="51"/>
      <c r="AKU18" s="52"/>
      <c r="AKW18" s="2">
        <v>57</v>
      </c>
      <c r="AKX18" s="6" t="s">
        <v>39</v>
      </c>
      <c r="AKY18" s="50"/>
      <c r="AKZ18" s="51"/>
      <c r="ALA18" s="51"/>
      <c r="ALB18" s="51"/>
      <c r="ALC18" s="51"/>
      <c r="ALD18" s="51"/>
      <c r="ALE18" s="52"/>
      <c r="ALG18" s="2">
        <v>50</v>
      </c>
      <c r="ALH18" s="6" t="s">
        <v>39</v>
      </c>
      <c r="ALI18" s="50"/>
      <c r="ALJ18" s="51"/>
      <c r="ALK18" s="51"/>
      <c r="ALL18" s="51"/>
      <c r="ALM18" s="51"/>
      <c r="ALN18" s="51"/>
      <c r="ALO18" s="52"/>
      <c r="ALQ18" s="24">
        <v>44</v>
      </c>
      <c r="ALR18" s="6" t="s">
        <v>39</v>
      </c>
      <c r="ALS18" s="50"/>
      <c r="ALT18" s="51"/>
      <c r="ALU18" s="51"/>
      <c r="ALV18" s="51"/>
      <c r="ALW18" s="51"/>
      <c r="ALX18" s="51"/>
      <c r="ALY18" s="52"/>
      <c r="AMA18" s="24">
        <v>40</v>
      </c>
      <c r="AMB18" s="6" t="s">
        <v>39</v>
      </c>
      <c r="AMC18" s="50"/>
      <c r="AMD18" s="51"/>
      <c r="AME18" s="51"/>
      <c r="AMF18" s="51"/>
      <c r="AMG18" s="51"/>
      <c r="AMH18" s="51"/>
      <c r="AMI18" s="52"/>
      <c r="AMK18" s="24">
        <v>31</v>
      </c>
      <c r="AML18" s="6" t="s">
        <v>39</v>
      </c>
      <c r="AMM18" s="50"/>
      <c r="AMN18" s="51"/>
      <c r="AMO18" s="51"/>
      <c r="AMP18" s="51"/>
      <c r="AMQ18" s="51"/>
      <c r="AMR18" s="51"/>
      <c r="AMS18" s="52"/>
      <c r="AMU18" s="2">
        <v>100</v>
      </c>
      <c r="AMV18" s="6" t="s">
        <v>39</v>
      </c>
      <c r="AMW18" s="50"/>
      <c r="AMX18" s="51"/>
      <c r="AMY18" s="51"/>
      <c r="AMZ18" s="51"/>
      <c r="ANA18" s="51"/>
      <c r="ANB18" s="51"/>
      <c r="ANC18" s="52"/>
      <c r="ANE18" s="2">
        <v>100</v>
      </c>
      <c r="ANF18" s="6" t="s">
        <v>39</v>
      </c>
      <c r="ANG18" s="50"/>
      <c r="ANH18" s="51"/>
      <c r="ANI18" s="51"/>
      <c r="ANJ18" s="51"/>
      <c r="ANK18" s="51"/>
      <c r="ANL18" s="51"/>
      <c r="ANM18" s="52"/>
      <c r="ANO18" s="24">
        <v>100</v>
      </c>
      <c r="ANP18" s="6" t="s">
        <v>39</v>
      </c>
      <c r="ANQ18" s="50"/>
      <c r="ANR18" s="51"/>
      <c r="ANS18" s="51"/>
      <c r="ANT18" s="51"/>
      <c r="ANU18" s="51"/>
      <c r="ANV18" s="51"/>
      <c r="ANW18" s="52"/>
      <c r="ANY18" s="24">
        <v>100</v>
      </c>
      <c r="ANZ18" s="6" t="s">
        <v>39</v>
      </c>
      <c r="AOA18" s="50"/>
      <c r="AOB18" s="51"/>
      <c r="AOC18" s="51"/>
      <c r="AOD18" s="51"/>
      <c r="AOE18" s="51"/>
      <c r="AOF18" s="51"/>
      <c r="AOG18" s="52"/>
      <c r="AOI18" s="24">
        <v>95</v>
      </c>
      <c r="AOJ18" s="6" t="s">
        <v>39</v>
      </c>
      <c r="AOK18" s="50"/>
      <c r="AOL18" s="51"/>
      <c r="AOM18" s="51"/>
      <c r="AON18" s="51"/>
      <c r="AOO18" s="51"/>
      <c r="AOP18" s="51"/>
      <c r="AOQ18" s="52"/>
      <c r="AOS18" s="2"/>
      <c r="AOT18" s="6" t="s">
        <v>39</v>
      </c>
      <c r="AOU18" s="50"/>
      <c r="AOV18" s="51"/>
      <c r="AOW18" s="51"/>
      <c r="AOX18" s="51"/>
      <c r="AOY18" s="51"/>
      <c r="AOZ18" s="51"/>
      <c r="APA18" s="52"/>
    </row>
    <row r="19" spans="1:1093" ht="11.25" x14ac:dyDescent="0.2">
      <c r="A19" s="11"/>
    </row>
    <row r="20" spans="1:1093" ht="12.75" customHeight="1" x14ac:dyDescent="0.2">
      <c r="A20" s="11" t="s">
        <v>40</v>
      </c>
    </row>
    <row r="21" spans="1:1093" ht="12.75" customHeight="1" x14ac:dyDescent="0.2">
      <c r="A21" s="12" t="s">
        <v>41</v>
      </c>
    </row>
    <row r="22" spans="1:1093" ht="12.75" customHeight="1" x14ac:dyDescent="0.2">
      <c r="A22" s="11" t="s">
        <v>42</v>
      </c>
    </row>
    <row r="23" spans="1:1093" ht="12.75" customHeight="1" x14ac:dyDescent="0.2">
      <c r="A23" s="12" t="s">
        <v>43</v>
      </c>
    </row>
    <row r="24" spans="1:1093" ht="12.75" customHeight="1" x14ac:dyDescent="0.2">
      <c r="A24" s="12" t="s">
        <v>44</v>
      </c>
    </row>
  </sheetData>
  <sheetProtection selectLockedCells="1"/>
  <mergeCells count="1309">
    <mergeCell ref="Q1:S1"/>
    <mergeCell ref="T1:U1"/>
    <mergeCell ref="V1:W1"/>
    <mergeCell ref="Y1:Z1"/>
    <mergeCell ref="AA1:AC1"/>
    <mergeCell ref="AD1:AE1"/>
    <mergeCell ref="B1:D1"/>
    <mergeCell ref="E1:F1"/>
    <mergeCell ref="G1:I1"/>
    <mergeCell ref="J1:K1"/>
    <mergeCell ref="L1:M1"/>
    <mergeCell ref="O1:P1"/>
    <mergeCell ref="BJ1:BK1"/>
    <mergeCell ref="BM1:BN1"/>
    <mergeCell ref="BO1:BQ1"/>
    <mergeCell ref="BR1:BS1"/>
    <mergeCell ref="BT1:BU1"/>
    <mergeCell ref="BW1:BX1"/>
    <mergeCell ref="AU1:AW1"/>
    <mergeCell ref="AX1:AY1"/>
    <mergeCell ref="AZ1:BA1"/>
    <mergeCell ref="BC1:BD1"/>
    <mergeCell ref="BE1:BG1"/>
    <mergeCell ref="BH1:BI1"/>
    <mergeCell ref="AF1:AG1"/>
    <mergeCell ref="AI1:AJ1"/>
    <mergeCell ref="AK1:AM1"/>
    <mergeCell ref="AN1:AO1"/>
    <mergeCell ref="AP1:AQ1"/>
    <mergeCell ref="AS1:AT1"/>
    <mergeCell ref="DC1:DE1"/>
    <mergeCell ref="DF1:DG1"/>
    <mergeCell ref="DH1:DI1"/>
    <mergeCell ref="DK1:DL1"/>
    <mergeCell ref="DM1:DO1"/>
    <mergeCell ref="DP1:DQ1"/>
    <mergeCell ref="CN1:CO1"/>
    <mergeCell ref="CQ1:CR1"/>
    <mergeCell ref="CS1:CU1"/>
    <mergeCell ref="CV1:CW1"/>
    <mergeCell ref="CX1:CY1"/>
    <mergeCell ref="DA1:DB1"/>
    <mergeCell ref="BY1:CA1"/>
    <mergeCell ref="CB1:CC1"/>
    <mergeCell ref="CD1:CE1"/>
    <mergeCell ref="CG1:CH1"/>
    <mergeCell ref="CI1:CK1"/>
    <mergeCell ref="CL1:CM1"/>
    <mergeCell ref="EV1:EW1"/>
    <mergeCell ref="EY1:EZ1"/>
    <mergeCell ref="FA1:FC1"/>
    <mergeCell ref="FD1:FE1"/>
    <mergeCell ref="FF1:FG1"/>
    <mergeCell ref="FI1:FJ1"/>
    <mergeCell ref="EG1:EI1"/>
    <mergeCell ref="EJ1:EK1"/>
    <mergeCell ref="EL1:EM1"/>
    <mergeCell ref="EO1:EP1"/>
    <mergeCell ref="EQ1:ES1"/>
    <mergeCell ref="ET1:EU1"/>
    <mergeCell ref="DR1:DS1"/>
    <mergeCell ref="DU1:DV1"/>
    <mergeCell ref="DW1:DY1"/>
    <mergeCell ref="DZ1:EA1"/>
    <mergeCell ref="EB1:EC1"/>
    <mergeCell ref="EE1:EF1"/>
    <mergeCell ref="GO1:GQ1"/>
    <mergeCell ref="GR1:GS1"/>
    <mergeCell ref="GT1:GU1"/>
    <mergeCell ref="GW1:GX1"/>
    <mergeCell ref="GY1:HA1"/>
    <mergeCell ref="HB1:HC1"/>
    <mergeCell ref="FZ1:GA1"/>
    <mergeCell ref="GC1:GD1"/>
    <mergeCell ref="GE1:GG1"/>
    <mergeCell ref="GH1:GI1"/>
    <mergeCell ref="GJ1:GK1"/>
    <mergeCell ref="GM1:GN1"/>
    <mergeCell ref="FK1:FM1"/>
    <mergeCell ref="FN1:FO1"/>
    <mergeCell ref="FP1:FQ1"/>
    <mergeCell ref="FS1:FT1"/>
    <mergeCell ref="FU1:FW1"/>
    <mergeCell ref="FX1:FY1"/>
    <mergeCell ref="IH1:II1"/>
    <mergeCell ref="IK1:IL1"/>
    <mergeCell ref="IM1:IO1"/>
    <mergeCell ref="IP1:IQ1"/>
    <mergeCell ref="IR1:IS1"/>
    <mergeCell ref="IU1:IV1"/>
    <mergeCell ref="HS1:HU1"/>
    <mergeCell ref="HV1:HW1"/>
    <mergeCell ref="HX1:HY1"/>
    <mergeCell ref="IA1:IB1"/>
    <mergeCell ref="IC1:IE1"/>
    <mergeCell ref="IF1:IG1"/>
    <mergeCell ref="HD1:HE1"/>
    <mergeCell ref="HG1:HH1"/>
    <mergeCell ref="HI1:HK1"/>
    <mergeCell ref="HL1:HM1"/>
    <mergeCell ref="HN1:HO1"/>
    <mergeCell ref="HQ1:HR1"/>
    <mergeCell ref="KA1:KC1"/>
    <mergeCell ref="KD1:KE1"/>
    <mergeCell ref="KF1:KG1"/>
    <mergeCell ref="KI1:KJ1"/>
    <mergeCell ref="KK1:KM1"/>
    <mergeCell ref="KN1:KO1"/>
    <mergeCell ref="JL1:JM1"/>
    <mergeCell ref="JO1:JP1"/>
    <mergeCell ref="JQ1:JS1"/>
    <mergeCell ref="JT1:JU1"/>
    <mergeCell ref="JV1:JW1"/>
    <mergeCell ref="JY1:JZ1"/>
    <mergeCell ref="IW1:IY1"/>
    <mergeCell ref="IZ1:JA1"/>
    <mergeCell ref="JB1:JC1"/>
    <mergeCell ref="JE1:JF1"/>
    <mergeCell ref="JG1:JI1"/>
    <mergeCell ref="JJ1:JK1"/>
    <mergeCell ref="LT1:LU1"/>
    <mergeCell ref="LW1:LX1"/>
    <mergeCell ref="LY1:MA1"/>
    <mergeCell ref="MB1:MC1"/>
    <mergeCell ref="MD1:ME1"/>
    <mergeCell ref="MG1:MH1"/>
    <mergeCell ref="LE1:LG1"/>
    <mergeCell ref="LH1:LI1"/>
    <mergeCell ref="LJ1:LK1"/>
    <mergeCell ref="LM1:LN1"/>
    <mergeCell ref="LO1:LQ1"/>
    <mergeCell ref="LR1:LS1"/>
    <mergeCell ref="KP1:KQ1"/>
    <mergeCell ref="KS1:KT1"/>
    <mergeCell ref="KU1:KW1"/>
    <mergeCell ref="KX1:KY1"/>
    <mergeCell ref="KZ1:LA1"/>
    <mergeCell ref="LC1:LD1"/>
    <mergeCell ref="NM1:NO1"/>
    <mergeCell ref="NP1:NQ1"/>
    <mergeCell ref="NR1:NS1"/>
    <mergeCell ref="NU1:NV1"/>
    <mergeCell ref="NW1:NY1"/>
    <mergeCell ref="NZ1:OA1"/>
    <mergeCell ref="MX1:MY1"/>
    <mergeCell ref="NA1:NB1"/>
    <mergeCell ref="NC1:NE1"/>
    <mergeCell ref="NF1:NG1"/>
    <mergeCell ref="NH1:NI1"/>
    <mergeCell ref="NK1:NL1"/>
    <mergeCell ref="MI1:MK1"/>
    <mergeCell ref="ML1:MM1"/>
    <mergeCell ref="MN1:MO1"/>
    <mergeCell ref="MQ1:MR1"/>
    <mergeCell ref="MS1:MU1"/>
    <mergeCell ref="MV1:MW1"/>
    <mergeCell ref="PF1:PG1"/>
    <mergeCell ref="PI1:PJ1"/>
    <mergeCell ref="PK1:PM1"/>
    <mergeCell ref="PN1:PO1"/>
    <mergeCell ref="PP1:PQ1"/>
    <mergeCell ref="PS1:PT1"/>
    <mergeCell ref="OQ1:OS1"/>
    <mergeCell ref="OT1:OU1"/>
    <mergeCell ref="OV1:OW1"/>
    <mergeCell ref="OY1:OZ1"/>
    <mergeCell ref="PA1:PC1"/>
    <mergeCell ref="PD1:PE1"/>
    <mergeCell ref="OB1:OC1"/>
    <mergeCell ref="OE1:OF1"/>
    <mergeCell ref="OG1:OI1"/>
    <mergeCell ref="OJ1:OK1"/>
    <mergeCell ref="OL1:OM1"/>
    <mergeCell ref="OO1:OP1"/>
    <mergeCell ref="QY1:RA1"/>
    <mergeCell ref="RB1:RC1"/>
    <mergeCell ref="RD1:RE1"/>
    <mergeCell ref="RG1:RH1"/>
    <mergeCell ref="RI1:RK1"/>
    <mergeCell ref="RL1:RM1"/>
    <mergeCell ref="QJ1:QK1"/>
    <mergeCell ref="QM1:QN1"/>
    <mergeCell ref="QO1:QQ1"/>
    <mergeCell ref="QR1:QS1"/>
    <mergeCell ref="QT1:QU1"/>
    <mergeCell ref="QW1:QX1"/>
    <mergeCell ref="PU1:PW1"/>
    <mergeCell ref="PX1:PY1"/>
    <mergeCell ref="PZ1:QA1"/>
    <mergeCell ref="QC1:QD1"/>
    <mergeCell ref="QE1:QG1"/>
    <mergeCell ref="QH1:QI1"/>
    <mergeCell ref="SR1:SS1"/>
    <mergeCell ref="SU1:SV1"/>
    <mergeCell ref="SW1:SY1"/>
    <mergeCell ref="SZ1:TA1"/>
    <mergeCell ref="TB1:TC1"/>
    <mergeCell ref="TE1:TF1"/>
    <mergeCell ref="SC1:SE1"/>
    <mergeCell ref="SF1:SG1"/>
    <mergeCell ref="SH1:SI1"/>
    <mergeCell ref="SK1:SL1"/>
    <mergeCell ref="SM1:SO1"/>
    <mergeCell ref="SP1:SQ1"/>
    <mergeCell ref="RN1:RO1"/>
    <mergeCell ref="RQ1:RR1"/>
    <mergeCell ref="RS1:RU1"/>
    <mergeCell ref="RV1:RW1"/>
    <mergeCell ref="RX1:RY1"/>
    <mergeCell ref="SA1:SB1"/>
    <mergeCell ref="UK1:UM1"/>
    <mergeCell ref="UN1:UO1"/>
    <mergeCell ref="UP1:UQ1"/>
    <mergeCell ref="US1:UT1"/>
    <mergeCell ref="UU1:UW1"/>
    <mergeCell ref="UX1:UY1"/>
    <mergeCell ref="TV1:TW1"/>
    <mergeCell ref="TY1:TZ1"/>
    <mergeCell ref="UA1:UC1"/>
    <mergeCell ref="UD1:UE1"/>
    <mergeCell ref="UF1:UG1"/>
    <mergeCell ref="UI1:UJ1"/>
    <mergeCell ref="TG1:TI1"/>
    <mergeCell ref="TJ1:TK1"/>
    <mergeCell ref="TL1:TM1"/>
    <mergeCell ref="TO1:TP1"/>
    <mergeCell ref="TQ1:TS1"/>
    <mergeCell ref="TT1:TU1"/>
    <mergeCell ref="WD1:WE1"/>
    <mergeCell ref="WG1:WH1"/>
    <mergeCell ref="WI1:WK1"/>
    <mergeCell ref="WL1:WM1"/>
    <mergeCell ref="WN1:WO1"/>
    <mergeCell ref="WQ1:WR1"/>
    <mergeCell ref="VO1:VQ1"/>
    <mergeCell ref="VR1:VS1"/>
    <mergeCell ref="VT1:VU1"/>
    <mergeCell ref="VW1:VX1"/>
    <mergeCell ref="VY1:WA1"/>
    <mergeCell ref="WB1:WC1"/>
    <mergeCell ref="UZ1:VA1"/>
    <mergeCell ref="VC1:VD1"/>
    <mergeCell ref="VE1:VG1"/>
    <mergeCell ref="VH1:VI1"/>
    <mergeCell ref="VJ1:VK1"/>
    <mergeCell ref="VM1:VN1"/>
    <mergeCell ref="XW1:XY1"/>
    <mergeCell ref="XZ1:YA1"/>
    <mergeCell ref="YB1:YC1"/>
    <mergeCell ref="YE1:YF1"/>
    <mergeCell ref="YG1:YI1"/>
    <mergeCell ref="YJ1:YK1"/>
    <mergeCell ref="XH1:XI1"/>
    <mergeCell ref="XK1:XL1"/>
    <mergeCell ref="XM1:XO1"/>
    <mergeCell ref="XP1:XQ1"/>
    <mergeCell ref="XR1:XS1"/>
    <mergeCell ref="XU1:XV1"/>
    <mergeCell ref="WS1:WU1"/>
    <mergeCell ref="WV1:WW1"/>
    <mergeCell ref="WX1:WY1"/>
    <mergeCell ref="XA1:XB1"/>
    <mergeCell ref="XC1:XE1"/>
    <mergeCell ref="XF1:XG1"/>
    <mergeCell ref="ZP1:ZQ1"/>
    <mergeCell ref="ZS1:ZT1"/>
    <mergeCell ref="ZU1:ZW1"/>
    <mergeCell ref="ZX1:ZY1"/>
    <mergeCell ref="ZZ1:AAA1"/>
    <mergeCell ref="AAC1:AAD1"/>
    <mergeCell ref="ZA1:ZC1"/>
    <mergeCell ref="ZD1:ZE1"/>
    <mergeCell ref="ZF1:ZG1"/>
    <mergeCell ref="ZI1:ZJ1"/>
    <mergeCell ref="ZK1:ZM1"/>
    <mergeCell ref="ZN1:ZO1"/>
    <mergeCell ref="YL1:YM1"/>
    <mergeCell ref="YO1:YP1"/>
    <mergeCell ref="YQ1:YS1"/>
    <mergeCell ref="YT1:YU1"/>
    <mergeCell ref="YV1:YW1"/>
    <mergeCell ref="YY1:YZ1"/>
    <mergeCell ref="ABI1:ABK1"/>
    <mergeCell ref="ABL1:ABM1"/>
    <mergeCell ref="ABN1:ABO1"/>
    <mergeCell ref="ABQ1:ABR1"/>
    <mergeCell ref="ABS1:ABU1"/>
    <mergeCell ref="ABV1:ABW1"/>
    <mergeCell ref="AAT1:AAU1"/>
    <mergeCell ref="AAW1:AAX1"/>
    <mergeCell ref="AAY1:ABA1"/>
    <mergeCell ref="ABB1:ABC1"/>
    <mergeCell ref="ABD1:ABE1"/>
    <mergeCell ref="ABG1:ABH1"/>
    <mergeCell ref="AAE1:AAG1"/>
    <mergeCell ref="AAH1:AAI1"/>
    <mergeCell ref="AAJ1:AAK1"/>
    <mergeCell ref="AAM1:AAN1"/>
    <mergeCell ref="AAO1:AAQ1"/>
    <mergeCell ref="AAR1:AAS1"/>
    <mergeCell ref="ADB1:ADC1"/>
    <mergeCell ref="ADE1:ADF1"/>
    <mergeCell ref="ADG1:ADI1"/>
    <mergeCell ref="ADJ1:ADK1"/>
    <mergeCell ref="ADL1:ADM1"/>
    <mergeCell ref="ADO1:ADP1"/>
    <mergeCell ref="ACM1:ACO1"/>
    <mergeCell ref="ACP1:ACQ1"/>
    <mergeCell ref="ACR1:ACS1"/>
    <mergeCell ref="ACU1:ACV1"/>
    <mergeCell ref="ACW1:ACY1"/>
    <mergeCell ref="ACZ1:ADA1"/>
    <mergeCell ref="ABX1:ABY1"/>
    <mergeCell ref="ACA1:ACB1"/>
    <mergeCell ref="ACC1:ACE1"/>
    <mergeCell ref="ACF1:ACG1"/>
    <mergeCell ref="ACH1:ACI1"/>
    <mergeCell ref="ACK1:ACL1"/>
    <mergeCell ref="AEU1:AEW1"/>
    <mergeCell ref="AEX1:AEY1"/>
    <mergeCell ref="AEZ1:AFA1"/>
    <mergeCell ref="AFC1:AFD1"/>
    <mergeCell ref="AFE1:AFG1"/>
    <mergeCell ref="AFH1:AFI1"/>
    <mergeCell ref="AEF1:AEG1"/>
    <mergeCell ref="AEI1:AEJ1"/>
    <mergeCell ref="AEK1:AEM1"/>
    <mergeCell ref="AEN1:AEO1"/>
    <mergeCell ref="AEP1:AEQ1"/>
    <mergeCell ref="AES1:AET1"/>
    <mergeCell ref="ADQ1:ADS1"/>
    <mergeCell ref="ADT1:ADU1"/>
    <mergeCell ref="ADV1:ADW1"/>
    <mergeCell ref="ADY1:ADZ1"/>
    <mergeCell ref="AEA1:AEC1"/>
    <mergeCell ref="AED1:AEE1"/>
    <mergeCell ref="AGN1:AGO1"/>
    <mergeCell ref="AGQ1:AGR1"/>
    <mergeCell ref="AGS1:AGU1"/>
    <mergeCell ref="AGV1:AGW1"/>
    <mergeCell ref="AGX1:AGY1"/>
    <mergeCell ref="AHA1:AHB1"/>
    <mergeCell ref="AFY1:AGA1"/>
    <mergeCell ref="AGB1:AGC1"/>
    <mergeCell ref="AGD1:AGE1"/>
    <mergeCell ref="AGG1:AGH1"/>
    <mergeCell ref="AGI1:AGK1"/>
    <mergeCell ref="AGL1:AGM1"/>
    <mergeCell ref="AFJ1:AFK1"/>
    <mergeCell ref="AFM1:AFN1"/>
    <mergeCell ref="AFO1:AFQ1"/>
    <mergeCell ref="AFR1:AFS1"/>
    <mergeCell ref="AFT1:AFU1"/>
    <mergeCell ref="AFW1:AFX1"/>
    <mergeCell ref="AIG1:AII1"/>
    <mergeCell ref="AIJ1:AIK1"/>
    <mergeCell ref="AIL1:AIM1"/>
    <mergeCell ref="AIO1:AIP1"/>
    <mergeCell ref="AIQ1:AIS1"/>
    <mergeCell ref="AIT1:AIU1"/>
    <mergeCell ref="AHR1:AHS1"/>
    <mergeCell ref="AHU1:AHV1"/>
    <mergeCell ref="AHW1:AHY1"/>
    <mergeCell ref="AHZ1:AIA1"/>
    <mergeCell ref="AIB1:AIC1"/>
    <mergeCell ref="AIE1:AIF1"/>
    <mergeCell ref="AHC1:AHE1"/>
    <mergeCell ref="AHF1:AHG1"/>
    <mergeCell ref="AHH1:AHI1"/>
    <mergeCell ref="AHK1:AHL1"/>
    <mergeCell ref="AHM1:AHO1"/>
    <mergeCell ref="AHP1:AHQ1"/>
    <mergeCell ref="AJZ1:AKA1"/>
    <mergeCell ref="AKC1:AKD1"/>
    <mergeCell ref="AKE1:AKG1"/>
    <mergeCell ref="AKH1:AKI1"/>
    <mergeCell ref="AKJ1:AKK1"/>
    <mergeCell ref="AKM1:AKN1"/>
    <mergeCell ref="AJK1:AJM1"/>
    <mergeCell ref="AJN1:AJO1"/>
    <mergeCell ref="AJP1:AJQ1"/>
    <mergeCell ref="AJS1:AJT1"/>
    <mergeCell ref="AJU1:AJW1"/>
    <mergeCell ref="AJX1:AJY1"/>
    <mergeCell ref="AIV1:AIW1"/>
    <mergeCell ref="AIY1:AIZ1"/>
    <mergeCell ref="AJA1:AJC1"/>
    <mergeCell ref="AJD1:AJE1"/>
    <mergeCell ref="AJF1:AJG1"/>
    <mergeCell ref="AJI1:AJJ1"/>
    <mergeCell ref="E2:F2"/>
    <mergeCell ref="G2:H2"/>
    <mergeCell ref="O2:P2"/>
    <mergeCell ref="Q2:R2"/>
    <mergeCell ref="Y2:Z2"/>
    <mergeCell ref="AOA1:AOC1"/>
    <mergeCell ref="AOD1:AOE1"/>
    <mergeCell ref="AOF1:AOG1"/>
    <mergeCell ref="AOI1:AOJ1"/>
    <mergeCell ref="AOK1:AOM1"/>
    <mergeCell ref="AON1:AOO1"/>
    <mergeCell ref="ANL1:ANM1"/>
    <mergeCell ref="ANO1:ANP1"/>
    <mergeCell ref="ANQ1:ANS1"/>
    <mergeCell ref="ANT1:ANU1"/>
    <mergeCell ref="ANV1:ANW1"/>
    <mergeCell ref="ANY1:ANZ1"/>
    <mergeCell ref="AMW1:AMY1"/>
    <mergeCell ref="AMZ1:ANA1"/>
    <mergeCell ref="ANB1:ANC1"/>
    <mergeCell ref="ANE1:ANF1"/>
    <mergeCell ref="ANG1:ANI1"/>
    <mergeCell ref="ANJ1:ANK1"/>
    <mergeCell ref="AMH1:AMI1"/>
    <mergeCell ref="AMK1:AML1"/>
    <mergeCell ref="AMM1:AMO1"/>
    <mergeCell ref="AMP1:AMQ1"/>
    <mergeCell ref="AMR1:AMS1"/>
    <mergeCell ref="AMU1:AMV1"/>
    <mergeCell ref="ALS1:ALU1"/>
    <mergeCell ref="ALV1:ALW1"/>
    <mergeCell ref="ALX1:ALY1"/>
    <mergeCell ref="BE2:BF2"/>
    <mergeCell ref="BM2:BN2"/>
    <mergeCell ref="BO2:BP2"/>
    <mergeCell ref="BW2:BX2"/>
    <mergeCell ref="BY2:BZ2"/>
    <mergeCell ref="CG2:CH2"/>
    <mergeCell ref="AA2:AB2"/>
    <mergeCell ref="AI2:AJ2"/>
    <mergeCell ref="AK2:AL2"/>
    <mergeCell ref="AS2:AT2"/>
    <mergeCell ref="AU2:AV2"/>
    <mergeCell ref="BC2:BD2"/>
    <mergeCell ref="AOP1:AOQ1"/>
    <mergeCell ref="AOS1:AOT1"/>
    <mergeCell ref="AOU1:AOW1"/>
    <mergeCell ref="AOX1:AOY1"/>
    <mergeCell ref="AOZ1:APA1"/>
    <mergeCell ref="AMA1:AMB1"/>
    <mergeCell ref="AMC1:AME1"/>
    <mergeCell ref="AMF1:AMG1"/>
    <mergeCell ref="ALD1:ALE1"/>
    <mergeCell ref="ALG1:ALH1"/>
    <mergeCell ref="ALI1:ALK1"/>
    <mergeCell ref="ALL1:ALM1"/>
    <mergeCell ref="ALN1:ALO1"/>
    <mergeCell ref="ALQ1:ALR1"/>
    <mergeCell ref="AKO1:AKQ1"/>
    <mergeCell ref="AKR1:AKS1"/>
    <mergeCell ref="AKT1:AKU1"/>
    <mergeCell ref="AKW1:AKX1"/>
    <mergeCell ref="AKY1:ALA1"/>
    <mergeCell ref="ALB1:ALC1"/>
    <mergeCell ref="EQ2:ER2"/>
    <mergeCell ref="EY2:EZ2"/>
    <mergeCell ref="FA2:FB2"/>
    <mergeCell ref="FI2:FJ2"/>
    <mergeCell ref="FK2:FL2"/>
    <mergeCell ref="FS2:FT2"/>
    <mergeCell ref="DM2:DN2"/>
    <mergeCell ref="DU2:DV2"/>
    <mergeCell ref="DW2:DX2"/>
    <mergeCell ref="EE2:EF2"/>
    <mergeCell ref="EG2:EH2"/>
    <mergeCell ref="EO2:EP2"/>
    <mergeCell ref="CI2:CJ2"/>
    <mergeCell ref="CQ2:CR2"/>
    <mergeCell ref="CS2:CT2"/>
    <mergeCell ref="DA2:DB2"/>
    <mergeCell ref="DC2:DD2"/>
    <mergeCell ref="DK2:DL2"/>
    <mergeCell ref="IC2:ID2"/>
    <mergeCell ref="IK2:IL2"/>
    <mergeCell ref="IM2:IN2"/>
    <mergeCell ref="IU2:IV2"/>
    <mergeCell ref="IW2:IX2"/>
    <mergeCell ref="JE2:JF2"/>
    <mergeCell ref="GY2:GZ2"/>
    <mergeCell ref="HG2:HH2"/>
    <mergeCell ref="HI2:HJ2"/>
    <mergeCell ref="HQ2:HR2"/>
    <mergeCell ref="HS2:HT2"/>
    <mergeCell ref="IA2:IB2"/>
    <mergeCell ref="FU2:FV2"/>
    <mergeCell ref="GC2:GD2"/>
    <mergeCell ref="GE2:GF2"/>
    <mergeCell ref="GM2:GN2"/>
    <mergeCell ref="GO2:GP2"/>
    <mergeCell ref="GW2:GX2"/>
    <mergeCell ref="LO2:LP2"/>
    <mergeCell ref="LW2:LX2"/>
    <mergeCell ref="LY2:LZ2"/>
    <mergeCell ref="MG2:MH2"/>
    <mergeCell ref="MI2:MJ2"/>
    <mergeCell ref="MQ2:MR2"/>
    <mergeCell ref="KK2:KL2"/>
    <mergeCell ref="KS2:KT2"/>
    <mergeCell ref="KU2:KV2"/>
    <mergeCell ref="LC2:LD2"/>
    <mergeCell ref="LE2:LF2"/>
    <mergeCell ref="LM2:LN2"/>
    <mergeCell ref="JG2:JH2"/>
    <mergeCell ref="JO2:JP2"/>
    <mergeCell ref="JQ2:JR2"/>
    <mergeCell ref="JY2:JZ2"/>
    <mergeCell ref="KA2:KB2"/>
    <mergeCell ref="KI2:KJ2"/>
    <mergeCell ref="PA2:PB2"/>
    <mergeCell ref="PI2:PJ2"/>
    <mergeCell ref="PK2:PL2"/>
    <mergeCell ref="PS2:PT2"/>
    <mergeCell ref="PU2:PV2"/>
    <mergeCell ref="QC2:QD2"/>
    <mergeCell ref="NW2:NX2"/>
    <mergeCell ref="OE2:OF2"/>
    <mergeCell ref="OG2:OH2"/>
    <mergeCell ref="OO2:OP2"/>
    <mergeCell ref="OQ2:OR2"/>
    <mergeCell ref="OY2:OZ2"/>
    <mergeCell ref="MS2:MT2"/>
    <mergeCell ref="NA2:NB2"/>
    <mergeCell ref="NC2:ND2"/>
    <mergeCell ref="NK2:NL2"/>
    <mergeCell ref="NM2:NN2"/>
    <mergeCell ref="NU2:NV2"/>
    <mergeCell ref="SM2:SN2"/>
    <mergeCell ref="SU2:SV2"/>
    <mergeCell ref="SW2:SX2"/>
    <mergeCell ref="TE2:TF2"/>
    <mergeCell ref="TG2:TH2"/>
    <mergeCell ref="TO2:TP2"/>
    <mergeCell ref="RI2:RJ2"/>
    <mergeCell ref="RQ2:RR2"/>
    <mergeCell ref="RS2:RT2"/>
    <mergeCell ref="SA2:SB2"/>
    <mergeCell ref="SC2:SD2"/>
    <mergeCell ref="SK2:SL2"/>
    <mergeCell ref="QE2:QF2"/>
    <mergeCell ref="QM2:QN2"/>
    <mergeCell ref="QO2:QP2"/>
    <mergeCell ref="QW2:QX2"/>
    <mergeCell ref="QY2:QZ2"/>
    <mergeCell ref="RG2:RH2"/>
    <mergeCell ref="VY2:VZ2"/>
    <mergeCell ref="WG2:WH2"/>
    <mergeCell ref="WI2:WJ2"/>
    <mergeCell ref="WQ2:WR2"/>
    <mergeCell ref="WS2:WT2"/>
    <mergeCell ref="XA2:XB2"/>
    <mergeCell ref="UU2:UV2"/>
    <mergeCell ref="VC2:VD2"/>
    <mergeCell ref="VE2:VF2"/>
    <mergeCell ref="VM2:VN2"/>
    <mergeCell ref="VO2:VP2"/>
    <mergeCell ref="VW2:VX2"/>
    <mergeCell ref="TQ2:TR2"/>
    <mergeCell ref="TY2:TZ2"/>
    <mergeCell ref="UA2:UB2"/>
    <mergeCell ref="UI2:UJ2"/>
    <mergeCell ref="UK2:UL2"/>
    <mergeCell ref="US2:UT2"/>
    <mergeCell ref="ZK2:ZL2"/>
    <mergeCell ref="ZS2:ZT2"/>
    <mergeCell ref="ZU2:ZV2"/>
    <mergeCell ref="AAC2:AAD2"/>
    <mergeCell ref="AAE2:AAF2"/>
    <mergeCell ref="AAM2:AAN2"/>
    <mergeCell ref="YG2:YH2"/>
    <mergeCell ref="YO2:YP2"/>
    <mergeCell ref="YQ2:YR2"/>
    <mergeCell ref="YY2:YZ2"/>
    <mergeCell ref="ZA2:ZB2"/>
    <mergeCell ref="ZI2:ZJ2"/>
    <mergeCell ref="XC2:XD2"/>
    <mergeCell ref="XK2:XL2"/>
    <mergeCell ref="XM2:XN2"/>
    <mergeCell ref="XU2:XV2"/>
    <mergeCell ref="XW2:XX2"/>
    <mergeCell ref="YE2:YF2"/>
    <mergeCell ref="ACW2:ACX2"/>
    <mergeCell ref="ADE2:ADF2"/>
    <mergeCell ref="ADG2:ADH2"/>
    <mergeCell ref="ADO2:ADP2"/>
    <mergeCell ref="ADQ2:ADR2"/>
    <mergeCell ref="ADY2:ADZ2"/>
    <mergeCell ref="ABS2:ABT2"/>
    <mergeCell ref="ACA2:ACB2"/>
    <mergeCell ref="ACC2:ACD2"/>
    <mergeCell ref="ACK2:ACL2"/>
    <mergeCell ref="ACM2:ACN2"/>
    <mergeCell ref="ACU2:ACV2"/>
    <mergeCell ref="AAO2:AAP2"/>
    <mergeCell ref="AAW2:AAX2"/>
    <mergeCell ref="AAY2:AAZ2"/>
    <mergeCell ref="ABG2:ABH2"/>
    <mergeCell ref="ABI2:ABJ2"/>
    <mergeCell ref="ABQ2:ABR2"/>
    <mergeCell ref="AGI2:AGJ2"/>
    <mergeCell ref="AGQ2:AGR2"/>
    <mergeCell ref="AGS2:AGT2"/>
    <mergeCell ref="AHA2:AHB2"/>
    <mergeCell ref="AHC2:AHD2"/>
    <mergeCell ref="AHK2:AHL2"/>
    <mergeCell ref="AFE2:AFF2"/>
    <mergeCell ref="AFM2:AFN2"/>
    <mergeCell ref="AFO2:AFP2"/>
    <mergeCell ref="AFW2:AFX2"/>
    <mergeCell ref="AFY2:AFZ2"/>
    <mergeCell ref="AGG2:AGH2"/>
    <mergeCell ref="AEA2:AEB2"/>
    <mergeCell ref="AEI2:AEJ2"/>
    <mergeCell ref="AEK2:AEL2"/>
    <mergeCell ref="AES2:AET2"/>
    <mergeCell ref="AEU2:AEV2"/>
    <mergeCell ref="AFC2:AFD2"/>
    <mergeCell ref="ALS2:ALT2"/>
    <mergeCell ref="AMA2:AMB2"/>
    <mergeCell ref="AJU2:AJV2"/>
    <mergeCell ref="AKC2:AKD2"/>
    <mergeCell ref="AKE2:AKF2"/>
    <mergeCell ref="AKM2:AKN2"/>
    <mergeCell ref="AKO2:AKP2"/>
    <mergeCell ref="AKW2:AKX2"/>
    <mergeCell ref="AIQ2:AIR2"/>
    <mergeCell ref="AIY2:AIZ2"/>
    <mergeCell ref="AJA2:AJB2"/>
    <mergeCell ref="AJI2:AJJ2"/>
    <mergeCell ref="AJK2:AJL2"/>
    <mergeCell ref="AJS2:AJT2"/>
    <mergeCell ref="AHM2:AHN2"/>
    <mergeCell ref="AHU2:AHV2"/>
    <mergeCell ref="AHW2:AHX2"/>
    <mergeCell ref="AIE2:AIF2"/>
    <mergeCell ref="AIG2:AIH2"/>
    <mergeCell ref="AIO2:AIP2"/>
    <mergeCell ref="AK9:AL9"/>
    <mergeCell ref="AS9:AT9"/>
    <mergeCell ref="AU9:AV9"/>
    <mergeCell ref="BC9:BD9"/>
    <mergeCell ref="BE9:BF9"/>
    <mergeCell ref="BM9:BN9"/>
    <mergeCell ref="AOK2:AOL2"/>
    <mergeCell ref="AOS2:AOT2"/>
    <mergeCell ref="AOU2:AOV2"/>
    <mergeCell ref="E9:F9"/>
    <mergeCell ref="G9:H9"/>
    <mergeCell ref="O9:P9"/>
    <mergeCell ref="Q9:R9"/>
    <mergeCell ref="Y9:Z9"/>
    <mergeCell ref="AA9:AB9"/>
    <mergeCell ref="AI9:AJ9"/>
    <mergeCell ref="ANG2:ANH2"/>
    <mergeCell ref="ANO2:ANP2"/>
    <mergeCell ref="ANQ2:ANR2"/>
    <mergeCell ref="ANY2:ANZ2"/>
    <mergeCell ref="AOA2:AOB2"/>
    <mergeCell ref="AOI2:AOJ2"/>
    <mergeCell ref="AMC2:AMD2"/>
    <mergeCell ref="AMK2:AML2"/>
    <mergeCell ref="AMM2:AMN2"/>
    <mergeCell ref="AMU2:AMV2"/>
    <mergeCell ref="AMW2:AMX2"/>
    <mergeCell ref="ANE2:ANF2"/>
    <mergeCell ref="AKY2:AKZ2"/>
    <mergeCell ref="ALG2:ALH2"/>
    <mergeCell ref="ALI2:ALJ2"/>
    <mergeCell ref="ALQ2:ALR2"/>
    <mergeCell ref="DW9:DX9"/>
    <mergeCell ref="EE9:EF9"/>
    <mergeCell ref="EG9:EH9"/>
    <mergeCell ref="EO9:EP9"/>
    <mergeCell ref="EQ9:ER9"/>
    <mergeCell ref="EY9:EZ9"/>
    <mergeCell ref="CS9:CT9"/>
    <mergeCell ref="DA9:DB9"/>
    <mergeCell ref="DC9:DD9"/>
    <mergeCell ref="DK9:DL9"/>
    <mergeCell ref="DM9:DN9"/>
    <mergeCell ref="DU9:DV9"/>
    <mergeCell ref="BO9:BP9"/>
    <mergeCell ref="BW9:BX9"/>
    <mergeCell ref="BY9:BZ9"/>
    <mergeCell ref="CG9:CH9"/>
    <mergeCell ref="CI9:CJ9"/>
    <mergeCell ref="CQ9:CR9"/>
    <mergeCell ref="HI9:HJ9"/>
    <mergeCell ref="HQ9:HR9"/>
    <mergeCell ref="HS9:HT9"/>
    <mergeCell ref="IA9:IB9"/>
    <mergeCell ref="IC9:ID9"/>
    <mergeCell ref="IK9:IL9"/>
    <mergeCell ref="GE9:GF9"/>
    <mergeCell ref="GM9:GN9"/>
    <mergeCell ref="GO9:GP9"/>
    <mergeCell ref="GW9:GX9"/>
    <mergeCell ref="GY9:GZ9"/>
    <mergeCell ref="HG9:HH9"/>
    <mergeCell ref="FA9:FB9"/>
    <mergeCell ref="FI9:FJ9"/>
    <mergeCell ref="FK9:FL9"/>
    <mergeCell ref="FS9:FT9"/>
    <mergeCell ref="FU9:FV9"/>
    <mergeCell ref="GC9:GD9"/>
    <mergeCell ref="KU9:KV9"/>
    <mergeCell ref="LC9:LD9"/>
    <mergeCell ref="LE9:LF9"/>
    <mergeCell ref="LM9:LN9"/>
    <mergeCell ref="LO9:LP9"/>
    <mergeCell ref="LW9:LX9"/>
    <mergeCell ref="JQ9:JR9"/>
    <mergeCell ref="JY9:JZ9"/>
    <mergeCell ref="KA9:KB9"/>
    <mergeCell ref="KI9:KJ9"/>
    <mergeCell ref="KK9:KL9"/>
    <mergeCell ref="KS9:KT9"/>
    <mergeCell ref="IM9:IN9"/>
    <mergeCell ref="IU9:IV9"/>
    <mergeCell ref="IW9:IX9"/>
    <mergeCell ref="JE9:JF9"/>
    <mergeCell ref="JG9:JH9"/>
    <mergeCell ref="JO9:JP9"/>
    <mergeCell ref="OG9:OH9"/>
    <mergeCell ref="OO9:OP9"/>
    <mergeCell ref="OQ9:OR9"/>
    <mergeCell ref="OY9:OZ9"/>
    <mergeCell ref="PA9:PB9"/>
    <mergeCell ref="PI9:PJ9"/>
    <mergeCell ref="NC9:ND9"/>
    <mergeCell ref="NK9:NL9"/>
    <mergeCell ref="NM9:NN9"/>
    <mergeCell ref="NU9:NV9"/>
    <mergeCell ref="NW9:NX9"/>
    <mergeCell ref="OE9:OF9"/>
    <mergeCell ref="LY9:LZ9"/>
    <mergeCell ref="MG9:MH9"/>
    <mergeCell ref="MI9:MJ9"/>
    <mergeCell ref="MQ9:MR9"/>
    <mergeCell ref="MS9:MT9"/>
    <mergeCell ref="NA9:NB9"/>
    <mergeCell ref="RS9:RT9"/>
    <mergeCell ref="SA9:SB9"/>
    <mergeCell ref="SC9:SD9"/>
    <mergeCell ref="SK9:SL9"/>
    <mergeCell ref="SM9:SN9"/>
    <mergeCell ref="SU9:SV9"/>
    <mergeCell ref="QO9:QP9"/>
    <mergeCell ref="QW9:QX9"/>
    <mergeCell ref="QY9:QZ9"/>
    <mergeCell ref="RG9:RH9"/>
    <mergeCell ref="RI9:RJ9"/>
    <mergeCell ref="RQ9:RR9"/>
    <mergeCell ref="PK9:PL9"/>
    <mergeCell ref="PS9:PT9"/>
    <mergeCell ref="PU9:PV9"/>
    <mergeCell ref="QC9:QD9"/>
    <mergeCell ref="QE9:QF9"/>
    <mergeCell ref="QM9:QN9"/>
    <mergeCell ref="VE9:VF9"/>
    <mergeCell ref="VM9:VN9"/>
    <mergeCell ref="VO9:VP9"/>
    <mergeCell ref="VW9:VX9"/>
    <mergeCell ref="VY9:VZ9"/>
    <mergeCell ref="WG9:WH9"/>
    <mergeCell ref="UA9:UB9"/>
    <mergeCell ref="UI9:UJ9"/>
    <mergeCell ref="UK9:UL9"/>
    <mergeCell ref="US9:UT9"/>
    <mergeCell ref="UU9:UV9"/>
    <mergeCell ref="VC9:VD9"/>
    <mergeCell ref="SW9:SX9"/>
    <mergeCell ref="TE9:TF9"/>
    <mergeCell ref="TG9:TH9"/>
    <mergeCell ref="TO9:TP9"/>
    <mergeCell ref="TQ9:TR9"/>
    <mergeCell ref="TY9:TZ9"/>
    <mergeCell ref="YQ9:YR9"/>
    <mergeCell ref="YY9:YZ9"/>
    <mergeCell ref="ZA9:ZB9"/>
    <mergeCell ref="ZI9:ZJ9"/>
    <mergeCell ref="ZK9:ZL9"/>
    <mergeCell ref="ZS9:ZT9"/>
    <mergeCell ref="XM9:XN9"/>
    <mergeCell ref="XU9:XV9"/>
    <mergeCell ref="XW9:XX9"/>
    <mergeCell ref="YE9:YF9"/>
    <mergeCell ref="YG9:YH9"/>
    <mergeCell ref="YO9:YP9"/>
    <mergeCell ref="WI9:WJ9"/>
    <mergeCell ref="WQ9:WR9"/>
    <mergeCell ref="WS9:WT9"/>
    <mergeCell ref="XA9:XB9"/>
    <mergeCell ref="XC9:XD9"/>
    <mergeCell ref="XK9:XL9"/>
    <mergeCell ref="ACC9:ACD9"/>
    <mergeCell ref="ACK9:ACL9"/>
    <mergeCell ref="ACM9:ACN9"/>
    <mergeCell ref="ACU9:ACV9"/>
    <mergeCell ref="ACW9:ACX9"/>
    <mergeCell ref="ADE9:ADF9"/>
    <mergeCell ref="AAY9:AAZ9"/>
    <mergeCell ref="ABG9:ABH9"/>
    <mergeCell ref="ABI9:ABJ9"/>
    <mergeCell ref="ABQ9:ABR9"/>
    <mergeCell ref="ABS9:ABT9"/>
    <mergeCell ref="ACA9:ACB9"/>
    <mergeCell ref="ZU9:ZV9"/>
    <mergeCell ref="AAC9:AAD9"/>
    <mergeCell ref="AAE9:AAF9"/>
    <mergeCell ref="AAM9:AAN9"/>
    <mergeCell ref="AAO9:AAP9"/>
    <mergeCell ref="AAW9:AAX9"/>
    <mergeCell ref="AFO9:AFP9"/>
    <mergeCell ref="AFW9:AFX9"/>
    <mergeCell ref="AFY9:AFZ9"/>
    <mergeCell ref="AGG9:AGH9"/>
    <mergeCell ref="AGI9:AGJ9"/>
    <mergeCell ref="AGQ9:AGR9"/>
    <mergeCell ref="AEK9:AEL9"/>
    <mergeCell ref="AES9:AET9"/>
    <mergeCell ref="AEU9:AEV9"/>
    <mergeCell ref="AFC9:AFD9"/>
    <mergeCell ref="AFE9:AFF9"/>
    <mergeCell ref="AFM9:AFN9"/>
    <mergeCell ref="ADG9:ADH9"/>
    <mergeCell ref="ADO9:ADP9"/>
    <mergeCell ref="ADQ9:ADR9"/>
    <mergeCell ref="ADY9:ADZ9"/>
    <mergeCell ref="AEA9:AEB9"/>
    <mergeCell ref="AEI9:AEJ9"/>
    <mergeCell ref="AKY9:AKZ9"/>
    <mergeCell ref="ALG9:ALH9"/>
    <mergeCell ref="AJA9:AJB9"/>
    <mergeCell ref="AJI9:AJJ9"/>
    <mergeCell ref="AJK9:AJL9"/>
    <mergeCell ref="AJS9:AJT9"/>
    <mergeCell ref="AJU9:AJV9"/>
    <mergeCell ref="AKC9:AKD9"/>
    <mergeCell ref="AHW9:AHX9"/>
    <mergeCell ref="AIE9:AIF9"/>
    <mergeCell ref="AIG9:AIH9"/>
    <mergeCell ref="AIO9:AIP9"/>
    <mergeCell ref="AIQ9:AIR9"/>
    <mergeCell ref="AIY9:AIZ9"/>
    <mergeCell ref="AGS9:AGT9"/>
    <mergeCell ref="AHA9:AHB9"/>
    <mergeCell ref="AHC9:AHD9"/>
    <mergeCell ref="AHK9:AHL9"/>
    <mergeCell ref="AHM9:AHN9"/>
    <mergeCell ref="AHU9:AHV9"/>
    <mergeCell ref="AOU9:AOV9"/>
    <mergeCell ref="E14:F14"/>
    <mergeCell ref="G14:M15"/>
    <mergeCell ref="O14:P14"/>
    <mergeCell ref="Q14:W15"/>
    <mergeCell ref="Y14:Z14"/>
    <mergeCell ref="AA14:AG15"/>
    <mergeCell ref="AI14:AJ14"/>
    <mergeCell ref="AK14:AQ15"/>
    <mergeCell ref="AS14:AT14"/>
    <mergeCell ref="ANQ9:ANR9"/>
    <mergeCell ref="ANY9:ANZ9"/>
    <mergeCell ref="AOA9:AOB9"/>
    <mergeCell ref="AOI9:AOJ9"/>
    <mergeCell ref="AOK9:AOL9"/>
    <mergeCell ref="AOS9:AOT9"/>
    <mergeCell ref="AMM9:AMN9"/>
    <mergeCell ref="AMU9:AMV9"/>
    <mergeCell ref="AMW9:AMX9"/>
    <mergeCell ref="ANE9:ANF9"/>
    <mergeCell ref="ANG9:ANH9"/>
    <mergeCell ref="ANO9:ANP9"/>
    <mergeCell ref="ALI9:ALJ9"/>
    <mergeCell ref="ALQ9:ALR9"/>
    <mergeCell ref="ALS9:ALT9"/>
    <mergeCell ref="AMA9:AMB9"/>
    <mergeCell ref="AMC9:AMD9"/>
    <mergeCell ref="AMK9:AML9"/>
    <mergeCell ref="AKE9:AKF9"/>
    <mergeCell ref="AKM9:AKN9"/>
    <mergeCell ref="AKO9:AKP9"/>
    <mergeCell ref="AKW9:AKX9"/>
    <mergeCell ref="DC14:DI15"/>
    <mergeCell ref="DK14:DL14"/>
    <mergeCell ref="DM14:DS15"/>
    <mergeCell ref="DU14:DV14"/>
    <mergeCell ref="DW14:EC15"/>
    <mergeCell ref="EE14:EF14"/>
    <mergeCell ref="BY14:CE15"/>
    <mergeCell ref="CG14:CH14"/>
    <mergeCell ref="CI14:CO15"/>
    <mergeCell ref="CQ14:CR14"/>
    <mergeCell ref="CS14:CY15"/>
    <mergeCell ref="DA14:DB14"/>
    <mergeCell ref="AU14:BA15"/>
    <mergeCell ref="BC14:BD14"/>
    <mergeCell ref="BE14:BK15"/>
    <mergeCell ref="BM14:BN14"/>
    <mergeCell ref="BO14:BU15"/>
    <mergeCell ref="BW14:BX14"/>
    <mergeCell ref="GO14:GU15"/>
    <mergeCell ref="GW14:GX14"/>
    <mergeCell ref="GY14:HE15"/>
    <mergeCell ref="HG14:HH14"/>
    <mergeCell ref="HI14:HO15"/>
    <mergeCell ref="HQ14:HR14"/>
    <mergeCell ref="FK14:FQ15"/>
    <mergeCell ref="FS14:FT14"/>
    <mergeCell ref="FU14:GA15"/>
    <mergeCell ref="GC14:GD14"/>
    <mergeCell ref="GE14:GK15"/>
    <mergeCell ref="GM14:GN14"/>
    <mergeCell ref="EG14:EM15"/>
    <mergeCell ref="EO14:EP14"/>
    <mergeCell ref="EQ14:EW15"/>
    <mergeCell ref="EY14:EZ14"/>
    <mergeCell ref="FA14:FG15"/>
    <mergeCell ref="FI14:FJ14"/>
    <mergeCell ref="KA14:KG15"/>
    <mergeCell ref="KI14:KJ14"/>
    <mergeCell ref="KK14:KQ15"/>
    <mergeCell ref="KS14:KT14"/>
    <mergeCell ref="KU14:LA15"/>
    <mergeCell ref="LC14:LD14"/>
    <mergeCell ref="IW14:JC15"/>
    <mergeCell ref="JE14:JF14"/>
    <mergeCell ref="JG14:JM15"/>
    <mergeCell ref="JO14:JP14"/>
    <mergeCell ref="JQ14:JW15"/>
    <mergeCell ref="JY14:JZ14"/>
    <mergeCell ref="HS14:HY15"/>
    <mergeCell ref="IA14:IB14"/>
    <mergeCell ref="IC14:II15"/>
    <mergeCell ref="IK14:IL14"/>
    <mergeCell ref="IM14:IS15"/>
    <mergeCell ref="IU14:IV14"/>
    <mergeCell ref="NM14:NS15"/>
    <mergeCell ref="NU14:NV14"/>
    <mergeCell ref="NW14:OC15"/>
    <mergeCell ref="OE14:OF14"/>
    <mergeCell ref="OG14:OM15"/>
    <mergeCell ref="OO14:OP14"/>
    <mergeCell ref="MI14:MO15"/>
    <mergeCell ref="MQ14:MR14"/>
    <mergeCell ref="MS14:MY15"/>
    <mergeCell ref="NA14:NB14"/>
    <mergeCell ref="NC14:NI15"/>
    <mergeCell ref="NK14:NL14"/>
    <mergeCell ref="LE14:LK15"/>
    <mergeCell ref="LM14:LN14"/>
    <mergeCell ref="LO14:LU15"/>
    <mergeCell ref="LW14:LX14"/>
    <mergeCell ref="LY14:ME15"/>
    <mergeCell ref="MG14:MH14"/>
    <mergeCell ref="QY14:RE15"/>
    <mergeCell ref="RG14:RH14"/>
    <mergeCell ref="RI14:RO15"/>
    <mergeCell ref="RQ14:RR14"/>
    <mergeCell ref="RS14:RY15"/>
    <mergeCell ref="SA14:SB14"/>
    <mergeCell ref="PU14:QA15"/>
    <mergeCell ref="QC14:QD14"/>
    <mergeCell ref="QE14:QK15"/>
    <mergeCell ref="QM14:QN14"/>
    <mergeCell ref="QO14:QU15"/>
    <mergeCell ref="QW14:QX14"/>
    <mergeCell ref="OQ14:OW15"/>
    <mergeCell ref="OY14:OZ14"/>
    <mergeCell ref="PA14:PG15"/>
    <mergeCell ref="PI14:PJ14"/>
    <mergeCell ref="PK14:PQ15"/>
    <mergeCell ref="PS14:PT14"/>
    <mergeCell ref="UK14:UQ15"/>
    <mergeCell ref="US14:UT14"/>
    <mergeCell ref="UU14:VA15"/>
    <mergeCell ref="VC14:VD14"/>
    <mergeCell ref="VE14:VK15"/>
    <mergeCell ref="VM14:VN14"/>
    <mergeCell ref="TG14:TM15"/>
    <mergeCell ref="TO14:TP14"/>
    <mergeCell ref="TQ14:TW15"/>
    <mergeCell ref="TY14:TZ14"/>
    <mergeCell ref="UA14:UG15"/>
    <mergeCell ref="UI14:UJ14"/>
    <mergeCell ref="SC14:SI15"/>
    <mergeCell ref="SK14:SL14"/>
    <mergeCell ref="SM14:SS15"/>
    <mergeCell ref="SU14:SV14"/>
    <mergeCell ref="SW14:TC15"/>
    <mergeCell ref="TE14:TF14"/>
    <mergeCell ref="XW14:YC15"/>
    <mergeCell ref="YE14:YF14"/>
    <mergeCell ref="YG14:YM15"/>
    <mergeCell ref="YO14:YP14"/>
    <mergeCell ref="YQ14:YW15"/>
    <mergeCell ref="YY14:YZ14"/>
    <mergeCell ref="WS14:WY15"/>
    <mergeCell ref="XA14:XB14"/>
    <mergeCell ref="XC14:XI15"/>
    <mergeCell ref="XK14:XL14"/>
    <mergeCell ref="XM14:XS15"/>
    <mergeCell ref="XU14:XV14"/>
    <mergeCell ref="VO14:VU15"/>
    <mergeCell ref="VW14:VX14"/>
    <mergeCell ref="VY14:WE15"/>
    <mergeCell ref="WG14:WH14"/>
    <mergeCell ref="WI14:WO15"/>
    <mergeCell ref="WQ14:WR14"/>
    <mergeCell ref="ABI14:ABO15"/>
    <mergeCell ref="ABQ14:ABR14"/>
    <mergeCell ref="ABS14:ABY15"/>
    <mergeCell ref="ACA14:ACB14"/>
    <mergeCell ref="ACC14:ACI15"/>
    <mergeCell ref="ACK14:ACL14"/>
    <mergeCell ref="AAE14:AAK15"/>
    <mergeCell ref="AAM14:AAN14"/>
    <mergeCell ref="AAO14:AAU15"/>
    <mergeCell ref="AAW14:AAX14"/>
    <mergeCell ref="AAY14:ABE15"/>
    <mergeCell ref="ABG14:ABH14"/>
    <mergeCell ref="ZA14:ZG15"/>
    <mergeCell ref="ZI14:ZJ14"/>
    <mergeCell ref="ZK14:ZQ15"/>
    <mergeCell ref="ZS14:ZT14"/>
    <mergeCell ref="ZU14:AAA15"/>
    <mergeCell ref="AAC14:AAD14"/>
    <mergeCell ref="AEU14:AFA15"/>
    <mergeCell ref="AFC14:AFD14"/>
    <mergeCell ref="AFE14:AFK15"/>
    <mergeCell ref="AFM14:AFN14"/>
    <mergeCell ref="AFO14:AFU15"/>
    <mergeCell ref="AFW14:AFX14"/>
    <mergeCell ref="ADQ14:ADW15"/>
    <mergeCell ref="ADY14:ADZ14"/>
    <mergeCell ref="AEA14:AEG15"/>
    <mergeCell ref="AEI14:AEJ14"/>
    <mergeCell ref="AEK14:AEQ15"/>
    <mergeCell ref="AES14:AET14"/>
    <mergeCell ref="ACM14:ACS15"/>
    <mergeCell ref="ACU14:ACV14"/>
    <mergeCell ref="ACW14:ADC15"/>
    <mergeCell ref="ADE14:ADF14"/>
    <mergeCell ref="ADG14:ADM15"/>
    <mergeCell ref="ADO14:ADP14"/>
    <mergeCell ref="E17:F17"/>
    <mergeCell ref="G17:M18"/>
    <mergeCell ref="O17:P17"/>
    <mergeCell ref="Q17:W18"/>
    <mergeCell ref="Y17:Z17"/>
    <mergeCell ref="AMW14:ANC15"/>
    <mergeCell ref="ANE14:ANF14"/>
    <mergeCell ref="ANG14:ANM15"/>
    <mergeCell ref="ANO14:ANP14"/>
    <mergeCell ref="ANQ14:ANW15"/>
    <mergeCell ref="ANY14:ANZ14"/>
    <mergeCell ref="ALS14:ALY15"/>
    <mergeCell ref="AMA14:AMB14"/>
    <mergeCell ref="AMC14:AMI15"/>
    <mergeCell ref="AMK14:AML14"/>
    <mergeCell ref="AMM14:AMS15"/>
    <mergeCell ref="AMU14:AMV14"/>
    <mergeCell ref="AKO14:AKU15"/>
    <mergeCell ref="AKW14:AKX14"/>
    <mergeCell ref="AKY14:ALE15"/>
    <mergeCell ref="ALG14:ALH14"/>
    <mergeCell ref="ALI14:ALO15"/>
    <mergeCell ref="ALQ14:ALR14"/>
    <mergeCell ref="AJK14:AJQ15"/>
    <mergeCell ref="AJS14:AJT14"/>
    <mergeCell ref="AJU14:AKA15"/>
    <mergeCell ref="AKC14:AKD14"/>
    <mergeCell ref="AKE14:AKK15"/>
    <mergeCell ref="AKM14:AKN14"/>
    <mergeCell ref="AIG14:AIM15"/>
    <mergeCell ref="AIO14:AIP14"/>
    <mergeCell ref="AIQ14:AIW15"/>
    <mergeCell ref="BE17:BK18"/>
    <mergeCell ref="BM17:BN17"/>
    <mergeCell ref="BO17:BU18"/>
    <mergeCell ref="BW17:BX17"/>
    <mergeCell ref="BY17:CE18"/>
    <mergeCell ref="CG17:CH17"/>
    <mergeCell ref="AA17:AG18"/>
    <mergeCell ref="AI17:AJ17"/>
    <mergeCell ref="AK17:AQ18"/>
    <mergeCell ref="AS17:AT17"/>
    <mergeCell ref="AU17:BA18"/>
    <mergeCell ref="BC17:BD17"/>
    <mergeCell ref="AOA14:AOG15"/>
    <mergeCell ref="AOI14:AOJ14"/>
    <mergeCell ref="AOK14:AOQ15"/>
    <mergeCell ref="AOS14:AOT14"/>
    <mergeCell ref="AOU14:APA15"/>
    <mergeCell ref="AIY14:AIZ14"/>
    <mergeCell ref="AJA14:AJG15"/>
    <mergeCell ref="AJI14:AJJ14"/>
    <mergeCell ref="AHC14:AHI15"/>
    <mergeCell ref="AHK14:AHL14"/>
    <mergeCell ref="AHM14:AHS15"/>
    <mergeCell ref="AHU14:AHV14"/>
    <mergeCell ref="AHW14:AIC15"/>
    <mergeCell ref="AIE14:AIF14"/>
    <mergeCell ref="AFY14:AGE15"/>
    <mergeCell ref="AGG14:AGH14"/>
    <mergeCell ref="AGI14:AGO15"/>
    <mergeCell ref="AGQ14:AGR14"/>
    <mergeCell ref="AGS14:AGY15"/>
    <mergeCell ref="AHA14:AHB14"/>
    <mergeCell ref="EQ17:EW18"/>
    <mergeCell ref="EY17:EZ17"/>
    <mergeCell ref="FA17:FG18"/>
    <mergeCell ref="FI17:FJ17"/>
    <mergeCell ref="FK17:FQ18"/>
    <mergeCell ref="FS17:FT17"/>
    <mergeCell ref="DM17:DS18"/>
    <mergeCell ref="DU17:DV17"/>
    <mergeCell ref="DW17:EC18"/>
    <mergeCell ref="EE17:EF17"/>
    <mergeCell ref="EG17:EM18"/>
    <mergeCell ref="EO17:EP17"/>
    <mergeCell ref="CI17:CO18"/>
    <mergeCell ref="CQ17:CR17"/>
    <mergeCell ref="CS17:CY18"/>
    <mergeCell ref="DA17:DB17"/>
    <mergeCell ref="DC17:DI18"/>
    <mergeCell ref="DK17:DL17"/>
    <mergeCell ref="IC17:II18"/>
    <mergeCell ref="IK17:IL17"/>
    <mergeCell ref="IM17:IS18"/>
    <mergeCell ref="IU17:IV17"/>
    <mergeCell ref="IW17:JC18"/>
    <mergeCell ref="JE17:JF17"/>
    <mergeCell ref="GY17:HE18"/>
    <mergeCell ref="HG17:HH17"/>
    <mergeCell ref="HI17:HO18"/>
    <mergeCell ref="HQ17:HR17"/>
    <mergeCell ref="HS17:HY18"/>
    <mergeCell ref="IA17:IB17"/>
    <mergeCell ref="FU17:GA18"/>
    <mergeCell ref="GC17:GD17"/>
    <mergeCell ref="GE17:GK18"/>
    <mergeCell ref="GM17:GN17"/>
    <mergeCell ref="GO17:GU18"/>
    <mergeCell ref="GW17:GX17"/>
    <mergeCell ref="LO17:LU18"/>
    <mergeCell ref="LW17:LX17"/>
    <mergeCell ref="LY17:ME18"/>
    <mergeCell ref="MG17:MH17"/>
    <mergeCell ref="MI17:MO18"/>
    <mergeCell ref="MQ17:MR17"/>
    <mergeCell ref="KK17:KQ18"/>
    <mergeCell ref="KS17:KT17"/>
    <mergeCell ref="KU17:LA18"/>
    <mergeCell ref="LC17:LD17"/>
    <mergeCell ref="LE17:LK18"/>
    <mergeCell ref="LM17:LN17"/>
    <mergeCell ref="JG17:JM18"/>
    <mergeCell ref="JO17:JP17"/>
    <mergeCell ref="JQ17:JW18"/>
    <mergeCell ref="JY17:JZ17"/>
    <mergeCell ref="KA17:KG18"/>
    <mergeCell ref="KI17:KJ17"/>
    <mergeCell ref="PA17:PG18"/>
    <mergeCell ref="PI17:PJ17"/>
    <mergeCell ref="PK17:PQ18"/>
    <mergeCell ref="PS17:PT17"/>
    <mergeCell ref="PU17:QA18"/>
    <mergeCell ref="QC17:QD17"/>
    <mergeCell ref="NW17:OC18"/>
    <mergeCell ref="OE17:OF17"/>
    <mergeCell ref="OG17:OM18"/>
    <mergeCell ref="OO17:OP17"/>
    <mergeCell ref="OQ17:OW18"/>
    <mergeCell ref="OY17:OZ17"/>
    <mergeCell ref="MS17:MY18"/>
    <mergeCell ref="NA17:NB17"/>
    <mergeCell ref="NC17:NI18"/>
    <mergeCell ref="NK17:NL17"/>
    <mergeCell ref="NM17:NS18"/>
    <mergeCell ref="NU17:NV17"/>
    <mergeCell ref="SM17:SS18"/>
    <mergeCell ref="SU17:SV17"/>
    <mergeCell ref="SW17:TC18"/>
    <mergeCell ref="TE17:TF17"/>
    <mergeCell ref="TG17:TM18"/>
    <mergeCell ref="TO17:TP17"/>
    <mergeCell ref="RI17:RO18"/>
    <mergeCell ref="RQ17:RR17"/>
    <mergeCell ref="RS17:RY18"/>
    <mergeCell ref="SA17:SB17"/>
    <mergeCell ref="SC17:SI18"/>
    <mergeCell ref="SK17:SL17"/>
    <mergeCell ref="QE17:QK18"/>
    <mergeCell ref="QM17:QN17"/>
    <mergeCell ref="QO17:QU18"/>
    <mergeCell ref="QW17:QX17"/>
    <mergeCell ref="QY17:RE18"/>
    <mergeCell ref="RG17:RH17"/>
    <mergeCell ref="VY17:WE18"/>
    <mergeCell ref="WG17:WH17"/>
    <mergeCell ref="WI17:WO18"/>
    <mergeCell ref="WQ17:WR17"/>
    <mergeCell ref="WS17:WY18"/>
    <mergeCell ref="XA17:XB17"/>
    <mergeCell ref="UU17:VA18"/>
    <mergeCell ref="VC17:VD17"/>
    <mergeCell ref="VE17:VK18"/>
    <mergeCell ref="VM17:VN17"/>
    <mergeCell ref="VO17:VU18"/>
    <mergeCell ref="VW17:VX17"/>
    <mergeCell ref="TQ17:TW18"/>
    <mergeCell ref="TY17:TZ17"/>
    <mergeCell ref="UA17:UG18"/>
    <mergeCell ref="UI17:UJ17"/>
    <mergeCell ref="UK17:UQ18"/>
    <mergeCell ref="US17:UT17"/>
    <mergeCell ref="ZK17:ZQ18"/>
    <mergeCell ref="ZS17:ZT17"/>
    <mergeCell ref="ZU17:AAA18"/>
    <mergeCell ref="AAC17:AAD17"/>
    <mergeCell ref="AAE17:AAK18"/>
    <mergeCell ref="AAM17:AAN17"/>
    <mergeCell ref="YG17:YM18"/>
    <mergeCell ref="YO17:YP17"/>
    <mergeCell ref="YQ17:YW18"/>
    <mergeCell ref="YY17:YZ17"/>
    <mergeCell ref="ZA17:ZG18"/>
    <mergeCell ref="ZI17:ZJ17"/>
    <mergeCell ref="XC17:XI18"/>
    <mergeCell ref="XK17:XL17"/>
    <mergeCell ref="XM17:XS18"/>
    <mergeCell ref="XU17:XV17"/>
    <mergeCell ref="XW17:YC18"/>
    <mergeCell ref="YE17:YF17"/>
    <mergeCell ref="ACW17:ADC18"/>
    <mergeCell ref="ADE17:ADF17"/>
    <mergeCell ref="ADG17:ADM18"/>
    <mergeCell ref="ADO17:ADP17"/>
    <mergeCell ref="ADQ17:ADW18"/>
    <mergeCell ref="ADY17:ADZ17"/>
    <mergeCell ref="ABS17:ABY18"/>
    <mergeCell ref="ACA17:ACB17"/>
    <mergeCell ref="ACC17:ACI18"/>
    <mergeCell ref="ACK17:ACL17"/>
    <mergeCell ref="ACM17:ACS18"/>
    <mergeCell ref="ACU17:ACV17"/>
    <mergeCell ref="AAO17:AAU18"/>
    <mergeCell ref="AAW17:AAX17"/>
    <mergeCell ref="AAY17:ABE18"/>
    <mergeCell ref="ABG17:ABH17"/>
    <mergeCell ref="ABI17:ABO18"/>
    <mergeCell ref="ABQ17:ABR17"/>
    <mergeCell ref="AGI17:AGO18"/>
    <mergeCell ref="AGQ17:AGR17"/>
    <mergeCell ref="AGS17:AGY18"/>
    <mergeCell ref="AHA17:AHB17"/>
    <mergeCell ref="AHC17:AHI18"/>
    <mergeCell ref="AHK17:AHL17"/>
    <mergeCell ref="AFE17:AFK18"/>
    <mergeCell ref="AFM17:AFN17"/>
    <mergeCell ref="AFO17:AFU18"/>
    <mergeCell ref="AFW17:AFX17"/>
    <mergeCell ref="AFY17:AGE18"/>
    <mergeCell ref="AGG17:AGH17"/>
    <mergeCell ref="AEA17:AEG18"/>
    <mergeCell ref="AEI17:AEJ17"/>
    <mergeCell ref="AEK17:AEQ18"/>
    <mergeCell ref="AES17:AET17"/>
    <mergeCell ref="AEU17:AFA18"/>
    <mergeCell ref="AFC17:AFD17"/>
    <mergeCell ref="AJU17:AKA18"/>
    <mergeCell ref="AKC17:AKD17"/>
    <mergeCell ref="AKE17:AKK18"/>
    <mergeCell ref="AKM17:AKN17"/>
    <mergeCell ref="AKO17:AKU18"/>
    <mergeCell ref="AKW17:AKX17"/>
    <mergeCell ref="AIQ17:AIW18"/>
    <mergeCell ref="AIY17:AIZ17"/>
    <mergeCell ref="AJA17:AJG18"/>
    <mergeCell ref="AJI17:AJJ17"/>
    <mergeCell ref="AJK17:AJQ18"/>
    <mergeCell ref="AJS17:AJT17"/>
    <mergeCell ref="AHM17:AHS18"/>
    <mergeCell ref="AHU17:AHV17"/>
    <mergeCell ref="AHW17:AIC18"/>
    <mergeCell ref="AIE17:AIF17"/>
    <mergeCell ref="AIG17:AIM18"/>
    <mergeCell ref="AIO17:AIP17"/>
    <mergeCell ref="AOK17:AOQ18"/>
    <mergeCell ref="AOS17:AOT17"/>
    <mergeCell ref="AOU17:APA18"/>
    <mergeCell ref="ANG17:ANM18"/>
    <mergeCell ref="ANO17:ANP17"/>
    <mergeCell ref="ANQ17:ANW18"/>
    <mergeCell ref="ANY17:ANZ17"/>
    <mergeCell ref="AOA17:AOG18"/>
    <mergeCell ref="AOI17:AOJ17"/>
    <mergeCell ref="AMC17:AMI18"/>
    <mergeCell ref="AMK17:AML17"/>
    <mergeCell ref="AMM17:AMS18"/>
    <mergeCell ref="AMU17:AMV17"/>
    <mergeCell ref="AMW17:ANC18"/>
    <mergeCell ref="ANE17:ANF17"/>
    <mergeCell ref="AKY17:ALE18"/>
    <mergeCell ref="ALG17:ALH17"/>
    <mergeCell ref="ALI17:ALO18"/>
    <mergeCell ref="ALQ17:ALR17"/>
    <mergeCell ref="ALS17:ALY18"/>
    <mergeCell ref="AMA17:AMB17"/>
  </mergeCells>
  <conditionalFormatting sqref="B1:D1">
    <cfRule type="containsText" dxfId="1120" priority="238" operator="containsText" text="DUE TODAY">
      <formula>NOT(ISERROR(SEARCH("DUE TODAY",B1)))</formula>
    </cfRule>
  </conditionalFormatting>
  <conditionalFormatting sqref="K3:K7 M3:M7 W3:W7 AG3:AG7 AQ3:AQ7 BA3:BA7 BK3:BK7 BU3:BU7 CE3:CE7 CO3:CO7 CY3:CY7 DI3:DI7 DS3:DS7 EC3:EC7 EM3:EM7 EW3:EW7 FG3:FG7 FQ3:FQ7 GA3:GA7 GK3:GK7 GU3:GU7 HE3:HE7 HO3:HO7 HY3:HY7 II3:II7 IS3:IS7 JC3:JC7 JM3:JM7 JW3:JW7 KG3:KG7 KQ3:KQ7 LA3:LA7 LK3:LK7 LU3:LU7 ME3:ME7 MO3:MO7 MY3:MY7 NI3:NI7 NS3:NS7 OC3:OC7 OM3:OM7 OW3:OW7 PG3:PG7 PQ3:PQ7 QA3:QA7 QK3:QK7 QU3:QU7 RE3:RE7 RO3:RO7 RY3:RY7 SI3:SI7 SS3:SS7 TC3:TC7 TM3:TM7 TW3:TW7 UG3:UG7 UQ3:UQ7 VA3:VA7 VK3:VK7 VU3:VU7 WE3:WE7 WO3:WO7 WY3:WY7 XI3:XI7 XS3:XS7 YC3:YC7 YM3:YM7 YW3:YW7 ZG3:ZG7 ZQ3:ZQ7 AAA3:AAA7 AAK3:AAK7 AAU3:AAU7 ABE3:ABE7 ABO3:ABO7 ABY3:ABY7 ACI3:ACI7 ACS3:ACS7 ADC3:ADC7 ADM3:ADM7 ADW3:ADW7 AEG3:AEG7 AEQ3:AEQ7 AFA3:AFA7 AFK3:AFK7 AFU3:AFU7 AGE3:AGE7 AGO3:AGO7 AGY3:AGY7 AHI3:AHI7 AHS3:AHS7 AIC3:AIC7 AIM3:AIM7 AIW3:AIW7 AJG3:AJG7 AJQ3:AJQ7 AKA3:AKA7 AKK3:AKK7 AKU3:AKU7 ALE3:ALE7 ALO3:ALO7">
    <cfRule type="cellIs" dxfId="1119" priority="1215" operator="greaterThan">
      <formula>0</formula>
    </cfRule>
    <cfRule type="cellIs" dxfId="1118" priority="1214" operator="lessThan">
      <formula>0</formula>
    </cfRule>
    <cfRule type="cellIs" dxfId="1117" priority="1213" operator="equal">
      <formula>0</formula>
    </cfRule>
  </conditionalFormatting>
  <conditionalFormatting sqref="M10:M12">
    <cfRule type="cellIs" dxfId="1116" priority="1210" operator="equal">
      <formula>0</formula>
    </cfRule>
    <cfRule type="cellIs" dxfId="1115" priority="1212" operator="greaterThan">
      <formula>0</formula>
    </cfRule>
    <cfRule type="cellIs" dxfId="1114" priority="1211" operator="lessThan">
      <formula>0</formula>
    </cfRule>
  </conditionalFormatting>
  <conditionalFormatting sqref="M16">
    <cfRule type="cellIs" dxfId="1113" priority="1207" operator="greaterThan">
      <formula>0</formula>
    </cfRule>
    <cfRule type="cellIs" dxfId="1112" priority="1206" operator="lessThan">
      <formula>0</formula>
    </cfRule>
    <cfRule type="cellIs" dxfId="1111" priority="1205" operator="equal">
      <formula>0</formula>
    </cfRule>
  </conditionalFormatting>
  <conditionalFormatting sqref="U3:U7 AE3:AE7 AO3:AO7 AY3:AY7 BI3:BI7 BS3:BS7 CC3:CC7 CM3:CM7 CW3:CW7 DG3:DG7 DQ3:DQ7 EA3:EA7 EK3:EK7 EU3:EU7 FE3:FE7 FO3:FO7 FY3:FY7 GI3:GI7 GS3:GS7 HC3:HC7 HM3:HM7 HW3:HW7 IG3:IG7 IQ3:IQ7 JA3:JA7 JK3:JK7 JU3:JU7 KE3:KE7 KO3:KO7 KY3:KY7 LI3:LI7 LS3:LS7 MC3:MC7 MM3:MM7 MW3:MW7 NG3:NG7 NQ3:NQ7 OA3:OA7 OK3:OK7 OU3:OU7 PE3:PE7 PO3:PO7 PY3:PY7 QI3:QI7 QS3:QS7 RC3:RC7 RM3:RM7 RW3:RW7 SG3:SG7 SQ3:SQ7 TA3:TA7 TK3:TK7 TU3:TU7 UE3:UE7 UO3:UO7 UY3:UY7 VI3:VI7 VS3:VS7 WC3:WC7 WM3:WM7 WW3:WW7 XG3:XG7 XQ3:XQ7 YA3:YA7 YK3:YK7 YU3:YU7 ZE3:ZE7 ZO3:ZO7 ZY3:ZY7 AAI3:AAI7 AAS3:AAS7 ABC3:ABC7 ABM3:ABM7 ABW3:ABW7 ACG3:ACG7 ACQ3:ACQ7 ADA3:ADA7 ADK3:ADK7 ADU3:ADU7 AEE3:AEE7 AEO3:AEO7 AEY3:AEY7 AFI3:AFI7 AFS3:AFS7 AGC3:AGC7 AGM3:AGM7 AGW3:AGW7 AHG3:AHG7 AHQ3:AHQ7 AIA3:AIA7 AIK3:AIK7 AIU3:AIU7 AJE3:AJE7 AJO3:AJO7 AJY3:AJY7 AKI3:AKI7 AKS3:AKS7 ALC3:ALC7 ALM3:ALM7 K10:K12 K16 U16 AE16">
    <cfRule type="cellIs" dxfId="1110" priority="1209" operator="lessThan">
      <formula>0</formula>
    </cfRule>
    <cfRule type="cellIs" dxfId="1109" priority="1208" operator="equal">
      <formula>0</formula>
    </cfRule>
  </conditionalFormatting>
  <conditionalFormatting sqref="U10:U12">
    <cfRule type="cellIs" dxfId="1108" priority="1204" operator="lessThan">
      <formula>0</formula>
    </cfRule>
    <cfRule type="cellIs" dxfId="1107" priority="1203" operator="equal">
      <formula>0</formula>
    </cfRule>
  </conditionalFormatting>
  <conditionalFormatting sqref="W10:W12">
    <cfRule type="cellIs" dxfId="1106" priority="1202" operator="greaterThan">
      <formula>0</formula>
    </cfRule>
    <cfRule type="cellIs" dxfId="1105" priority="1201" operator="lessThan">
      <formula>0</formula>
    </cfRule>
    <cfRule type="cellIs" dxfId="1104" priority="1200" operator="equal">
      <formula>0</formula>
    </cfRule>
  </conditionalFormatting>
  <conditionalFormatting sqref="W16">
    <cfRule type="cellIs" dxfId="1103" priority="1218" operator="greaterThan">
      <formula>0</formula>
    </cfRule>
    <cfRule type="cellIs" dxfId="1102" priority="1217" operator="lessThan">
      <formula>0</formula>
    </cfRule>
    <cfRule type="cellIs" dxfId="1101" priority="1216" operator="equal">
      <formula>0</formula>
    </cfRule>
  </conditionalFormatting>
  <conditionalFormatting sqref="AE10:AE12">
    <cfRule type="cellIs" dxfId="1100" priority="1196" operator="lessThan">
      <formula>0</formula>
    </cfRule>
    <cfRule type="cellIs" dxfId="1099" priority="1195" operator="equal">
      <formula>0</formula>
    </cfRule>
  </conditionalFormatting>
  <conditionalFormatting sqref="AG10:AG12 AQ10:AQ12 BA10:BA12">
    <cfRule type="cellIs" dxfId="1098" priority="1199" operator="greaterThan">
      <formula>0</formula>
    </cfRule>
    <cfRule type="cellIs" dxfId="1097" priority="1198" operator="lessThan">
      <formula>0</formula>
    </cfRule>
    <cfRule type="cellIs" dxfId="1096" priority="1197" operator="equal">
      <formula>0</formula>
    </cfRule>
  </conditionalFormatting>
  <conditionalFormatting sqref="AG16 AQ16 BA16">
    <cfRule type="cellIs" dxfId="1095" priority="1221" operator="greaterThan">
      <formula>0</formula>
    </cfRule>
    <cfRule type="cellIs" dxfId="1094" priority="1220" operator="lessThan">
      <formula>0</formula>
    </cfRule>
    <cfRule type="cellIs" dxfId="1093" priority="1219" operator="equal">
      <formula>0</formula>
    </cfRule>
  </conditionalFormatting>
  <conditionalFormatting sqref="AO10:AO12">
    <cfRule type="cellIs" dxfId="1092" priority="1191" operator="equal">
      <formula>0</formula>
    </cfRule>
    <cfRule type="cellIs" dxfId="1091" priority="1192" operator="lessThan">
      <formula>0</formula>
    </cfRule>
  </conditionalFormatting>
  <conditionalFormatting sqref="AO16">
    <cfRule type="cellIs" dxfId="1090" priority="1194" operator="lessThan">
      <formula>0</formula>
    </cfRule>
    <cfRule type="cellIs" dxfId="1089" priority="1193" operator="equal">
      <formula>0</formula>
    </cfRule>
  </conditionalFormatting>
  <conditionalFormatting sqref="AY10:AY12">
    <cfRule type="cellIs" dxfId="1088" priority="1187" operator="equal">
      <formula>0</formula>
    </cfRule>
    <cfRule type="cellIs" dxfId="1087" priority="1188" operator="lessThan">
      <formula>0</formula>
    </cfRule>
  </conditionalFormatting>
  <conditionalFormatting sqref="AY16">
    <cfRule type="cellIs" dxfId="1086" priority="1190" operator="lessThan">
      <formula>0</formula>
    </cfRule>
    <cfRule type="cellIs" dxfId="1085" priority="1189" operator="equal">
      <formula>0</formula>
    </cfRule>
  </conditionalFormatting>
  <conditionalFormatting sqref="BI10:BI12">
    <cfRule type="cellIs" dxfId="1084" priority="1178" operator="lessThan">
      <formula>0</formula>
    </cfRule>
    <cfRule type="cellIs" dxfId="1083" priority="1177" operator="equal">
      <formula>0</formula>
    </cfRule>
  </conditionalFormatting>
  <conditionalFormatting sqref="BI16">
    <cfRule type="cellIs" dxfId="1082" priority="1180" operator="lessThan">
      <formula>0</formula>
    </cfRule>
    <cfRule type="cellIs" dxfId="1081" priority="1179" operator="equal">
      <formula>0</formula>
    </cfRule>
  </conditionalFormatting>
  <conditionalFormatting sqref="BK10:BK12">
    <cfRule type="cellIs" dxfId="1080" priority="1183" operator="greaterThan">
      <formula>0</formula>
    </cfRule>
    <cfRule type="cellIs" dxfId="1079" priority="1182" operator="lessThan">
      <formula>0</formula>
    </cfRule>
    <cfRule type="cellIs" dxfId="1078" priority="1181" operator="equal">
      <formula>0</formula>
    </cfRule>
  </conditionalFormatting>
  <conditionalFormatting sqref="BK16">
    <cfRule type="cellIs" dxfId="1077" priority="1186" operator="greaterThan">
      <formula>0</formula>
    </cfRule>
    <cfRule type="cellIs" dxfId="1076" priority="1185" operator="lessThan">
      <formula>0</formula>
    </cfRule>
    <cfRule type="cellIs" dxfId="1075" priority="1184" operator="equal">
      <formula>0</formula>
    </cfRule>
  </conditionalFormatting>
  <conditionalFormatting sqref="BS10:BS12">
    <cfRule type="cellIs" dxfId="1074" priority="1168" operator="lessThan">
      <formula>0</formula>
    </cfRule>
    <cfRule type="cellIs" dxfId="1073" priority="1167" operator="equal">
      <formula>0</formula>
    </cfRule>
  </conditionalFormatting>
  <conditionalFormatting sqref="BS16">
    <cfRule type="cellIs" dxfId="1072" priority="1170" operator="lessThan">
      <formula>0</formula>
    </cfRule>
    <cfRule type="cellIs" dxfId="1071" priority="1169" operator="equal">
      <formula>0</formula>
    </cfRule>
  </conditionalFormatting>
  <conditionalFormatting sqref="BU10:BU12">
    <cfRule type="cellIs" dxfId="1070" priority="1173" operator="greaterThan">
      <formula>0</formula>
    </cfRule>
    <cfRule type="cellIs" dxfId="1069" priority="1172" operator="lessThan">
      <formula>0</formula>
    </cfRule>
    <cfRule type="cellIs" dxfId="1068" priority="1171" operator="equal">
      <formula>0</formula>
    </cfRule>
  </conditionalFormatting>
  <conditionalFormatting sqref="BU16">
    <cfRule type="cellIs" dxfId="1067" priority="1175" operator="lessThan">
      <formula>0</formula>
    </cfRule>
    <cfRule type="cellIs" dxfId="1066" priority="1174" operator="equal">
      <formula>0</formula>
    </cfRule>
    <cfRule type="cellIs" dxfId="1065" priority="1176" operator="greaterThan">
      <formula>0</formula>
    </cfRule>
  </conditionalFormatting>
  <conditionalFormatting sqref="CC10:CC12">
    <cfRule type="cellIs" dxfId="1064" priority="1158" operator="lessThan">
      <formula>0</formula>
    </cfRule>
    <cfRule type="cellIs" dxfId="1063" priority="1157" operator="equal">
      <formula>0</formula>
    </cfRule>
  </conditionalFormatting>
  <conditionalFormatting sqref="CC16">
    <cfRule type="cellIs" dxfId="1062" priority="1159" operator="equal">
      <formula>0</formula>
    </cfRule>
    <cfRule type="cellIs" dxfId="1061" priority="1160" operator="lessThan">
      <formula>0</formula>
    </cfRule>
  </conditionalFormatting>
  <conditionalFormatting sqref="CE10:CE12">
    <cfRule type="cellIs" dxfId="1060" priority="1162" operator="lessThan">
      <formula>0</formula>
    </cfRule>
    <cfRule type="cellIs" dxfId="1059" priority="1163" operator="greaterThan">
      <formula>0</formula>
    </cfRule>
    <cfRule type="cellIs" dxfId="1058" priority="1161" operator="equal">
      <formula>0</formula>
    </cfRule>
  </conditionalFormatting>
  <conditionalFormatting sqref="CE16">
    <cfRule type="cellIs" dxfId="1057" priority="1164" operator="equal">
      <formula>0</formula>
    </cfRule>
    <cfRule type="cellIs" dxfId="1056" priority="1166" operator="greaterThan">
      <formula>0</formula>
    </cfRule>
    <cfRule type="cellIs" dxfId="1055" priority="1165" operator="lessThan">
      <formula>0</formula>
    </cfRule>
  </conditionalFormatting>
  <conditionalFormatting sqref="CM10:CM12">
    <cfRule type="cellIs" dxfId="1054" priority="1148" operator="lessThan">
      <formula>0</formula>
    </cfRule>
    <cfRule type="cellIs" dxfId="1053" priority="1147" operator="equal">
      <formula>0</formula>
    </cfRule>
  </conditionalFormatting>
  <conditionalFormatting sqref="CM16">
    <cfRule type="cellIs" dxfId="1052" priority="1149" operator="equal">
      <formula>0</formula>
    </cfRule>
    <cfRule type="cellIs" dxfId="1051" priority="1150" operator="lessThan">
      <formula>0</formula>
    </cfRule>
  </conditionalFormatting>
  <conditionalFormatting sqref="CO10:CO12">
    <cfRule type="cellIs" dxfId="1050" priority="1152" operator="lessThan">
      <formula>0</formula>
    </cfRule>
    <cfRule type="cellIs" dxfId="1049" priority="1153" operator="greaterThan">
      <formula>0</formula>
    </cfRule>
    <cfRule type="cellIs" dxfId="1048" priority="1151" operator="equal">
      <formula>0</formula>
    </cfRule>
  </conditionalFormatting>
  <conditionalFormatting sqref="CO16">
    <cfRule type="cellIs" dxfId="1047" priority="1156" operator="greaterThan">
      <formula>0</formula>
    </cfRule>
    <cfRule type="cellIs" dxfId="1046" priority="1155" operator="lessThan">
      <formula>0</formula>
    </cfRule>
    <cfRule type="cellIs" dxfId="1045" priority="1154" operator="equal">
      <formula>0</formula>
    </cfRule>
  </conditionalFormatting>
  <conditionalFormatting sqref="CQ18">
    <cfRule type="colorScale" priority="112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CW10:CW12">
    <cfRule type="cellIs" dxfId="1044" priority="1138" operator="lessThan">
      <formula>0</formula>
    </cfRule>
    <cfRule type="cellIs" dxfId="1043" priority="1137" operator="equal">
      <formula>0</formula>
    </cfRule>
  </conditionalFormatting>
  <conditionalFormatting sqref="CW16">
    <cfRule type="cellIs" dxfId="1042" priority="1140" operator="lessThan">
      <formula>0</formula>
    </cfRule>
    <cfRule type="cellIs" dxfId="1041" priority="1139" operator="equal">
      <formula>0</formula>
    </cfRule>
  </conditionalFormatting>
  <conditionalFormatting sqref="CY10:CY12">
    <cfRule type="cellIs" dxfId="1040" priority="1143" operator="greaterThan">
      <formula>0</formula>
    </cfRule>
    <cfRule type="cellIs" dxfId="1039" priority="1142" operator="lessThan">
      <formula>0</formula>
    </cfRule>
    <cfRule type="cellIs" dxfId="1038" priority="1141" operator="equal">
      <formula>0</formula>
    </cfRule>
  </conditionalFormatting>
  <conditionalFormatting sqref="CY16">
    <cfRule type="cellIs" dxfId="1037" priority="1146" operator="greaterThan">
      <formula>0</formula>
    </cfRule>
    <cfRule type="cellIs" dxfId="1036" priority="1145" operator="lessThan">
      <formula>0</formula>
    </cfRule>
    <cfRule type="cellIs" dxfId="1035" priority="1144" operator="equal">
      <formula>0</formula>
    </cfRule>
  </conditionalFormatting>
  <conditionalFormatting sqref="DA18">
    <cfRule type="colorScale" priority="112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G10:DG12">
    <cfRule type="cellIs" dxfId="1034" priority="1128" operator="lessThan">
      <formula>0</formula>
    </cfRule>
    <cfRule type="cellIs" dxfId="1033" priority="1127" operator="equal">
      <formula>0</formula>
    </cfRule>
  </conditionalFormatting>
  <conditionalFormatting sqref="DG16">
    <cfRule type="cellIs" dxfId="1032" priority="1130" operator="lessThan">
      <formula>0</formula>
    </cfRule>
    <cfRule type="cellIs" dxfId="1031" priority="1129" operator="equal">
      <formula>0</formula>
    </cfRule>
  </conditionalFormatting>
  <conditionalFormatting sqref="DI10:DI12">
    <cfRule type="cellIs" dxfId="1030" priority="1131" operator="equal">
      <formula>0</formula>
    </cfRule>
    <cfRule type="cellIs" dxfId="1029" priority="1132" operator="lessThan">
      <formula>0</formula>
    </cfRule>
    <cfRule type="cellIs" dxfId="1028" priority="1133" operator="greaterThan">
      <formula>0</formula>
    </cfRule>
  </conditionalFormatting>
  <conditionalFormatting sqref="DI16">
    <cfRule type="cellIs" dxfId="1027" priority="1134" operator="equal">
      <formula>0</formula>
    </cfRule>
    <cfRule type="cellIs" dxfId="1026" priority="1135" operator="lessThan">
      <formula>0</formula>
    </cfRule>
    <cfRule type="cellIs" dxfId="1025" priority="1136" operator="greaterThan">
      <formula>0</formula>
    </cfRule>
  </conditionalFormatting>
  <conditionalFormatting sqref="DK18">
    <cfRule type="colorScale" priority="111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DQ10:DQ12">
    <cfRule type="cellIs" dxfId="1024" priority="1116" operator="lessThan">
      <formula>0</formula>
    </cfRule>
    <cfRule type="cellIs" dxfId="1023" priority="1115" operator="equal">
      <formula>0</formula>
    </cfRule>
  </conditionalFormatting>
  <conditionalFormatting sqref="DQ16">
    <cfRule type="cellIs" dxfId="1022" priority="1118" operator="lessThan">
      <formula>0</formula>
    </cfRule>
    <cfRule type="cellIs" dxfId="1021" priority="1117" operator="equal">
      <formula>0</formula>
    </cfRule>
  </conditionalFormatting>
  <conditionalFormatting sqref="DS10:DS12">
    <cfRule type="cellIs" dxfId="1020" priority="1121" operator="greaterThan">
      <formula>0</formula>
    </cfRule>
    <cfRule type="cellIs" dxfId="1019" priority="1119" operator="equal">
      <formula>0</formula>
    </cfRule>
    <cfRule type="cellIs" dxfId="1018" priority="1120" operator="lessThan">
      <formula>0</formula>
    </cfRule>
  </conditionalFormatting>
  <conditionalFormatting sqref="DS16">
    <cfRule type="cellIs" dxfId="1017" priority="1124" operator="greaterThan">
      <formula>0</formula>
    </cfRule>
    <cfRule type="cellIs" dxfId="1016" priority="1123" operator="lessThan">
      <formula>0</formula>
    </cfRule>
    <cfRule type="cellIs" dxfId="1015" priority="1122" operator="equal">
      <formula>0</formula>
    </cfRule>
  </conditionalFormatting>
  <conditionalFormatting sqref="DU18">
    <cfRule type="colorScale" priority="110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A10:EA12">
    <cfRule type="cellIs" dxfId="1014" priority="1104" operator="equal">
      <formula>0</formula>
    </cfRule>
    <cfRule type="cellIs" dxfId="1013" priority="1105" operator="lessThan">
      <formula>0</formula>
    </cfRule>
  </conditionalFormatting>
  <conditionalFormatting sqref="EA16">
    <cfRule type="cellIs" dxfId="1012" priority="1106" operator="equal">
      <formula>0</formula>
    </cfRule>
    <cfRule type="cellIs" dxfId="1011" priority="1107" operator="lessThan">
      <formula>0</formula>
    </cfRule>
  </conditionalFormatting>
  <conditionalFormatting sqref="EC10:EC12">
    <cfRule type="cellIs" dxfId="1010" priority="1110" operator="greaterThan">
      <formula>0</formula>
    </cfRule>
    <cfRule type="cellIs" dxfId="1009" priority="1109" operator="lessThan">
      <formula>0</formula>
    </cfRule>
    <cfRule type="cellIs" dxfId="1008" priority="1108" operator="equal">
      <formula>0</formula>
    </cfRule>
  </conditionalFormatting>
  <conditionalFormatting sqref="EC16">
    <cfRule type="cellIs" dxfId="1007" priority="1111" operator="equal">
      <formula>0</formula>
    </cfRule>
    <cfRule type="cellIs" dxfId="1006" priority="1113" operator="greaterThan">
      <formula>0</formula>
    </cfRule>
    <cfRule type="cellIs" dxfId="1005" priority="1112" operator="lessThan">
      <formula>0</formula>
    </cfRule>
  </conditionalFormatting>
  <conditionalFormatting sqref="EE18">
    <cfRule type="colorScale" priority="109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K10:EK12">
    <cfRule type="cellIs" dxfId="1004" priority="1094" operator="lessThan">
      <formula>0</formula>
    </cfRule>
    <cfRule type="cellIs" dxfId="1003" priority="1093" operator="equal">
      <formula>0</formula>
    </cfRule>
  </conditionalFormatting>
  <conditionalFormatting sqref="EK16">
    <cfRule type="cellIs" dxfId="1002" priority="1096" operator="lessThan">
      <formula>0</formula>
    </cfRule>
    <cfRule type="cellIs" dxfId="1001" priority="1095" operator="equal">
      <formula>0</formula>
    </cfRule>
  </conditionalFormatting>
  <conditionalFormatting sqref="EM10:EM12">
    <cfRule type="cellIs" dxfId="1000" priority="1099" operator="greaterThan">
      <formula>0</formula>
    </cfRule>
    <cfRule type="cellIs" dxfId="999" priority="1098" operator="lessThan">
      <formula>0</formula>
    </cfRule>
    <cfRule type="cellIs" dxfId="998" priority="1097" operator="equal">
      <formula>0</formula>
    </cfRule>
  </conditionalFormatting>
  <conditionalFormatting sqref="EM16">
    <cfRule type="cellIs" dxfId="997" priority="1102" operator="greaterThan">
      <formula>0</formula>
    </cfRule>
    <cfRule type="cellIs" dxfId="996" priority="1101" operator="lessThan">
      <formula>0</formula>
    </cfRule>
    <cfRule type="cellIs" dxfId="995" priority="1100" operator="equal">
      <formula>0</formula>
    </cfRule>
  </conditionalFormatting>
  <conditionalFormatting sqref="EO18">
    <cfRule type="colorScale" priority="108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EU10:EU12">
    <cfRule type="cellIs" dxfId="994" priority="1082" operator="equal">
      <formula>0</formula>
    </cfRule>
    <cfRule type="cellIs" dxfId="993" priority="1083" operator="lessThan">
      <formula>0</formula>
    </cfRule>
  </conditionalFormatting>
  <conditionalFormatting sqref="EU16">
    <cfRule type="cellIs" dxfId="992" priority="1085" operator="lessThan">
      <formula>0</formula>
    </cfRule>
    <cfRule type="cellIs" dxfId="991" priority="1084" operator="equal">
      <formula>0</formula>
    </cfRule>
  </conditionalFormatting>
  <conditionalFormatting sqref="EW10:EW12">
    <cfRule type="cellIs" dxfId="990" priority="1088" operator="greaterThan">
      <formula>0</formula>
    </cfRule>
    <cfRule type="cellIs" dxfId="989" priority="1087" operator="lessThan">
      <formula>0</formula>
    </cfRule>
    <cfRule type="cellIs" dxfId="988" priority="1086" operator="equal">
      <formula>0</formula>
    </cfRule>
  </conditionalFormatting>
  <conditionalFormatting sqref="EW16">
    <cfRule type="cellIs" dxfId="987" priority="1091" operator="greaterThan">
      <formula>0</formula>
    </cfRule>
    <cfRule type="cellIs" dxfId="986" priority="1090" operator="lessThan">
      <formula>0</formula>
    </cfRule>
    <cfRule type="cellIs" dxfId="985" priority="1089" operator="equal">
      <formula>0</formula>
    </cfRule>
  </conditionalFormatting>
  <conditionalFormatting sqref="EY18">
    <cfRule type="colorScale" priority="107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E10:FE12">
    <cfRule type="cellIs" dxfId="984" priority="1072" operator="lessThan">
      <formula>0</formula>
    </cfRule>
    <cfRule type="cellIs" dxfId="983" priority="1071" operator="equal">
      <formula>0</formula>
    </cfRule>
  </conditionalFormatting>
  <conditionalFormatting sqref="FE16">
    <cfRule type="cellIs" dxfId="982" priority="1073" operator="equal">
      <formula>0</formula>
    </cfRule>
    <cfRule type="cellIs" dxfId="981" priority="1074" operator="lessThan">
      <formula>0</formula>
    </cfRule>
  </conditionalFormatting>
  <conditionalFormatting sqref="FG10:FG12">
    <cfRule type="cellIs" dxfId="980" priority="1076" operator="lessThan">
      <formula>0</formula>
    </cfRule>
    <cfRule type="cellIs" dxfId="979" priority="1077" operator="greaterThan">
      <formula>0</formula>
    </cfRule>
    <cfRule type="cellIs" dxfId="978" priority="1075" operator="equal">
      <formula>0</formula>
    </cfRule>
  </conditionalFormatting>
  <conditionalFormatting sqref="FG16">
    <cfRule type="cellIs" dxfId="977" priority="1079" operator="lessThan">
      <formula>0</formula>
    </cfRule>
    <cfRule type="cellIs" dxfId="976" priority="1078" operator="equal">
      <formula>0</formula>
    </cfRule>
    <cfRule type="cellIs" dxfId="975" priority="1080" operator="greaterThan">
      <formula>0</formula>
    </cfRule>
  </conditionalFormatting>
  <conditionalFormatting sqref="FI18">
    <cfRule type="colorScale" priority="105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O10:FO12">
    <cfRule type="cellIs" dxfId="974" priority="1060" operator="equal">
      <formula>0</formula>
    </cfRule>
    <cfRule type="cellIs" dxfId="973" priority="1061" operator="lessThan">
      <formula>0</formula>
    </cfRule>
  </conditionalFormatting>
  <conditionalFormatting sqref="FO16">
    <cfRule type="cellIs" dxfId="972" priority="1063" operator="lessThan">
      <formula>0</formula>
    </cfRule>
    <cfRule type="cellIs" dxfId="971" priority="1062" operator="equal">
      <formula>0</formula>
    </cfRule>
  </conditionalFormatting>
  <conditionalFormatting sqref="FQ10:FQ12">
    <cfRule type="cellIs" dxfId="970" priority="1066" operator="greaterThan">
      <formula>0</formula>
    </cfRule>
    <cfRule type="cellIs" dxfId="969" priority="1064" operator="equal">
      <formula>0</formula>
    </cfRule>
    <cfRule type="cellIs" dxfId="968" priority="1065" operator="lessThan">
      <formula>0</formula>
    </cfRule>
  </conditionalFormatting>
  <conditionalFormatting sqref="FQ16">
    <cfRule type="cellIs" dxfId="967" priority="1068" operator="lessThan">
      <formula>0</formula>
    </cfRule>
    <cfRule type="cellIs" dxfId="966" priority="1067" operator="equal">
      <formula>0</formula>
    </cfRule>
    <cfRule type="cellIs" dxfId="965" priority="1069" operator="greaterThan">
      <formula>0</formula>
    </cfRule>
  </conditionalFormatting>
  <conditionalFormatting sqref="FS18">
    <cfRule type="colorScale" priority="104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FY10:FY12">
    <cfRule type="cellIs" dxfId="964" priority="1050" operator="lessThan">
      <formula>0</formula>
    </cfRule>
    <cfRule type="cellIs" dxfId="963" priority="1049" operator="equal">
      <formula>0</formula>
    </cfRule>
  </conditionalFormatting>
  <conditionalFormatting sqref="FY16">
    <cfRule type="cellIs" dxfId="962" priority="1052" operator="lessThan">
      <formula>0</formula>
    </cfRule>
    <cfRule type="cellIs" dxfId="961" priority="1051" operator="equal">
      <formula>0</formula>
    </cfRule>
  </conditionalFormatting>
  <conditionalFormatting sqref="GA10:GA12">
    <cfRule type="cellIs" dxfId="960" priority="1054" operator="lessThan">
      <formula>0</formula>
    </cfRule>
    <cfRule type="cellIs" dxfId="959" priority="1053" operator="equal">
      <formula>0</formula>
    </cfRule>
    <cfRule type="cellIs" dxfId="958" priority="1055" operator="greaterThan">
      <formula>0</formula>
    </cfRule>
  </conditionalFormatting>
  <conditionalFormatting sqref="GA16">
    <cfRule type="cellIs" dxfId="957" priority="1058" operator="greaterThan">
      <formula>0</formula>
    </cfRule>
    <cfRule type="cellIs" dxfId="956" priority="1057" operator="lessThan">
      <formula>0</formula>
    </cfRule>
    <cfRule type="cellIs" dxfId="955" priority="1056" operator="equal">
      <formula>0</formula>
    </cfRule>
  </conditionalFormatting>
  <conditionalFormatting sqref="GC18">
    <cfRule type="colorScale" priority="103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I10:GI12">
    <cfRule type="cellIs" dxfId="954" priority="1039" operator="lessThan">
      <formula>0</formula>
    </cfRule>
    <cfRule type="cellIs" dxfId="953" priority="1038" operator="equal">
      <formula>0</formula>
    </cfRule>
  </conditionalFormatting>
  <conditionalFormatting sqref="GI16">
    <cfRule type="cellIs" dxfId="952" priority="1041" operator="lessThan">
      <formula>0</formula>
    </cfRule>
    <cfRule type="cellIs" dxfId="951" priority="1040" operator="equal">
      <formula>0</formula>
    </cfRule>
  </conditionalFormatting>
  <conditionalFormatting sqref="GK10:GK12">
    <cfRule type="cellIs" dxfId="950" priority="1044" operator="greaterThan">
      <formula>0</formula>
    </cfRule>
    <cfRule type="cellIs" dxfId="949" priority="1043" operator="lessThan">
      <formula>0</formula>
    </cfRule>
    <cfRule type="cellIs" dxfId="948" priority="1042" operator="equal">
      <formula>0</formula>
    </cfRule>
  </conditionalFormatting>
  <conditionalFormatting sqref="GK16">
    <cfRule type="cellIs" dxfId="947" priority="1047" operator="greaterThan">
      <formula>0</formula>
    </cfRule>
    <cfRule type="cellIs" dxfId="946" priority="1046" operator="lessThan">
      <formula>0</formula>
    </cfRule>
    <cfRule type="cellIs" dxfId="945" priority="1045" operator="equal">
      <formula>0</formula>
    </cfRule>
  </conditionalFormatting>
  <conditionalFormatting sqref="GM18">
    <cfRule type="colorScale" priority="102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GS10:GS12">
    <cfRule type="cellIs" dxfId="944" priority="1027" operator="equal">
      <formula>0</formula>
    </cfRule>
    <cfRule type="cellIs" dxfId="943" priority="1028" operator="lessThan">
      <formula>0</formula>
    </cfRule>
  </conditionalFormatting>
  <conditionalFormatting sqref="GS16">
    <cfRule type="cellIs" dxfId="942" priority="1029" operator="equal">
      <formula>0</formula>
    </cfRule>
    <cfRule type="cellIs" dxfId="941" priority="1030" operator="lessThan">
      <formula>0</formula>
    </cfRule>
  </conditionalFormatting>
  <conditionalFormatting sqref="GU10:GU12">
    <cfRule type="cellIs" dxfId="940" priority="1032" operator="lessThan">
      <formula>0</formula>
    </cfRule>
    <cfRule type="cellIs" dxfId="939" priority="1031" operator="equal">
      <formula>0</formula>
    </cfRule>
    <cfRule type="cellIs" dxfId="938" priority="1033" operator="greaterThan">
      <formula>0</formula>
    </cfRule>
  </conditionalFormatting>
  <conditionalFormatting sqref="GU16">
    <cfRule type="cellIs" dxfId="937" priority="1036" operator="greaterThan">
      <formula>0</formula>
    </cfRule>
    <cfRule type="cellIs" dxfId="936" priority="1035" operator="lessThan">
      <formula>0</formula>
    </cfRule>
    <cfRule type="cellIs" dxfId="935" priority="1034" operator="equal">
      <formula>0</formula>
    </cfRule>
  </conditionalFormatting>
  <conditionalFormatting sqref="GW18">
    <cfRule type="colorScale" priority="10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C10:HC12">
    <cfRule type="cellIs" dxfId="934" priority="1017" operator="lessThan">
      <formula>0</formula>
    </cfRule>
    <cfRule type="cellIs" dxfId="933" priority="1016" operator="equal">
      <formula>0</formula>
    </cfRule>
  </conditionalFormatting>
  <conditionalFormatting sqref="HC16">
    <cfRule type="cellIs" dxfId="932" priority="1019" operator="lessThan">
      <formula>0</formula>
    </cfRule>
    <cfRule type="cellIs" dxfId="931" priority="1018" operator="equal">
      <formula>0</formula>
    </cfRule>
  </conditionalFormatting>
  <conditionalFormatting sqref="HE10:HE12">
    <cfRule type="cellIs" dxfId="930" priority="1020" operator="equal">
      <formula>0</formula>
    </cfRule>
    <cfRule type="cellIs" dxfId="929" priority="1022" operator="greaterThan">
      <formula>0</formula>
    </cfRule>
    <cfRule type="cellIs" dxfId="928" priority="1021" operator="lessThan">
      <formula>0</formula>
    </cfRule>
  </conditionalFormatting>
  <conditionalFormatting sqref="HE16">
    <cfRule type="cellIs" dxfId="927" priority="1024" operator="lessThan">
      <formula>0</formula>
    </cfRule>
    <cfRule type="cellIs" dxfId="926" priority="1023" operator="equal">
      <formula>0</formula>
    </cfRule>
    <cfRule type="cellIs" dxfId="925" priority="1025" operator="greaterThan">
      <formula>0</formula>
    </cfRule>
  </conditionalFormatting>
  <conditionalFormatting sqref="HG18">
    <cfRule type="colorScale" priority="100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M10:HM12">
    <cfRule type="cellIs" dxfId="924" priority="1006" operator="lessThan">
      <formula>0</formula>
    </cfRule>
    <cfRule type="cellIs" dxfId="923" priority="1005" operator="equal">
      <formula>0</formula>
    </cfRule>
  </conditionalFormatting>
  <conditionalFormatting sqref="HM16">
    <cfRule type="cellIs" dxfId="922" priority="1008" operator="lessThan">
      <formula>0</formula>
    </cfRule>
    <cfRule type="cellIs" dxfId="921" priority="1007" operator="equal">
      <formula>0</formula>
    </cfRule>
  </conditionalFormatting>
  <conditionalFormatting sqref="HO10:HO12">
    <cfRule type="cellIs" dxfId="920" priority="1010" operator="lessThan">
      <formula>0</formula>
    </cfRule>
    <cfRule type="cellIs" dxfId="919" priority="1009" operator="equal">
      <formula>0</formula>
    </cfRule>
    <cfRule type="cellIs" dxfId="918" priority="1011" operator="greaterThan">
      <formula>0</formula>
    </cfRule>
  </conditionalFormatting>
  <conditionalFormatting sqref="HO16">
    <cfRule type="cellIs" dxfId="917" priority="1014" operator="greaterThan">
      <formula>0</formula>
    </cfRule>
    <cfRule type="cellIs" dxfId="916" priority="1013" operator="lessThan">
      <formula>0</formula>
    </cfRule>
    <cfRule type="cellIs" dxfId="915" priority="1012" operator="equal">
      <formula>0</formula>
    </cfRule>
  </conditionalFormatting>
  <conditionalFormatting sqref="HQ18">
    <cfRule type="colorScale" priority="99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HW10:HW12">
    <cfRule type="cellIs" dxfId="914" priority="995" operator="lessThan">
      <formula>0</formula>
    </cfRule>
    <cfRule type="cellIs" dxfId="913" priority="994" operator="equal">
      <formula>0</formula>
    </cfRule>
  </conditionalFormatting>
  <conditionalFormatting sqref="HW16">
    <cfRule type="cellIs" dxfId="912" priority="997" operator="lessThan">
      <formula>0</formula>
    </cfRule>
    <cfRule type="cellIs" dxfId="911" priority="996" operator="equal">
      <formula>0</formula>
    </cfRule>
  </conditionalFormatting>
  <conditionalFormatting sqref="HY10:HY12">
    <cfRule type="cellIs" dxfId="910" priority="1000" operator="greaterThan">
      <formula>0</formula>
    </cfRule>
    <cfRule type="cellIs" dxfId="909" priority="999" operator="lessThan">
      <formula>0</formula>
    </cfRule>
    <cfRule type="cellIs" dxfId="908" priority="998" operator="equal">
      <formula>0</formula>
    </cfRule>
  </conditionalFormatting>
  <conditionalFormatting sqref="HY16">
    <cfRule type="cellIs" dxfId="907" priority="1003" operator="greaterThan">
      <formula>0</formula>
    </cfRule>
    <cfRule type="cellIs" dxfId="906" priority="1002" operator="lessThan">
      <formula>0</formula>
    </cfRule>
    <cfRule type="cellIs" dxfId="905" priority="1001" operator="equal">
      <formula>0</formula>
    </cfRule>
  </conditionalFormatting>
  <conditionalFormatting sqref="IA18">
    <cfRule type="colorScale" priority="98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G10:IG12">
    <cfRule type="cellIs" dxfId="904" priority="983" operator="equal">
      <formula>0</formula>
    </cfRule>
    <cfRule type="cellIs" dxfId="903" priority="984" operator="lessThan">
      <formula>0</formula>
    </cfRule>
  </conditionalFormatting>
  <conditionalFormatting sqref="IG16">
    <cfRule type="cellIs" dxfId="902" priority="985" operator="equal">
      <formula>0</formula>
    </cfRule>
    <cfRule type="cellIs" dxfId="901" priority="986" operator="lessThan">
      <formula>0</formula>
    </cfRule>
  </conditionalFormatting>
  <conditionalFormatting sqref="II10:II12">
    <cfRule type="cellIs" dxfId="900" priority="987" operator="equal">
      <formula>0</formula>
    </cfRule>
    <cfRule type="cellIs" dxfId="899" priority="989" operator="greaterThan">
      <formula>0</formula>
    </cfRule>
    <cfRule type="cellIs" dxfId="898" priority="988" operator="lessThan">
      <formula>0</formula>
    </cfRule>
  </conditionalFormatting>
  <conditionalFormatting sqref="II16">
    <cfRule type="cellIs" dxfId="897" priority="990" operator="equal">
      <formula>0</formula>
    </cfRule>
    <cfRule type="cellIs" dxfId="896" priority="991" operator="lessThan">
      <formula>0</formula>
    </cfRule>
    <cfRule type="cellIs" dxfId="895" priority="992" operator="greaterThan">
      <formula>0</formula>
    </cfRule>
  </conditionalFormatting>
  <conditionalFormatting sqref="IK18">
    <cfRule type="colorScale" priority="97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IQ10:IQ12">
    <cfRule type="cellIs" dxfId="894" priority="973" operator="lessThan">
      <formula>0</formula>
    </cfRule>
    <cfRule type="cellIs" dxfId="893" priority="972" operator="equal">
      <formula>0</formula>
    </cfRule>
  </conditionalFormatting>
  <conditionalFormatting sqref="IQ16">
    <cfRule type="cellIs" dxfId="892" priority="975" operator="lessThan">
      <formula>0</formula>
    </cfRule>
    <cfRule type="cellIs" dxfId="891" priority="974" operator="equal">
      <formula>0</formula>
    </cfRule>
  </conditionalFormatting>
  <conditionalFormatting sqref="IS10:IS12">
    <cfRule type="cellIs" dxfId="890" priority="978" operator="greaterThan">
      <formula>0</formula>
    </cfRule>
    <cfRule type="cellIs" dxfId="889" priority="977" operator="lessThan">
      <formula>0</formula>
    </cfRule>
    <cfRule type="cellIs" dxfId="888" priority="976" operator="equal">
      <formula>0</formula>
    </cfRule>
  </conditionalFormatting>
  <conditionalFormatting sqref="IS16">
    <cfRule type="cellIs" dxfId="887" priority="981" operator="greaterThan">
      <formula>0</formula>
    </cfRule>
    <cfRule type="cellIs" dxfId="886" priority="980" operator="lessThan">
      <formula>0</formula>
    </cfRule>
    <cfRule type="cellIs" dxfId="885" priority="979" operator="equal">
      <formula>0</formula>
    </cfRule>
  </conditionalFormatting>
  <conditionalFormatting sqref="IU18">
    <cfRule type="colorScale" priority="96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A10:JA12">
    <cfRule type="cellIs" dxfId="884" priority="961" operator="equal">
      <formula>0</formula>
    </cfRule>
    <cfRule type="cellIs" dxfId="883" priority="962" operator="lessThan">
      <formula>0</formula>
    </cfRule>
  </conditionalFormatting>
  <conditionalFormatting sqref="JA16">
    <cfRule type="cellIs" dxfId="882" priority="964" operator="lessThan">
      <formula>0</formula>
    </cfRule>
    <cfRule type="cellIs" dxfId="881" priority="963" operator="equal">
      <formula>0</formula>
    </cfRule>
  </conditionalFormatting>
  <conditionalFormatting sqref="JC10:JC12">
    <cfRule type="cellIs" dxfId="880" priority="965" operator="equal">
      <formula>0</formula>
    </cfRule>
    <cfRule type="cellIs" dxfId="879" priority="967" operator="greaterThan">
      <formula>0</formula>
    </cfRule>
    <cfRule type="cellIs" dxfId="878" priority="966" operator="lessThan">
      <formula>0</formula>
    </cfRule>
  </conditionalFormatting>
  <conditionalFormatting sqref="JC16">
    <cfRule type="cellIs" dxfId="877" priority="968" operator="equal">
      <formula>0</formula>
    </cfRule>
    <cfRule type="cellIs" dxfId="876" priority="969" operator="lessThan">
      <formula>0</formula>
    </cfRule>
    <cfRule type="cellIs" dxfId="875" priority="970" operator="greaterThan">
      <formula>0</formula>
    </cfRule>
  </conditionalFormatting>
  <conditionalFormatting sqref="JE18">
    <cfRule type="colorScale" priority="94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K10:JK12">
    <cfRule type="cellIs" dxfId="874" priority="951" operator="lessThan">
      <formula>0</formula>
    </cfRule>
    <cfRule type="cellIs" dxfId="873" priority="950" operator="equal">
      <formula>0</formula>
    </cfRule>
  </conditionalFormatting>
  <conditionalFormatting sqref="JK16">
    <cfRule type="cellIs" dxfId="872" priority="953" operator="lessThan">
      <formula>0</formula>
    </cfRule>
    <cfRule type="cellIs" dxfId="871" priority="952" operator="equal">
      <formula>0</formula>
    </cfRule>
  </conditionalFormatting>
  <conditionalFormatting sqref="JM10:JM12">
    <cfRule type="cellIs" dxfId="870" priority="956" operator="greaterThan">
      <formula>0</formula>
    </cfRule>
    <cfRule type="cellIs" dxfId="869" priority="955" operator="lessThan">
      <formula>0</formula>
    </cfRule>
    <cfRule type="cellIs" dxfId="868" priority="954" operator="equal">
      <formula>0</formula>
    </cfRule>
  </conditionalFormatting>
  <conditionalFormatting sqref="JM16">
    <cfRule type="cellIs" dxfId="867" priority="959" operator="greaterThan">
      <formula>0</formula>
    </cfRule>
    <cfRule type="cellIs" dxfId="866" priority="958" operator="lessThan">
      <formula>0</formula>
    </cfRule>
    <cfRule type="cellIs" dxfId="865" priority="957" operator="equal">
      <formula>0</formula>
    </cfRule>
  </conditionalFormatting>
  <conditionalFormatting sqref="JO18">
    <cfRule type="colorScale" priority="93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JU10:JU12">
    <cfRule type="cellIs" dxfId="864" priority="940" operator="lessThan">
      <formula>0</formula>
    </cfRule>
    <cfRule type="cellIs" dxfId="863" priority="939" operator="equal">
      <formula>0</formula>
    </cfRule>
  </conditionalFormatting>
  <conditionalFormatting sqref="JU16">
    <cfRule type="cellIs" dxfId="862" priority="942" operator="lessThan">
      <formula>0</formula>
    </cfRule>
    <cfRule type="cellIs" dxfId="861" priority="941" operator="equal">
      <formula>0</formula>
    </cfRule>
  </conditionalFormatting>
  <conditionalFormatting sqref="JW10:JW12">
    <cfRule type="cellIs" dxfId="860" priority="945" operator="greaterThan">
      <formula>0</formula>
    </cfRule>
    <cfRule type="cellIs" dxfId="859" priority="944" operator="lessThan">
      <formula>0</formula>
    </cfRule>
    <cfRule type="cellIs" dxfId="858" priority="943" operator="equal">
      <formula>0</formula>
    </cfRule>
  </conditionalFormatting>
  <conditionalFormatting sqref="JW16">
    <cfRule type="cellIs" dxfId="857" priority="946" operator="equal">
      <formula>0</formula>
    </cfRule>
    <cfRule type="cellIs" dxfId="856" priority="948" operator="greaterThan">
      <formula>0</formula>
    </cfRule>
    <cfRule type="cellIs" dxfId="855" priority="947" operator="lessThan">
      <formula>0</formula>
    </cfRule>
  </conditionalFormatting>
  <conditionalFormatting sqref="JY18">
    <cfRule type="colorScale" priority="92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E10:KE12">
    <cfRule type="cellIs" dxfId="854" priority="929" operator="lessThan">
      <formula>0</formula>
    </cfRule>
    <cfRule type="cellIs" dxfId="853" priority="928" operator="equal">
      <formula>0</formula>
    </cfRule>
  </conditionalFormatting>
  <conditionalFormatting sqref="KE16">
    <cfRule type="cellIs" dxfId="852" priority="931" operator="lessThan">
      <formula>0</formula>
    </cfRule>
    <cfRule type="cellIs" dxfId="851" priority="930" operator="equal">
      <formula>0</formula>
    </cfRule>
  </conditionalFormatting>
  <conditionalFormatting sqref="KG10:KG12">
    <cfRule type="cellIs" dxfId="850" priority="934" operator="greaterThan">
      <formula>0</formula>
    </cfRule>
    <cfRule type="cellIs" dxfId="849" priority="933" operator="lessThan">
      <formula>0</formula>
    </cfRule>
    <cfRule type="cellIs" dxfId="848" priority="932" operator="equal">
      <formula>0</formula>
    </cfRule>
  </conditionalFormatting>
  <conditionalFormatting sqref="KG16">
    <cfRule type="cellIs" dxfId="847" priority="937" operator="greaterThan">
      <formula>0</formula>
    </cfRule>
    <cfRule type="cellIs" dxfId="846" priority="936" operator="lessThan">
      <formula>0</formula>
    </cfRule>
    <cfRule type="cellIs" dxfId="845" priority="935" operator="equal">
      <formula>0</formula>
    </cfRule>
  </conditionalFormatting>
  <conditionalFormatting sqref="KI18">
    <cfRule type="colorScale" priority="91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O10:KO12">
    <cfRule type="cellIs" dxfId="844" priority="917" operator="equal">
      <formula>0</formula>
    </cfRule>
    <cfRule type="cellIs" dxfId="843" priority="918" operator="lessThan">
      <formula>0</formula>
    </cfRule>
  </conditionalFormatting>
  <conditionalFormatting sqref="KO16">
    <cfRule type="cellIs" dxfId="842" priority="920" operator="lessThan">
      <formula>0</formula>
    </cfRule>
    <cfRule type="cellIs" dxfId="841" priority="919" operator="equal">
      <formula>0</formula>
    </cfRule>
  </conditionalFormatting>
  <conditionalFormatting sqref="KQ10:KQ12">
    <cfRule type="cellIs" dxfId="840" priority="921" operator="equal">
      <formula>0</formula>
    </cfRule>
    <cfRule type="cellIs" dxfId="839" priority="923" operator="greaterThan">
      <formula>0</formula>
    </cfRule>
    <cfRule type="cellIs" dxfId="838" priority="922" operator="lessThan">
      <formula>0</formula>
    </cfRule>
  </conditionalFormatting>
  <conditionalFormatting sqref="KQ16">
    <cfRule type="cellIs" dxfId="837" priority="924" operator="equal">
      <formula>0</formula>
    </cfRule>
    <cfRule type="cellIs" dxfId="836" priority="925" operator="lessThan">
      <formula>0</formula>
    </cfRule>
    <cfRule type="cellIs" dxfId="835" priority="926" operator="greaterThan">
      <formula>0</formula>
    </cfRule>
  </conditionalFormatting>
  <conditionalFormatting sqref="KS18">
    <cfRule type="colorScale" priority="90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KY10:KY12">
    <cfRule type="cellIs" dxfId="834" priority="907" operator="lessThan">
      <formula>0</formula>
    </cfRule>
    <cfRule type="cellIs" dxfId="833" priority="906" operator="equal">
      <formula>0</formula>
    </cfRule>
  </conditionalFormatting>
  <conditionalFormatting sqref="KY16">
    <cfRule type="cellIs" dxfId="832" priority="909" operator="lessThan">
      <formula>0</formula>
    </cfRule>
    <cfRule type="cellIs" dxfId="831" priority="908" operator="equal">
      <formula>0</formula>
    </cfRule>
  </conditionalFormatting>
  <conditionalFormatting sqref="LA10:LA12">
    <cfRule type="cellIs" dxfId="830" priority="912" operator="greaterThan">
      <formula>0</formula>
    </cfRule>
    <cfRule type="cellIs" dxfId="829" priority="911" operator="lessThan">
      <formula>0</formula>
    </cfRule>
    <cfRule type="cellIs" dxfId="828" priority="910" operator="equal">
      <formula>0</formula>
    </cfRule>
  </conditionalFormatting>
  <conditionalFormatting sqref="LA16">
    <cfRule type="cellIs" dxfId="827" priority="915" operator="greaterThan">
      <formula>0</formula>
    </cfRule>
    <cfRule type="cellIs" dxfId="826" priority="914" operator="lessThan">
      <formula>0</formula>
    </cfRule>
    <cfRule type="cellIs" dxfId="825" priority="913" operator="equal">
      <formula>0</formula>
    </cfRule>
  </conditionalFormatting>
  <conditionalFormatting sqref="LC18">
    <cfRule type="colorScale" priority="89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I10:LI12">
    <cfRule type="cellIs" dxfId="824" priority="896" operator="lessThan">
      <formula>0</formula>
    </cfRule>
    <cfRule type="cellIs" dxfId="823" priority="895" operator="equal">
      <formula>0</formula>
    </cfRule>
  </conditionalFormatting>
  <conditionalFormatting sqref="LI16">
    <cfRule type="cellIs" dxfId="822" priority="898" operator="lessThan">
      <formula>0</formula>
    </cfRule>
    <cfRule type="cellIs" dxfId="821" priority="897" operator="equal">
      <formula>0</formula>
    </cfRule>
  </conditionalFormatting>
  <conditionalFormatting sqref="LK10:LK12">
    <cfRule type="cellIs" dxfId="820" priority="900" operator="lessThan">
      <formula>0</formula>
    </cfRule>
    <cfRule type="cellIs" dxfId="819" priority="901" operator="greaterThan">
      <formula>0</formula>
    </cfRule>
    <cfRule type="cellIs" dxfId="818" priority="899" operator="equal">
      <formula>0</formula>
    </cfRule>
  </conditionalFormatting>
  <conditionalFormatting sqref="LK16">
    <cfRule type="cellIs" dxfId="817" priority="902" operator="equal">
      <formula>0</formula>
    </cfRule>
    <cfRule type="cellIs" dxfId="816" priority="904" operator="greaterThan">
      <formula>0</formula>
    </cfRule>
    <cfRule type="cellIs" dxfId="815" priority="903" operator="lessThan">
      <formula>0</formula>
    </cfRule>
  </conditionalFormatting>
  <conditionalFormatting sqref="LM18">
    <cfRule type="colorScale" priority="8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LS10:LS12">
    <cfRule type="cellIs" dxfId="814" priority="884" operator="equal">
      <formula>0</formula>
    </cfRule>
    <cfRule type="cellIs" dxfId="813" priority="885" operator="lessThan">
      <formula>0</formula>
    </cfRule>
  </conditionalFormatting>
  <conditionalFormatting sqref="LS16">
    <cfRule type="cellIs" dxfId="812" priority="887" operator="lessThan">
      <formula>0</formula>
    </cfRule>
    <cfRule type="cellIs" dxfId="811" priority="886" operator="equal">
      <formula>0</formula>
    </cfRule>
  </conditionalFormatting>
  <conditionalFormatting sqref="LU10:LU12">
    <cfRule type="cellIs" dxfId="810" priority="890" operator="greaterThan">
      <formula>0</formula>
    </cfRule>
    <cfRule type="cellIs" dxfId="809" priority="889" operator="lessThan">
      <formula>0</formula>
    </cfRule>
    <cfRule type="cellIs" dxfId="808" priority="888" operator="equal">
      <formula>0</formula>
    </cfRule>
  </conditionalFormatting>
  <conditionalFormatting sqref="LU16">
    <cfRule type="cellIs" dxfId="807" priority="893" operator="greaterThan">
      <formula>0</formula>
    </cfRule>
    <cfRule type="cellIs" dxfId="806" priority="892" operator="lessThan">
      <formula>0</formula>
    </cfRule>
    <cfRule type="cellIs" dxfId="805" priority="891" operator="equal">
      <formula>0</formula>
    </cfRule>
  </conditionalFormatting>
  <conditionalFormatting sqref="LW18">
    <cfRule type="colorScale" priority="87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C10:MC12">
    <cfRule type="cellIs" dxfId="804" priority="874" operator="lessThan">
      <formula>0</formula>
    </cfRule>
    <cfRule type="cellIs" dxfId="803" priority="873" operator="equal">
      <formula>0</formula>
    </cfRule>
  </conditionalFormatting>
  <conditionalFormatting sqref="MC16">
    <cfRule type="cellIs" dxfId="802" priority="875" operator="equal">
      <formula>0</formula>
    </cfRule>
    <cfRule type="cellIs" dxfId="801" priority="876" operator="lessThan">
      <formula>0</formula>
    </cfRule>
  </conditionalFormatting>
  <conditionalFormatting sqref="ME10:ME12">
    <cfRule type="cellIs" dxfId="800" priority="879" operator="greaterThan">
      <formula>0</formula>
    </cfRule>
    <cfRule type="cellIs" dxfId="799" priority="878" operator="lessThan">
      <formula>0</formula>
    </cfRule>
    <cfRule type="cellIs" dxfId="798" priority="877" operator="equal">
      <formula>0</formula>
    </cfRule>
  </conditionalFormatting>
  <conditionalFormatting sqref="ME16">
    <cfRule type="cellIs" dxfId="797" priority="880" operator="equal">
      <formula>0</formula>
    </cfRule>
    <cfRule type="cellIs" dxfId="796" priority="882" operator="greaterThan">
      <formula>0</formula>
    </cfRule>
    <cfRule type="cellIs" dxfId="795" priority="881" operator="lessThan">
      <formula>0</formula>
    </cfRule>
  </conditionalFormatting>
  <conditionalFormatting sqref="MG18">
    <cfRule type="colorScale" priority="86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M10:MM12">
    <cfRule type="cellIs" dxfId="794" priority="862" operator="equal">
      <formula>0</formula>
    </cfRule>
    <cfRule type="cellIs" dxfId="793" priority="863" operator="lessThan">
      <formula>0</formula>
    </cfRule>
  </conditionalFormatting>
  <conditionalFormatting sqref="MM16">
    <cfRule type="cellIs" dxfId="792" priority="865" operator="lessThan">
      <formula>0</formula>
    </cfRule>
    <cfRule type="cellIs" dxfId="791" priority="864" operator="equal">
      <formula>0</formula>
    </cfRule>
  </conditionalFormatting>
  <conditionalFormatting sqref="MO10:MO12">
    <cfRule type="cellIs" dxfId="790" priority="866" operator="equal">
      <formula>0</formula>
    </cfRule>
    <cfRule type="cellIs" dxfId="789" priority="867" operator="lessThan">
      <formula>0</formula>
    </cfRule>
    <cfRule type="cellIs" dxfId="788" priority="868" operator="greaterThan">
      <formula>0</formula>
    </cfRule>
  </conditionalFormatting>
  <conditionalFormatting sqref="MO16">
    <cfRule type="cellIs" dxfId="787" priority="871" operator="greaterThan">
      <formula>0</formula>
    </cfRule>
    <cfRule type="cellIs" dxfId="786" priority="870" operator="lessThan">
      <formula>0</formula>
    </cfRule>
    <cfRule type="cellIs" dxfId="785" priority="869" operator="equal">
      <formula>0</formula>
    </cfRule>
  </conditionalFormatting>
  <conditionalFormatting sqref="MQ18">
    <cfRule type="colorScale" priority="85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MW10:MW12">
    <cfRule type="cellIs" dxfId="784" priority="852" operator="lessThan">
      <formula>0</formula>
    </cfRule>
    <cfRule type="cellIs" dxfId="783" priority="851" operator="equal">
      <formula>0</formula>
    </cfRule>
  </conditionalFormatting>
  <conditionalFormatting sqref="MW16">
    <cfRule type="cellIs" dxfId="782" priority="854" operator="lessThan">
      <formula>0</formula>
    </cfRule>
    <cfRule type="cellIs" dxfId="781" priority="853" operator="equal">
      <formula>0</formula>
    </cfRule>
  </conditionalFormatting>
  <conditionalFormatting sqref="MY10:MY12">
    <cfRule type="cellIs" dxfId="780" priority="857" operator="greaterThan">
      <formula>0</formula>
    </cfRule>
    <cfRule type="cellIs" dxfId="779" priority="856" operator="lessThan">
      <formula>0</formula>
    </cfRule>
    <cfRule type="cellIs" dxfId="778" priority="855" operator="equal">
      <formula>0</formula>
    </cfRule>
  </conditionalFormatting>
  <conditionalFormatting sqref="MY16">
    <cfRule type="cellIs" dxfId="777" priority="860" operator="greaterThan">
      <formula>0</formula>
    </cfRule>
    <cfRule type="cellIs" dxfId="776" priority="859" operator="lessThan">
      <formula>0</formula>
    </cfRule>
    <cfRule type="cellIs" dxfId="775" priority="858" operator="equal">
      <formula>0</formula>
    </cfRule>
  </conditionalFormatting>
  <conditionalFormatting sqref="NA18">
    <cfRule type="colorScale" priority="8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G10:NG12">
    <cfRule type="cellIs" dxfId="774" priority="840" operator="equal">
      <formula>0</formula>
    </cfRule>
    <cfRule type="cellIs" dxfId="773" priority="841" operator="lessThan">
      <formula>0</formula>
    </cfRule>
  </conditionalFormatting>
  <conditionalFormatting sqref="NG16">
    <cfRule type="cellIs" dxfId="772" priority="843" operator="lessThan">
      <formula>0</formula>
    </cfRule>
    <cfRule type="cellIs" dxfId="771" priority="842" operator="equal">
      <formula>0</formula>
    </cfRule>
  </conditionalFormatting>
  <conditionalFormatting sqref="NI10:NI12">
    <cfRule type="cellIs" dxfId="770" priority="844" operator="equal">
      <formula>0</formula>
    </cfRule>
    <cfRule type="cellIs" dxfId="769" priority="846" operator="greaterThan">
      <formula>0</formula>
    </cfRule>
    <cfRule type="cellIs" dxfId="768" priority="845" operator="lessThan">
      <formula>0</formula>
    </cfRule>
  </conditionalFormatting>
  <conditionalFormatting sqref="NI16">
    <cfRule type="cellIs" dxfId="767" priority="848" operator="lessThan">
      <formula>0</formula>
    </cfRule>
    <cfRule type="cellIs" dxfId="766" priority="849" operator="greaterThan">
      <formula>0</formula>
    </cfRule>
    <cfRule type="cellIs" dxfId="765" priority="847" operator="equal">
      <formula>0</formula>
    </cfRule>
  </conditionalFormatting>
  <conditionalFormatting sqref="NK18">
    <cfRule type="colorScale" priority="82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NQ10:NQ12">
    <cfRule type="cellIs" dxfId="764" priority="830" operator="lessThan">
      <formula>0</formula>
    </cfRule>
    <cfRule type="cellIs" dxfId="763" priority="829" operator="equal">
      <formula>0</formula>
    </cfRule>
  </conditionalFormatting>
  <conditionalFormatting sqref="NQ16">
    <cfRule type="cellIs" dxfId="762" priority="832" operator="lessThan">
      <formula>0</formula>
    </cfRule>
    <cfRule type="cellIs" dxfId="761" priority="831" operator="equal">
      <formula>0</formula>
    </cfRule>
  </conditionalFormatting>
  <conditionalFormatting sqref="NS10:NS12">
    <cfRule type="cellIs" dxfId="760" priority="834" operator="lessThan">
      <formula>0</formula>
    </cfRule>
    <cfRule type="cellIs" dxfId="759" priority="833" operator="equal">
      <formula>0</formula>
    </cfRule>
    <cfRule type="cellIs" dxfId="758" priority="835" operator="greaterThan">
      <formula>0</formula>
    </cfRule>
  </conditionalFormatting>
  <conditionalFormatting sqref="NS16">
    <cfRule type="cellIs" dxfId="757" priority="838" operator="greaterThan">
      <formula>0</formula>
    </cfRule>
    <cfRule type="cellIs" dxfId="756" priority="837" operator="lessThan">
      <formula>0</formula>
    </cfRule>
    <cfRule type="cellIs" dxfId="755" priority="836" operator="equal">
      <formula>0</formula>
    </cfRule>
  </conditionalFormatting>
  <conditionalFormatting sqref="NU18">
    <cfRule type="colorScale" priority="81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A10:OA12">
    <cfRule type="cellIs" dxfId="754" priority="819" operator="lessThan">
      <formula>0</formula>
    </cfRule>
    <cfRule type="cellIs" dxfId="753" priority="818" operator="equal">
      <formula>0</formula>
    </cfRule>
  </conditionalFormatting>
  <conditionalFormatting sqref="OA16">
    <cfRule type="cellIs" dxfId="752" priority="821" operator="lessThan">
      <formula>0</formula>
    </cfRule>
    <cfRule type="cellIs" dxfId="751" priority="820" operator="equal">
      <formula>0</formula>
    </cfRule>
  </conditionalFormatting>
  <conditionalFormatting sqref="OC10:OC12">
    <cfRule type="cellIs" dxfId="750" priority="824" operator="greaterThan">
      <formula>0</formula>
    </cfRule>
    <cfRule type="cellIs" dxfId="749" priority="823" operator="lessThan">
      <formula>0</formula>
    </cfRule>
    <cfRule type="cellIs" dxfId="748" priority="822" operator="equal">
      <formula>0</formula>
    </cfRule>
  </conditionalFormatting>
  <conditionalFormatting sqref="OC16">
    <cfRule type="cellIs" dxfId="747" priority="826" operator="lessThan">
      <formula>0</formula>
    </cfRule>
    <cfRule type="cellIs" dxfId="746" priority="827" operator="greaterThan">
      <formula>0</formula>
    </cfRule>
    <cfRule type="cellIs" dxfId="745" priority="825" operator="equal">
      <formula>0</formula>
    </cfRule>
  </conditionalFormatting>
  <conditionalFormatting sqref="OE18">
    <cfRule type="colorScale" priority="80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K10:OK12">
    <cfRule type="cellIs" dxfId="744" priority="808" operator="lessThan">
      <formula>0</formula>
    </cfRule>
    <cfRule type="cellIs" dxfId="743" priority="807" operator="equal">
      <formula>0</formula>
    </cfRule>
  </conditionalFormatting>
  <conditionalFormatting sqref="OK16">
    <cfRule type="cellIs" dxfId="742" priority="810" operator="lessThan">
      <formula>0</formula>
    </cfRule>
    <cfRule type="cellIs" dxfId="741" priority="809" operator="equal">
      <formula>0</formula>
    </cfRule>
  </conditionalFormatting>
  <conditionalFormatting sqref="OM10:OM12">
    <cfRule type="cellIs" dxfId="740" priority="811" operator="equal">
      <formula>0</formula>
    </cfRule>
    <cfRule type="cellIs" dxfId="739" priority="813" operator="greaterThan">
      <formula>0</formula>
    </cfRule>
    <cfRule type="cellIs" dxfId="738" priority="812" operator="lessThan">
      <formula>0</formula>
    </cfRule>
  </conditionalFormatting>
  <conditionalFormatting sqref="OM16">
    <cfRule type="cellIs" dxfId="737" priority="816" operator="greaterThan">
      <formula>0</formula>
    </cfRule>
    <cfRule type="cellIs" dxfId="736" priority="814" operator="equal">
      <formula>0</formula>
    </cfRule>
    <cfRule type="cellIs" dxfId="735" priority="815" operator="lessThan">
      <formula>0</formula>
    </cfRule>
  </conditionalFormatting>
  <conditionalFormatting sqref="OO18">
    <cfRule type="colorScale" priority="79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OU10:OU12">
    <cfRule type="cellIs" dxfId="734" priority="797" operator="lessThan">
      <formula>0</formula>
    </cfRule>
    <cfRule type="cellIs" dxfId="733" priority="796" operator="equal">
      <formula>0</formula>
    </cfRule>
  </conditionalFormatting>
  <conditionalFormatting sqref="OU16">
    <cfRule type="cellIs" dxfId="732" priority="799" operator="lessThan">
      <formula>0</formula>
    </cfRule>
    <cfRule type="cellIs" dxfId="731" priority="798" operator="equal">
      <formula>0</formula>
    </cfRule>
  </conditionalFormatting>
  <conditionalFormatting sqref="OW10:OW12">
    <cfRule type="cellIs" dxfId="730" priority="802" operator="greaterThan">
      <formula>0</formula>
    </cfRule>
    <cfRule type="cellIs" dxfId="729" priority="801" operator="lessThan">
      <formula>0</formula>
    </cfRule>
    <cfRule type="cellIs" dxfId="728" priority="800" operator="equal">
      <formula>0</formula>
    </cfRule>
  </conditionalFormatting>
  <conditionalFormatting sqref="OW16">
    <cfRule type="cellIs" dxfId="727" priority="805" operator="greaterThan">
      <formula>0</formula>
    </cfRule>
    <cfRule type="cellIs" dxfId="726" priority="804" operator="lessThan">
      <formula>0</formula>
    </cfRule>
    <cfRule type="cellIs" dxfId="725" priority="803" operator="equal">
      <formula>0</formula>
    </cfRule>
  </conditionalFormatting>
  <conditionalFormatting sqref="OY18">
    <cfRule type="colorScale" priority="78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E10:PE12">
    <cfRule type="cellIs" dxfId="724" priority="786" operator="lessThan">
      <formula>0</formula>
    </cfRule>
    <cfRule type="cellIs" dxfId="723" priority="785" operator="equal">
      <formula>0</formula>
    </cfRule>
  </conditionalFormatting>
  <conditionalFormatting sqref="PE16">
    <cfRule type="cellIs" dxfId="722" priority="788" operator="lessThan">
      <formula>0</formula>
    </cfRule>
    <cfRule type="cellIs" dxfId="721" priority="787" operator="equal">
      <formula>0</formula>
    </cfRule>
  </conditionalFormatting>
  <conditionalFormatting sqref="PG10:PG12">
    <cfRule type="cellIs" dxfId="720" priority="791" operator="greaterThan">
      <formula>0</formula>
    </cfRule>
    <cfRule type="cellIs" dxfId="719" priority="790" operator="lessThan">
      <formula>0</formula>
    </cfRule>
    <cfRule type="cellIs" dxfId="718" priority="789" operator="equal">
      <formula>0</formula>
    </cfRule>
  </conditionalFormatting>
  <conditionalFormatting sqref="PG16">
    <cfRule type="cellIs" dxfId="717" priority="792" operator="equal">
      <formula>0</formula>
    </cfRule>
    <cfRule type="cellIs" dxfId="716" priority="794" operator="greaterThan">
      <formula>0</formula>
    </cfRule>
    <cfRule type="cellIs" dxfId="715" priority="793" operator="lessThan">
      <formula>0</formula>
    </cfRule>
  </conditionalFormatting>
  <conditionalFormatting sqref="PI18">
    <cfRule type="colorScale" priority="77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O10:PO12">
    <cfRule type="cellIs" dxfId="714" priority="775" operator="lessThan">
      <formula>0</formula>
    </cfRule>
    <cfRule type="cellIs" dxfId="713" priority="774" operator="equal">
      <formula>0</formula>
    </cfRule>
  </conditionalFormatting>
  <conditionalFormatting sqref="PO16">
    <cfRule type="cellIs" dxfId="712" priority="777" operator="lessThan">
      <formula>0</formula>
    </cfRule>
    <cfRule type="cellIs" dxfId="711" priority="776" operator="equal">
      <formula>0</formula>
    </cfRule>
  </conditionalFormatting>
  <conditionalFormatting sqref="PQ10:PQ12">
    <cfRule type="cellIs" dxfId="710" priority="780" operator="greaterThan">
      <formula>0</formula>
    </cfRule>
    <cfRule type="cellIs" dxfId="709" priority="779" operator="lessThan">
      <formula>0</formula>
    </cfRule>
    <cfRule type="cellIs" dxfId="708" priority="778" operator="equal">
      <formula>0</formula>
    </cfRule>
  </conditionalFormatting>
  <conditionalFormatting sqref="PQ16">
    <cfRule type="cellIs" dxfId="707" priority="783" operator="greaterThan">
      <formula>0</formula>
    </cfRule>
    <cfRule type="cellIs" dxfId="706" priority="782" operator="lessThan">
      <formula>0</formula>
    </cfRule>
    <cfRule type="cellIs" dxfId="705" priority="781" operator="equal">
      <formula>0</formula>
    </cfRule>
  </conditionalFormatting>
  <conditionalFormatting sqref="PS18">
    <cfRule type="colorScale" priority="76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PY10:PY12">
    <cfRule type="cellIs" dxfId="704" priority="763" operator="equal">
      <formula>0</formula>
    </cfRule>
    <cfRule type="cellIs" dxfId="703" priority="764" operator="lessThan">
      <formula>0</formula>
    </cfRule>
  </conditionalFormatting>
  <conditionalFormatting sqref="PY16">
    <cfRule type="cellIs" dxfId="702" priority="766" operator="lessThan">
      <formula>0</formula>
    </cfRule>
    <cfRule type="cellIs" dxfId="701" priority="765" operator="equal">
      <formula>0</formula>
    </cfRule>
  </conditionalFormatting>
  <conditionalFormatting sqref="QA10:QA12">
    <cfRule type="cellIs" dxfId="700" priority="768" operator="lessThan">
      <formula>0</formula>
    </cfRule>
    <cfRule type="cellIs" dxfId="699" priority="767" operator="equal">
      <formula>0</formula>
    </cfRule>
    <cfRule type="cellIs" dxfId="698" priority="769" operator="greaterThan">
      <formula>0</formula>
    </cfRule>
  </conditionalFormatting>
  <conditionalFormatting sqref="QA16">
    <cfRule type="cellIs" dxfId="697" priority="770" operator="equal">
      <formula>0</formula>
    </cfRule>
    <cfRule type="cellIs" dxfId="696" priority="772" operator="greaterThan">
      <formula>0</formula>
    </cfRule>
    <cfRule type="cellIs" dxfId="695" priority="771" operator="lessThan">
      <formula>0</formula>
    </cfRule>
  </conditionalFormatting>
  <conditionalFormatting sqref="QC18">
    <cfRule type="colorScale" priority="7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I10:QI12">
    <cfRule type="cellIs" dxfId="694" priority="753" operator="lessThan">
      <formula>0</formula>
    </cfRule>
    <cfRule type="cellIs" dxfId="693" priority="752" operator="equal">
      <formula>0</formula>
    </cfRule>
  </conditionalFormatting>
  <conditionalFormatting sqref="QI16">
    <cfRule type="cellIs" dxfId="692" priority="755" operator="lessThan">
      <formula>0</formula>
    </cfRule>
    <cfRule type="cellIs" dxfId="691" priority="754" operator="equal">
      <formula>0</formula>
    </cfRule>
  </conditionalFormatting>
  <conditionalFormatting sqref="QK10:QK12">
    <cfRule type="cellIs" dxfId="690" priority="756" operator="equal">
      <formula>0</formula>
    </cfRule>
    <cfRule type="cellIs" dxfId="689" priority="758" operator="greaterThan">
      <formula>0</formula>
    </cfRule>
    <cfRule type="cellIs" dxfId="688" priority="757" operator="lessThan">
      <formula>0</formula>
    </cfRule>
  </conditionalFormatting>
  <conditionalFormatting sqref="QK16">
    <cfRule type="cellIs" dxfId="687" priority="761" operator="greaterThan">
      <formula>0</formula>
    </cfRule>
    <cfRule type="cellIs" dxfId="686" priority="760" operator="lessThan">
      <formula>0</formula>
    </cfRule>
    <cfRule type="cellIs" dxfId="685" priority="759" operator="equal">
      <formula>0</formula>
    </cfRule>
  </conditionalFormatting>
  <conditionalFormatting sqref="QM18">
    <cfRule type="colorScale" priority="74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QS10:QS12">
    <cfRule type="cellIs" dxfId="684" priority="742" operator="lessThan">
      <formula>0</formula>
    </cfRule>
    <cfRule type="cellIs" dxfId="683" priority="741" operator="equal">
      <formula>0</formula>
    </cfRule>
  </conditionalFormatting>
  <conditionalFormatting sqref="QS16">
    <cfRule type="cellIs" dxfId="682" priority="744" operator="lessThan">
      <formula>0</formula>
    </cfRule>
    <cfRule type="cellIs" dxfId="681" priority="743" operator="equal">
      <formula>0</formula>
    </cfRule>
  </conditionalFormatting>
  <conditionalFormatting sqref="QU10:QU12">
    <cfRule type="cellIs" dxfId="680" priority="746" operator="lessThan">
      <formula>0</formula>
    </cfRule>
    <cfRule type="cellIs" dxfId="679" priority="747" operator="greaterThan">
      <formula>0</formula>
    </cfRule>
    <cfRule type="cellIs" dxfId="678" priority="745" operator="equal">
      <formula>0</formula>
    </cfRule>
  </conditionalFormatting>
  <conditionalFormatting sqref="QU16">
    <cfRule type="cellIs" dxfId="677" priority="750" operator="greaterThan">
      <formula>0</formula>
    </cfRule>
    <cfRule type="cellIs" dxfId="676" priority="749" operator="lessThan">
      <formula>0</formula>
    </cfRule>
    <cfRule type="cellIs" dxfId="675" priority="748" operator="equal">
      <formula>0</formula>
    </cfRule>
  </conditionalFormatting>
  <conditionalFormatting sqref="QW18">
    <cfRule type="colorScale" priority="72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C10:RC12">
    <cfRule type="cellIs" dxfId="674" priority="731" operator="lessThan">
      <formula>0</formula>
    </cfRule>
    <cfRule type="cellIs" dxfId="673" priority="730" operator="equal">
      <formula>0</formula>
    </cfRule>
  </conditionalFormatting>
  <conditionalFormatting sqref="RC16">
    <cfRule type="cellIs" dxfId="672" priority="733" operator="lessThan">
      <formula>0</formula>
    </cfRule>
    <cfRule type="cellIs" dxfId="671" priority="732" operator="equal">
      <formula>0</formula>
    </cfRule>
  </conditionalFormatting>
  <conditionalFormatting sqref="RE10:RE12">
    <cfRule type="cellIs" dxfId="670" priority="734" operator="equal">
      <formula>0</formula>
    </cfRule>
    <cfRule type="cellIs" dxfId="669" priority="736" operator="greaterThan">
      <formula>0</formula>
    </cfRule>
    <cfRule type="cellIs" dxfId="668" priority="735" operator="lessThan">
      <formula>0</formula>
    </cfRule>
  </conditionalFormatting>
  <conditionalFormatting sqref="RE16">
    <cfRule type="cellIs" dxfId="667" priority="739" operator="greaterThan">
      <formula>0</formula>
    </cfRule>
    <cfRule type="cellIs" dxfId="666" priority="738" operator="lessThan">
      <formula>0</formula>
    </cfRule>
    <cfRule type="cellIs" dxfId="665" priority="737" operator="equal">
      <formula>0</formula>
    </cfRule>
  </conditionalFormatting>
  <conditionalFormatting sqref="RG18">
    <cfRule type="colorScale" priority="71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M10:RM12">
    <cfRule type="cellIs" dxfId="664" priority="720" operator="lessThan">
      <formula>0</formula>
    </cfRule>
    <cfRule type="cellIs" dxfId="663" priority="719" operator="equal">
      <formula>0</formula>
    </cfRule>
  </conditionalFormatting>
  <conditionalFormatting sqref="RM16">
    <cfRule type="cellIs" dxfId="662" priority="722" operator="lessThan">
      <formula>0</formula>
    </cfRule>
    <cfRule type="cellIs" dxfId="661" priority="721" operator="equal">
      <formula>0</formula>
    </cfRule>
  </conditionalFormatting>
  <conditionalFormatting sqref="RO10:RO12">
    <cfRule type="cellIs" dxfId="660" priority="725" operator="greaterThan">
      <formula>0</formula>
    </cfRule>
    <cfRule type="cellIs" dxfId="659" priority="724" operator="lessThan">
      <formula>0</formula>
    </cfRule>
    <cfRule type="cellIs" dxfId="658" priority="723" operator="equal">
      <formula>0</formula>
    </cfRule>
  </conditionalFormatting>
  <conditionalFormatting sqref="RO16">
    <cfRule type="cellIs" dxfId="657" priority="728" operator="greaterThan">
      <formula>0</formula>
    </cfRule>
    <cfRule type="cellIs" dxfId="656" priority="727" operator="lessThan">
      <formula>0</formula>
    </cfRule>
    <cfRule type="cellIs" dxfId="655" priority="726" operator="equal">
      <formula>0</formula>
    </cfRule>
  </conditionalFormatting>
  <conditionalFormatting sqref="RQ18">
    <cfRule type="colorScale" priority="70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RW10:RW12">
    <cfRule type="cellIs" dxfId="654" priority="708" operator="equal">
      <formula>0</formula>
    </cfRule>
    <cfRule type="cellIs" dxfId="653" priority="709" operator="lessThan">
      <formula>0</formula>
    </cfRule>
  </conditionalFormatting>
  <conditionalFormatting sqref="RW16">
    <cfRule type="cellIs" dxfId="652" priority="711" operator="lessThan">
      <formula>0</formula>
    </cfRule>
    <cfRule type="cellIs" dxfId="651" priority="710" operator="equal">
      <formula>0</formula>
    </cfRule>
  </conditionalFormatting>
  <conditionalFormatting sqref="RY10:RY12">
    <cfRule type="cellIs" dxfId="650" priority="712" operator="equal">
      <formula>0</formula>
    </cfRule>
    <cfRule type="cellIs" dxfId="649" priority="714" operator="greaterThan">
      <formula>0</formula>
    </cfRule>
    <cfRule type="cellIs" dxfId="648" priority="713" operator="lessThan">
      <formula>0</formula>
    </cfRule>
  </conditionalFormatting>
  <conditionalFormatting sqref="RY16">
    <cfRule type="cellIs" dxfId="647" priority="715" operator="equal">
      <formula>0</formula>
    </cfRule>
    <cfRule type="cellIs" dxfId="646" priority="716" operator="lessThan">
      <formula>0</formula>
    </cfRule>
    <cfRule type="cellIs" dxfId="645" priority="717" operator="greaterThan">
      <formula>0</formula>
    </cfRule>
  </conditionalFormatting>
  <conditionalFormatting sqref="SA18">
    <cfRule type="colorScale" priority="69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G10:SG12">
    <cfRule type="cellIs" dxfId="644" priority="698" operator="lessThan">
      <formula>0</formula>
    </cfRule>
    <cfRule type="cellIs" dxfId="643" priority="697" operator="equal">
      <formula>0</formula>
    </cfRule>
  </conditionalFormatting>
  <conditionalFormatting sqref="SG16">
    <cfRule type="cellIs" dxfId="642" priority="700" operator="lessThan">
      <formula>0</formula>
    </cfRule>
    <cfRule type="cellIs" dxfId="641" priority="699" operator="equal">
      <formula>0</formula>
    </cfRule>
  </conditionalFormatting>
  <conditionalFormatting sqref="SI10:SI12">
    <cfRule type="cellIs" dxfId="640" priority="703" operator="greaterThan">
      <formula>0</formula>
    </cfRule>
    <cfRule type="cellIs" dxfId="639" priority="702" operator="lessThan">
      <formula>0</formula>
    </cfRule>
    <cfRule type="cellIs" dxfId="638" priority="701" operator="equal">
      <formula>0</formula>
    </cfRule>
  </conditionalFormatting>
  <conditionalFormatting sqref="SI16">
    <cfRule type="cellIs" dxfId="637" priority="706" operator="greaterThan">
      <formula>0</formula>
    </cfRule>
    <cfRule type="cellIs" dxfId="636" priority="705" operator="lessThan">
      <formula>0</formula>
    </cfRule>
    <cfRule type="cellIs" dxfId="635" priority="704" operator="equal">
      <formula>0</formula>
    </cfRule>
  </conditionalFormatting>
  <conditionalFormatting sqref="SK18">
    <cfRule type="colorScale" priority="68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SQ10:SQ12">
    <cfRule type="cellIs" dxfId="634" priority="686" operator="equal">
      <formula>0</formula>
    </cfRule>
    <cfRule type="cellIs" dxfId="633" priority="687" operator="lessThan">
      <formula>0</formula>
    </cfRule>
  </conditionalFormatting>
  <conditionalFormatting sqref="SQ16">
    <cfRule type="cellIs" dxfId="632" priority="689" operator="lessThan">
      <formula>0</formula>
    </cfRule>
    <cfRule type="cellIs" dxfId="631" priority="688" operator="equal">
      <formula>0</formula>
    </cfRule>
  </conditionalFormatting>
  <conditionalFormatting sqref="SS10:SS12">
    <cfRule type="cellIs" dxfId="630" priority="690" operator="equal">
      <formula>0</formula>
    </cfRule>
    <cfRule type="cellIs" dxfId="629" priority="692" operator="greaterThan">
      <formula>0</formula>
    </cfRule>
    <cfRule type="cellIs" dxfId="628" priority="691" operator="lessThan">
      <formula>0</formula>
    </cfRule>
  </conditionalFormatting>
  <conditionalFormatting sqref="SS16">
    <cfRule type="cellIs" dxfId="627" priority="693" operator="equal">
      <formula>0</formula>
    </cfRule>
    <cfRule type="cellIs" dxfId="626" priority="694" operator="lessThan">
      <formula>0</formula>
    </cfRule>
    <cfRule type="cellIs" dxfId="625" priority="695" operator="greaterThan">
      <formula>0</formula>
    </cfRule>
  </conditionalFormatting>
  <conditionalFormatting sqref="SU18">
    <cfRule type="colorScale" priority="67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A10:TA12">
    <cfRule type="cellIs" dxfId="624" priority="676" operator="lessThan">
      <formula>0</formula>
    </cfRule>
    <cfRule type="cellIs" dxfId="623" priority="675" operator="equal">
      <formula>0</formula>
    </cfRule>
  </conditionalFormatting>
  <conditionalFormatting sqref="TA16">
    <cfRule type="cellIs" dxfId="622" priority="678" operator="lessThan">
      <formula>0</formula>
    </cfRule>
    <cfRule type="cellIs" dxfId="621" priority="677" operator="equal">
      <formula>0</formula>
    </cfRule>
  </conditionalFormatting>
  <conditionalFormatting sqref="TC10:TC12">
    <cfRule type="cellIs" dxfId="620" priority="681" operator="greaterThan">
      <formula>0</formula>
    </cfRule>
    <cfRule type="cellIs" dxfId="619" priority="680" operator="lessThan">
      <formula>0</formula>
    </cfRule>
    <cfRule type="cellIs" dxfId="618" priority="679" operator="equal">
      <formula>0</formula>
    </cfRule>
  </conditionalFormatting>
  <conditionalFormatting sqref="TC16">
    <cfRule type="cellIs" dxfId="617" priority="684" operator="greaterThan">
      <formula>0</formula>
    </cfRule>
    <cfRule type="cellIs" dxfId="616" priority="683" operator="lessThan">
      <formula>0</formula>
    </cfRule>
    <cfRule type="cellIs" dxfId="615" priority="682" operator="equal">
      <formula>0</formula>
    </cfRule>
  </conditionalFormatting>
  <conditionalFormatting sqref="TE18">
    <cfRule type="colorScale" priority="66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K10:TK12">
    <cfRule type="cellIs" dxfId="614" priority="664" operator="equal">
      <formula>0</formula>
    </cfRule>
    <cfRule type="cellIs" dxfId="613" priority="665" operator="lessThan">
      <formula>0</formula>
    </cfRule>
  </conditionalFormatting>
  <conditionalFormatting sqref="TK16">
    <cfRule type="cellIs" dxfId="612" priority="667" operator="lessThan">
      <formula>0</formula>
    </cfRule>
    <cfRule type="cellIs" dxfId="611" priority="666" operator="equal">
      <formula>0</formula>
    </cfRule>
  </conditionalFormatting>
  <conditionalFormatting sqref="TM10:TM12">
    <cfRule type="cellIs" dxfId="610" priority="670" operator="greaterThan">
      <formula>0</formula>
    </cfRule>
    <cfRule type="cellIs" dxfId="609" priority="669" operator="lessThan">
      <formula>0</formula>
    </cfRule>
    <cfRule type="cellIs" dxfId="608" priority="668" operator="equal">
      <formula>0</formula>
    </cfRule>
  </conditionalFormatting>
  <conditionalFormatting sqref="TM16">
    <cfRule type="cellIs" dxfId="607" priority="672" operator="lessThan">
      <formula>0</formula>
    </cfRule>
    <cfRule type="cellIs" dxfId="606" priority="673" operator="greaterThan">
      <formula>0</formula>
    </cfRule>
    <cfRule type="cellIs" dxfId="605" priority="671" operator="equal">
      <formula>0</formula>
    </cfRule>
  </conditionalFormatting>
  <conditionalFormatting sqref="TO18">
    <cfRule type="colorScale" priority="65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TU10:TU12">
    <cfRule type="cellIs" dxfId="604" priority="654" operator="lessThan">
      <formula>0</formula>
    </cfRule>
    <cfRule type="cellIs" dxfId="603" priority="653" operator="equal">
      <formula>0</formula>
    </cfRule>
  </conditionalFormatting>
  <conditionalFormatting sqref="TU16">
    <cfRule type="cellIs" dxfId="602" priority="655" operator="equal">
      <formula>0</formula>
    </cfRule>
    <cfRule type="cellIs" dxfId="601" priority="656" operator="lessThan">
      <formula>0</formula>
    </cfRule>
  </conditionalFormatting>
  <conditionalFormatting sqref="TW10:TW12">
    <cfRule type="cellIs" dxfId="600" priority="659" operator="greaterThan">
      <formula>0</formula>
    </cfRule>
    <cfRule type="cellIs" dxfId="599" priority="658" operator="lessThan">
      <formula>0</formula>
    </cfRule>
    <cfRule type="cellIs" dxfId="598" priority="657" operator="equal">
      <formula>0</formula>
    </cfRule>
  </conditionalFormatting>
  <conditionalFormatting sqref="TW16">
    <cfRule type="cellIs" dxfId="597" priority="662" operator="greaterThan">
      <formula>0</formula>
    </cfRule>
    <cfRule type="cellIs" dxfId="596" priority="661" operator="lessThan">
      <formula>0</formula>
    </cfRule>
    <cfRule type="cellIs" dxfId="595" priority="660" operator="equal">
      <formula>0</formula>
    </cfRule>
  </conditionalFormatting>
  <conditionalFormatting sqref="TY18">
    <cfRule type="colorScale" priority="64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E10:UE12">
    <cfRule type="cellIs" dxfId="594" priority="643" operator="lessThan">
      <formula>0</formula>
    </cfRule>
    <cfRule type="cellIs" dxfId="593" priority="642" operator="equal">
      <formula>0</formula>
    </cfRule>
  </conditionalFormatting>
  <conditionalFormatting sqref="UE16">
    <cfRule type="cellIs" dxfId="592" priority="645" operator="lessThan">
      <formula>0</formula>
    </cfRule>
    <cfRule type="cellIs" dxfId="591" priority="644" operator="equal">
      <formula>0</formula>
    </cfRule>
  </conditionalFormatting>
  <conditionalFormatting sqref="UG10:UG12">
    <cfRule type="cellIs" dxfId="590" priority="648" operator="greaterThan">
      <formula>0</formula>
    </cfRule>
    <cfRule type="cellIs" dxfId="589" priority="647" operator="lessThan">
      <formula>0</formula>
    </cfRule>
    <cfRule type="cellIs" dxfId="588" priority="646" operator="equal">
      <formula>0</formula>
    </cfRule>
  </conditionalFormatting>
  <conditionalFormatting sqref="UG16">
    <cfRule type="cellIs" dxfId="587" priority="651" operator="greaterThan">
      <formula>0</formula>
    </cfRule>
    <cfRule type="cellIs" dxfId="586" priority="650" operator="lessThan">
      <formula>0</formula>
    </cfRule>
    <cfRule type="cellIs" dxfId="585" priority="649" operator="equal">
      <formula>0</formula>
    </cfRule>
  </conditionalFormatting>
  <conditionalFormatting sqref="UI18">
    <cfRule type="colorScale" priority="63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O10:UO12">
    <cfRule type="cellIs" dxfId="584" priority="632" operator="lessThan">
      <formula>0</formula>
    </cfRule>
    <cfRule type="cellIs" dxfId="583" priority="631" operator="equal">
      <formula>0</formula>
    </cfRule>
  </conditionalFormatting>
  <conditionalFormatting sqref="UO16">
    <cfRule type="cellIs" dxfId="582" priority="633" operator="equal">
      <formula>0</formula>
    </cfRule>
    <cfRule type="cellIs" dxfId="581" priority="634" operator="lessThan">
      <formula>0</formula>
    </cfRule>
  </conditionalFormatting>
  <conditionalFormatting sqref="UQ10:UQ12">
    <cfRule type="cellIs" dxfId="580" priority="636" operator="lessThan">
      <formula>0</formula>
    </cfRule>
    <cfRule type="cellIs" dxfId="579" priority="635" operator="equal">
      <formula>0</formula>
    </cfRule>
    <cfRule type="cellIs" dxfId="578" priority="637" operator="greaterThan">
      <formula>0</formula>
    </cfRule>
  </conditionalFormatting>
  <conditionalFormatting sqref="UQ16">
    <cfRule type="cellIs" dxfId="577" priority="640" operator="greaterThan">
      <formula>0</formula>
    </cfRule>
    <cfRule type="cellIs" dxfId="576" priority="639" operator="lessThan">
      <formula>0</formula>
    </cfRule>
    <cfRule type="cellIs" dxfId="575" priority="638" operator="equal">
      <formula>0</formula>
    </cfRule>
  </conditionalFormatting>
  <conditionalFormatting sqref="US18">
    <cfRule type="colorScale" priority="6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UY10:UY12">
    <cfRule type="cellIs" dxfId="574" priority="621" operator="lessThan">
      <formula>0</formula>
    </cfRule>
    <cfRule type="cellIs" dxfId="573" priority="620" operator="equal">
      <formula>0</formula>
    </cfRule>
  </conditionalFormatting>
  <conditionalFormatting sqref="UY16">
    <cfRule type="cellIs" dxfId="572" priority="623" operator="lessThan">
      <formula>0</formula>
    </cfRule>
    <cfRule type="cellIs" dxfId="571" priority="622" operator="equal">
      <formula>0</formula>
    </cfRule>
  </conditionalFormatting>
  <conditionalFormatting sqref="VA10:VA12">
    <cfRule type="cellIs" dxfId="570" priority="624" operator="equal">
      <formula>0</formula>
    </cfRule>
    <cfRule type="cellIs" dxfId="569" priority="626" operator="greaterThan">
      <formula>0</formula>
    </cfRule>
    <cfRule type="cellIs" dxfId="568" priority="625" operator="lessThan">
      <formula>0</formula>
    </cfRule>
  </conditionalFormatting>
  <conditionalFormatting sqref="VA16">
    <cfRule type="cellIs" dxfId="567" priority="627" operator="equal">
      <formula>0</formula>
    </cfRule>
    <cfRule type="cellIs" dxfId="566" priority="629" operator="greaterThan">
      <formula>0</formula>
    </cfRule>
    <cfRule type="cellIs" dxfId="565" priority="628" operator="lessThan">
      <formula>0</formula>
    </cfRule>
  </conditionalFormatting>
  <conditionalFormatting sqref="VC18">
    <cfRule type="colorScale" priority="60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I10:VI12">
    <cfRule type="cellIs" dxfId="564" priority="609" operator="equal">
      <formula>0</formula>
    </cfRule>
    <cfRule type="cellIs" dxfId="563" priority="610" operator="lessThan">
      <formula>0</formula>
    </cfRule>
  </conditionalFormatting>
  <conditionalFormatting sqref="VI16">
    <cfRule type="cellIs" dxfId="562" priority="612" operator="lessThan">
      <formula>0</formula>
    </cfRule>
    <cfRule type="cellIs" dxfId="561" priority="611" operator="equal">
      <formula>0</formula>
    </cfRule>
  </conditionalFormatting>
  <conditionalFormatting sqref="VK10:VK12">
    <cfRule type="cellIs" dxfId="560" priority="615" operator="greaterThan">
      <formula>0</formula>
    </cfRule>
    <cfRule type="cellIs" dxfId="559" priority="613" operator="equal">
      <formula>0</formula>
    </cfRule>
    <cfRule type="cellIs" dxfId="558" priority="614" operator="lessThan">
      <formula>0</formula>
    </cfRule>
  </conditionalFormatting>
  <conditionalFormatting sqref="VK16">
    <cfRule type="cellIs" dxfId="557" priority="616" operator="equal">
      <formula>0</formula>
    </cfRule>
    <cfRule type="cellIs" dxfId="556" priority="617" operator="lessThan">
      <formula>0</formula>
    </cfRule>
    <cfRule type="cellIs" dxfId="555" priority="618" operator="greaterThan">
      <formula>0</formula>
    </cfRule>
  </conditionalFormatting>
  <conditionalFormatting sqref="VM18">
    <cfRule type="colorScale" priority="59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VS10:VS12">
    <cfRule type="cellIs" dxfId="554" priority="598" operator="equal">
      <formula>0</formula>
    </cfRule>
    <cfRule type="cellIs" dxfId="553" priority="599" operator="lessThan">
      <formula>0</formula>
    </cfRule>
  </conditionalFormatting>
  <conditionalFormatting sqref="VS16">
    <cfRule type="cellIs" dxfId="552" priority="601" operator="lessThan">
      <formula>0</formula>
    </cfRule>
    <cfRule type="cellIs" dxfId="551" priority="600" operator="equal">
      <formula>0</formula>
    </cfRule>
  </conditionalFormatting>
  <conditionalFormatting sqref="VU10:VU12">
    <cfRule type="cellIs" dxfId="550" priority="604" operator="greaterThan">
      <formula>0</formula>
    </cfRule>
    <cfRule type="cellIs" dxfId="549" priority="603" operator="lessThan">
      <formula>0</formula>
    </cfRule>
    <cfRule type="cellIs" dxfId="548" priority="602" operator="equal">
      <formula>0</formula>
    </cfRule>
  </conditionalFormatting>
  <conditionalFormatting sqref="VU16">
    <cfRule type="cellIs" dxfId="547" priority="606" operator="lessThan">
      <formula>0</formula>
    </cfRule>
    <cfRule type="cellIs" dxfId="546" priority="605" operator="equal">
      <formula>0</formula>
    </cfRule>
    <cfRule type="cellIs" dxfId="545" priority="607" operator="greaterThan">
      <formula>0</formula>
    </cfRule>
  </conditionalFormatting>
  <conditionalFormatting sqref="VW18">
    <cfRule type="colorScale" priority="58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C10:WC12">
    <cfRule type="cellIs" dxfId="544" priority="587" operator="equal">
      <formula>0</formula>
    </cfRule>
    <cfRule type="cellIs" dxfId="543" priority="588" operator="lessThan">
      <formula>0</formula>
    </cfRule>
  </conditionalFormatting>
  <conditionalFormatting sqref="WC16">
    <cfRule type="cellIs" dxfId="542" priority="589" operator="equal">
      <formula>0</formula>
    </cfRule>
    <cfRule type="cellIs" dxfId="541" priority="590" operator="lessThan">
      <formula>0</formula>
    </cfRule>
  </conditionalFormatting>
  <conditionalFormatting sqref="WE10:WE12">
    <cfRule type="cellIs" dxfId="540" priority="592" operator="lessThan">
      <formula>0</formula>
    </cfRule>
    <cfRule type="cellIs" dxfId="539" priority="591" operator="equal">
      <formula>0</formula>
    </cfRule>
    <cfRule type="cellIs" dxfId="538" priority="593" operator="greaterThan">
      <formula>0</formula>
    </cfRule>
  </conditionalFormatting>
  <conditionalFormatting sqref="WE16">
    <cfRule type="cellIs" dxfId="537" priority="594" operator="equal">
      <formula>0</formula>
    </cfRule>
    <cfRule type="cellIs" dxfId="536" priority="595" operator="lessThan">
      <formula>0</formula>
    </cfRule>
    <cfRule type="cellIs" dxfId="535" priority="596" operator="greaterThan">
      <formula>0</formula>
    </cfRule>
  </conditionalFormatting>
  <conditionalFormatting sqref="WG18">
    <cfRule type="colorScale" priority="57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M10:WM12">
    <cfRule type="cellIs" dxfId="534" priority="576" operator="equal">
      <formula>0</formula>
    </cfRule>
    <cfRule type="cellIs" dxfId="533" priority="577" operator="lessThan">
      <formula>0</formula>
    </cfRule>
  </conditionalFormatting>
  <conditionalFormatting sqref="WM16">
    <cfRule type="cellIs" dxfId="532" priority="578" operator="equal">
      <formula>0</formula>
    </cfRule>
    <cfRule type="cellIs" dxfId="531" priority="579" operator="lessThan">
      <formula>0</formula>
    </cfRule>
  </conditionalFormatting>
  <conditionalFormatting sqref="WO10:WO12">
    <cfRule type="cellIs" dxfId="530" priority="582" operator="greaterThan">
      <formula>0</formula>
    </cfRule>
    <cfRule type="cellIs" dxfId="529" priority="581" operator="lessThan">
      <formula>0</formula>
    </cfRule>
    <cfRule type="cellIs" dxfId="528" priority="580" operator="equal">
      <formula>0</formula>
    </cfRule>
  </conditionalFormatting>
  <conditionalFormatting sqref="WO16">
    <cfRule type="cellIs" dxfId="527" priority="585" operator="greaterThan">
      <formula>0</formula>
    </cfRule>
    <cfRule type="cellIs" dxfId="526" priority="584" operator="lessThan">
      <formula>0</formula>
    </cfRule>
    <cfRule type="cellIs" dxfId="525" priority="583" operator="equal">
      <formula>0</formula>
    </cfRule>
  </conditionalFormatting>
  <conditionalFormatting sqref="WQ18">
    <cfRule type="colorScale" priority="56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WW10:WW12">
    <cfRule type="cellIs" dxfId="524" priority="566" operator="lessThan">
      <formula>0</formula>
    </cfRule>
    <cfRule type="cellIs" dxfId="523" priority="565" operator="equal">
      <formula>0</formula>
    </cfRule>
  </conditionalFormatting>
  <conditionalFormatting sqref="WW16">
    <cfRule type="cellIs" dxfId="522" priority="568" operator="lessThan">
      <formula>0</formula>
    </cfRule>
    <cfRule type="cellIs" dxfId="521" priority="567" operator="equal">
      <formula>0</formula>
    </cfRule>
  </conditionalFormatting>
  <conditionalFormatting sqref="WY10:WY12">
    <cfRule type="cellIs" dxfId="520" priority="570" operator="lessThan">
      <formula>0</formula>
    </cfRule>
    <cfRule type="cellIs" dxfId="519" priority="569" operator="equal">
      <formula>0</formula>
    </cfRule>
    <cfRule type="cellIs" dxfId="518" priority="571" operator="greaterThan">
      <formula>0</formula>
    </cfRule>
  </conditionalFormatting>
  <conditionalFormatting sqref="WY16">
    <cfRule type="cellIs" dxfId="517" priority="574" operator="greaterThan">
      <formula>0</formula>
    </cfRule>
    <cfRule type="cellIs" dxfId="516" priority="573" operator="lessThan">
      <formula>0</formula>
    </cfRule>
    <cfRule type="cellIs" dxfId="515" priority="572" operator="equal">
      <formula>0</formula>
    </cfRule>
  </conditionalFormatting>
  <conditionalFormatting sqref="XA18">
    <cfRule type="colorScale" priority="55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G10:XG12">
    <cfRule type="cellIs" dxfId="514" priority="555" operator="lessThan">
      <formula>0</formula>
    </cfRule>
    <cfRule type="cellIs" dxfId="513" priority="554" operator="equal">
      <formula>0</formula>
    </cfRule>
  </conditionalFormatting>
  <conditionalFormatting sqref="XG16">
    <cfRule type="cellIs" dxfId="512" priority="557" operator="lessThan">
      <formula>0</formula>
    </cfRule>
    <cfRule type="cellIs" dxfId="511" priority="556" operator="equal">
      <formula>0</formula>
    </cfRule>
  </conditionalFormatting>
  <conditionalFormatting sqref="XI10:XI12">
    <cfRule type="cellIs" dxfId="510" priority="560" operator="greaterThan">
      <formula>0</formula>
    </cfRule>
    <cfRule type="cellIs" dxfId="509" priority="559" operator="lessThan">
      <formula>0</formula>
    </cfRule>
    <cfRule type="cellIs" dxfId="508" priority="558" operator="equal">
      <formula>0</formula>
    </cfRule>
  </conditionalFormatting>
  <conditionalFormatting sqref="XI16">
    <cfRule type="cellIs" dxfId="507" priority="563" operator="greaterThan">
      <formula>0</formula>
    </cfRule>
    <cfRule type="cellIs" dxfId="506" priority="562" operator="lessThan">
      <formula>0</formula>
    </cfRule>
    <cfRule type="cellIs" dxfId="505" priority="561" operator="equal">
      <formula>0</formula>
    </cfRule>
  </conditionalFormatting>
  <conditionalFormatting sqref="XK18">
    <cfRule type="colorScale" priority="54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XQ10:XQ12">
    <cfRule type="cellIs" dxfId="504" priority="544" operator="lessThan">
      <formula>0</formula>
    </cfRule>
    <cfRule type="cellIs" dxfId="503" priority="543" operator="equal">
      <formula>0</formula>
    </cfRule>
  </conditionalFormatting>
  <conditionalFormatting sqref="XQ16">
    <cfRule type="cellIs" dxfId="502" priority="546" operator="lessThan">
      <formula>0</formula>
    </cfRule>
    <cfRule type="cellIs" dxfId="501" priority="545" operator="equal">
      <formula>0</formula>
    </cfRule>
  </conditionalFormatting>
  <conditionalFormatting sqref="XS10:XS12">
    <cfRule type="cellIs" dxfId="500" priority="549" operator="greaterThan">
      <formula>0</formula>
    </cfRule>
    <cfRule type="cellIs" dxfId="499" priority="548" operator="lessThan">
      <formula>0</formula>
    </cfRule>
    <cfRule type="cellIs" dxfId="498" priority="547" operator="equal">
      <formula>0</formula>
    </cfRule>
  </conditionalFormatting>
  <conditionalFormatting sqref="XS16">
    <cfRule type="cellIs" dxfId="497" priority="552" operator="greaterThan">
      <formula>0</formula>
    </cfRule>
    <cfRule type="cellIs" dxfId="496" priority="551" operator="lessThan">
      <formula>0</formula>
    </cfRule>
    <cfRule type="cellIs" dxfId="495" priority="550" operator="equal">
      <formula>0</formula>
    </cfRule>
  </conditionalFormatting>
  <conditionalFormatting sqref="XU18">
    <cfRule type="colorScale" priority="53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A10:YA12">
    <cfRule type="cellIs" dxfId="494" priority="532" operator="equal">
      <formula>0</formula>
    </cfRule>
    <cfRule type="cellIs" dxfId="493" priority="533" operator="lessThan">
      <formula>0</formula>
    </cfRule>
  </conditionalFormatting>
  <conditionalFormatting sqref="YA16">
    <cfRule type="cellIs" dxfId="492" priority="535" operator="lessThan">
      <formula>0</formula>
    </cfRule>
    <cfRule type="cellIs" dxfId="491" priority="534" operator="equal">
      <formula>0</formula>
    </cfRule>
  </conditionalFormatting>
  <conditionalFormatting sqref="YC10:YC12">
    <cfRule type="cellIs" dxfId="490" priority="536" operator="equal">
      <formula>0</formula>
    </cfRule>
    <cfRule type="cellIs" dxfId="489" priority="538" operator="greaterThan">
      <formula>0</formula>
    </cfRule>
    <cfRule type="cellIs" dxfId="488" priority="537" operator="lessThan">
      <formula>0</formula>
    </cfRule>
  </conditionalFormatting>
  <conditionalFormatting sqref="YC16">
    <cfRule type="cellIs" dxfId="487" priority="539" operator="equal">
      <formula>0</formula>
    </cfRule>
    <cfRule type="cellIs" dxfId="486" priority="541" operator="greaterThan">
      <formula>0</formula>
    </cfRule>
    <cfRule type="cellIs" dxfId="485" priority="540" operator="lessThan">
      <formula>0</formula>
    </cfRule>
  </conditionalFormatting>
  <conditionalFormatting sqref="YE18">
    <cfRule type="colorScale" priority="52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K10:YK12">
    <cfRule type="cellIs" dxfId="484" priority="522" operator="lessThan">
      <formula>0</formula>
    </cfRule>
    <cfRule type="cellIs" dxfId="483" priority="521" operator="equal">
      <formula>0</formula>
    </cfRule>
  </conditionalFormatting>
  <conditionalFormatting sqref="YK16">
    <cfRule type="cellIs" dxfId="482" priority="524" operator="lessThan">
      <formula>0</formula>
    </cfRule>
    <cfRule type="cellIs" dxfId="481" priority="523" operator="equal">
      <formula>0</formula>
    </cfRule>
  </conditionalFormatting>
  <conditionalFormatting sqref="YM10:YM12">
    <cfRule type="cellIs" dxfId="480" priority="526" operator="lessThan">
      <formula>0</formula>
    </cfRule>
    <cfRule type="cellIs" dxfId="479" priority="525" operator="equal">
      <formula>0</formula>
    </cfRule>
    <cfRule type="cellIs" dxfId="478" priority="527" operator="greaterThan">
      <formula>0</formula>
    </cfRule>
  </conditionalFormatting>
  <conditionalFormatting sqref="YM16">
    <cfRule type="cellIs" dxfId="477" priority="530" operator="greaterThan">
      <formula>0</formula>
    </cfRule>
    <cfRule type="cellIs" dxfId="476" priority="529" operator="lessThan">
      <formula>0</formula>
    </cfRule>
    <cfRule type="cellIs" dxfId="475" priority="528" operator="equal">
      <formula>0</formula>
    </cfRule>
  </conditionalFormatting>
  <conditionalFormatting sqref="YO18">
    <cfRule type="colorScale" priority="50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YU10:YU12">
    <cfRule type="cellIs" dxfId="474" priority="511" operator="lessThan">
      <formula>0</formula>
    </cfRule>
    <cfRule type="cellIs" dxfId="473" priority="510" operator="equal">
      <formula>0</formula>
    </cfRule>
  </conditionalFormatting>
  <conditionalFormatting sqref="YU16">
    <cfRule type="cellIs" dxfId="472" priority="513" operator="lessThan">
      <formula>0</formula>
    </cfRule>
    <cfRule type="cellIs" dxfId="471" priority="512" operator="equal">
      <formula>0</formula>
    </cfRule>
  </conditionalFormatting>
  <conditionalFormatting sqref="YW10:YW12">
    <cfRule type="cellIs" dxfId="470" priority="516" operator="greaterThan">
      <formula>0</formula>
    </cfRule>
    <cfRule type="cellIs" dxfId="469" priority="515" operator="lessThan">
      <formula>0</formula>
    </cfRule>
    <cfRule type="cellIs" dxfId="468" priority="514" operator="equal">
      <formula>0</formula>
    </cfRule>
  </conditionalFormatting>
  <conditionalFormatting sqref="YW16">
    <cfRule type="cellIs" dxfId="467" priority="518" operator="lessThan">
      <formula>0</formula>
    </cfRule>
    <cfRule type="cellIs" dxfId="466" priority="519" operator="greaterThan">
      <formula>0</formula>
    </cfRule>
    <cfRule type="cellIs" dxfId="465" priority="517" operator="equal">
      <formula>0</formula>
    </cfRule>
  </conditionalFormatting>
  <conditionalFormatting sqref="YY18">
    <cfRule type="colorScale" priority="49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E10:ZE12">
    <cfRule type="cellIs" dxfId="464" priority="500" operator="lessThan">
      <formula>0</formula>
    </cfRule>
    <cfRule type="cellIs" dxfId="463" priority="499" operator="equal">
      <formula>0</formula>
    </cfRule>
  </conditionalFormatting>
  <conditionalFormatting sqref="ZE16">
    <cfRule type="cellIs" dxfId="462" priority="502" operator="lessThan">
      <formula>0</formula>
    </cfRule>
    <cfRule type="cellIs" dxfId="461" priority="501" operator="equal">
      <formula>0</formula>
    </cfRule>
  </conditionalFormatting>
  <conditionalFormatting sqref="ZG10:ZG12">
    <cfRule type="cellIs" dxfId="460" priority="503" operator="equal">
      <formula>0</formula>
    </cfRule>
    <cfRule type="cellIs" dxfId="459" priority="505" operator="greaterThan">
      <formula>0</formula>
    </cfRule>
    <cfRule type="cellIs" dxfId="458" priority="504" operator="lessThan">
      <formula>0</formula>
    </cfRule>
  </conditionalFormatting>
  <conditionalFormatting sqref="ZG16">
    <cfRule type="cellIs" dxfId="457" priority="508" operator="greaterThan">
      <formula>0</formula>
    </cfRule>
    <cfRule type="cellIs" dxfId="456" priority="506" operator="equal">
      <formula>0</formula>
    </cfRule>
    <cfRule type="cellIs" dxfId="455" priority="507" operator="lessThan">
      <formula>0</formula>
    </cfRule>
  </conditionalFormatting>
  <conditionalFormatting sqref="ZI18">
    <cfRule type="colorScale" priority="48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O10:ZO12">
    <cfRule type="cellIs" dxfId="454" priority="489" operator="lessThan">
      <formula>0</formula>
    </cfRule>
    <cfRule type="cellIs" dxfId="453" priority="488" operator="equal">
      <formula>0</formula>
    </cfRule>
  </conditionalFormatting>
  <conditionalFormatting sqref="ZO16">
    <cfRule type="cellIs" dxfId="452" priority="491" operator="lessThan">
      <formula>0</formula>
    </cfRule>
    <cfRule type="cellIs" dxfId="451" priority="490" operator="equal">
      <formula>0</formula>
    </cfRule>
  </conditionalFormatting>
  <conditionalFormatting sqref="ZQ10:ZQ12">
    <cfRule type="cellIs" dxfId="450" priority="494" operator="greaterThan">
      <formula>0</formula>
    </cfRule>
    <cfRule type="cellIs" dxfId="449" priority="493" operator="lessThan">
      <formula>0</formula>
    </cfRule>
    <cfRule type="cellIs" dxfId="448" priority="492" operator="equal">
      <formula>0</formula>
    </cfRule>
  </conditionalFormatting>
  <conditionalFormatting sqref="ZQ16">
    <cfRule type="cellIs" dxfId="447" priority="497" operator="greaterThan">
      <formula>0</formula>
    </cfRule>
    <cfRule type="cellIs" dxfId="446" priority="496" operator="lessThan">
      <formula>0</formula>
    </cfRule>
    <cfRule type="cellIs" dxfId="445" priority="495" operator="equal">
      <formula>0</formula>
    </cfRule>
  </conditionalFormatting>
  <conditionalFormatting sqref="ZS18">
    <cfRule type="colorScale" priority="47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ZY10:ZY12">
    <cfRule type="cellIs" dxfId="444" priority="478" operator="lessThan">
      <formula>0</formula>
    </cfRule>
    <cfRule type="cellIs" dxfId="443" priority="477" operator="equal">
      <formula>0</formula>
    </cfRule>
  </conditionalFormatting>
  <conditionalFormatting sqref="ZY16">
    <cfRule type="cellIs" dxfId="442" priority="480" operator="lessThan">
      <formula>0</formula>
    </cfRule>
    <cfRule type="cellIs" dxfId="441" priority="479" operator="equal">
      <formula>0</formula>
    </cfRule>
  </conditionalFormatting>
  <conditionalFormatting sqref="AAA10:AAA12">
    <cfRule type="cellIs" dxfId="440" priority="483" operator="greaterThan">
      <formula>0</formula>
    </cfRule>
    <cfRule type="cellIs" dxfId="439" priority="482" operator="lessThan">
      <formula>0</formula>
    </cfRule>
    <cfRule type="cellIs" dxfId="438" priority="481" operator="equal">
      <formula>0</formula>
    </cfRule>
  </conditionalFormatting>
  <conditionalFormatting sqref="AAA16">
    <cfRule type="cellIs" dxfId="437" priority="484" operator="equal">
      <formula>0</formula>
    </cfRule>
    <cfRule type="cellIs" dxfId="436" priority="486" operator="greaterThan">
      <formula>0</formula>
    </cfRule>
    <cfRule type="cellIs" dxfId="435" priority="485" operator="lessThan">
      <formula>0</formula>
    </cfRule>
  </conditionalFormatting>
  <conditionalFormatting sqref="AAC18">
    <cfRule type="colorScale" priority="46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I10:AAI12">
    <cfRule type="cellIs" dxfId="434" priority="467" operator="lessThan">
      <formula>0</formula>
    </cfRule>
    <cfRule type="cellIs" dxfId="433" priority="466" operator="equal">
      <formula>0</formula>
    </cfRule>
  </conditionalFormatting>
  <conditionalFormatting sqref="AAI16">
    <cfRule type="cellIs" dxfId="432" priority="469" operator="lessThan">
      <formula>0</formula>
    </cfRule>
    <cfRule type="cellIs" dxfId="431" priority="468" operator="equal">
      <formula>0</formula>
    </cfRule>
  </conditionalFormatting>
  <conditionalFormatting sqref="AAK10:AAK12">
    <cfRule type="cellIs" dxfId="430" priority="472" operator="greaterThan">
      <formula>0</formula>
    </cfRule>
    <cfRule type="cellIs" dxfId="429" priority="471" operator="lessThan">
      <formula>0</formula>
    </cfRule>
    <cfRule type="cellIs" dxfId="428" priority="470" operator="equal">
      <formula>0</formula>
    </cfRule>
  </conditionalFormatting>
  <conditionalFormatting sqref="AAK16">
    <cfRule type="cellIs" dxfId="427" priority="475" operator="greaterThan">
      <formula>0</formula>
    </cfRule>
    <cfRule type="cellIs" dxfId="426" priority="474" operator="lessThan">
      <formula>0</formula>
    </cfRule>
    <cfRule type="cellIs" dxfId="425" priority="473" operator="equal">
      <formula>0</formula>
    </cfRule>
  </conditionalFormatting>
  <conditionalFormatting sqref="AAM18">
    <cfRule type="colorScale" priority="45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AS10:AAS12">
    <cfRule type="cellIs" dxfId="424" priority="456" operator="lessThan">
      <formula>0</formula>
    </cfRule>
    <cfRule type="cellIs" dxfId="423" priority="455" operator="equal">
      <formula>0</formula>
    </cfRule>
  </conditionalFormatting>
  <conditionalFormatting sqref="AAS16">
    <cfRule type="cellIs" dxfId="422" priority="458" operator="lessThan">
      <formula>0</formula>
    </cfRule>
    <cfRule type="cellIs" dxfId="421" priority="457" operator="equal">
      <formula>0</formula>
    </cfRule>
  </conditionalFormatting>
  <conditionalFormatting sqref="AAU10:AAU12">
    <cfRule type="cellIs" dxfId="420" priority="460" operator="lessThan">
      <formula>0</formula>
    </cfRule>
    <cfRule type="cellIs" dxfId="419" priority="461" operator="greaterThan">
      <formula>0</formula>
    </cfRule>
    <cfRule type="cellIs" dxfId="418" priority="459" operator="equal">
      <formula>0</formula>
    </cfRule>
  </conditionalFormatting>
  <conditionalFormatting sqref="AAU16">
    <cfRule type="cellIs" dxfId="417" priority="463" operator="lessThan">
      <formula>0</formula>
    </cfRule>
    <cfRule type="cellIs" dxfId="416" priority="462" operator="equal">
      <formula>0</formula>
    </cfRule>
    <cfRule type="cellIs" dxfId="415" priority="464" operator="greaterThan">
      <formula>0</formula>
    </cfRule>
  </conditionalFormatting>
  <conditionalFormatting sqref="AAW18">
    <cfRule type="colorScale" priority="44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C10:ABC12">
    <cfRule type="cellIs" dxfId="414" priority="445" operator="lessThan">
      <formula>0</formula>
    </cfRule>
    <cfRule type="cellIs" dxfId="413" priority="444" operator="equal">
      <formula>0</formula>
    </cfRule>
  </conditionalFormatting>
  <conditionalFormatting sqref="ABC16">
    <cfRule type="cellIs" dxfId="412" priority="447" operator="lessThan">
      <formula>0</formula>
    </cfRule>
    <cfRule type="cellIs" dxfId="411" priority="446" operator="equal">
      <formula>0</formula>
    </cfRule>
  </conditionalFormatting>
  <conditionalFormatting sqref="ABE10:ABE12">
    <cfRule type="cellIs" dxfId="410" priority="448" operator="equal">
      <formula>0</formula>
    </cfRule>
    <cfRule type="cellIs" dxfId="409" priority="450" operator="greaterThan">
      <formula>0</formula>
    </cfRule>
    <cfRule type="cellIs" dxfId="408" priority="449" operator="lessThan">
      <formula>0</formula>
    </cfRule>
  </conditionalFormatting>
  <conditionalFormatting sqref="ABE16">
    <cfRule type="cellIs" dxfId="407" priority="453" operator="greaterThan">
      <formula>0</formula>
    </cfRule>
    <cfRule type="cellIs" dxfId="406" priority="452" operator="lessThan">
      <formula>0</formula>
    </cfRule>
    <cfRule type="cellIs" dxfId="405" priority="451" operator="equal">
      <formula>0</formula>
    </cfRule>
  </conditionalFormatting>
  <conditionalFormatting sqref="ABG18">
    <cfRule type="colorScale" priority="43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M10:ABM12">
    <cfRule type="cellIs" dxfId="404" priority="433" operator="lessThan">
      <formula>0</formula>
    </cfRule>
    <cfRule type="cellIs" dxfId="403" priority="432" operator="equal">
      <formula>0</formula>
    </cfRule>
  </conditionalFormatting>
  <conditionalFormatting sqref="ABM16">
    <cfRule type="cellIs" dxfId="402" priority="436" operator="lessThan">
      <formula>0</formula>
    </cfRule>
    <cfRule type="cellIs" dxfId="401" priority="435" operator="equal">
      <formula>0</formula>
    </cfRule>
  </conditionalFormatting>
  <conditionalFormatting sqref="ABO10:ABO12">
    <cfRule type="cellIs" dxfId="400" priority="438" operator="lessThan">
      <formula>0</formula>
    </cfRule>
    <cfRule type="cellIs" dxfId="399" priority="439" operator="greaterThan">
      <formula>0</formula>
    </cfRule>
    <cfRule type="cellIs" dxfId="398" priority="437" operator="equal">
      <formula>0</formula>
    </cfRule>
  </conditionalFormatting>
  <conditionalFormatting sqref="ABO16">
    <cfRule type="cellIs" dxfId="397" priority="442" operator="greaterThan">
      <formula>0</formula>
    </cfRule>
    <cfRule type="cellIs" dxfId="396" priority="441" operator="lessThan">
      <formula>0</formula>
    </cfRule>
    <cfRule type="cellIs" dxfId="395" priority="440" operator="equal">
      <formula>0</formula>
    </cfRule>
  </conditionalFormatting>
  <conditionalFormatting sqref="ABQ18">
    <cfRule type="colorScale" priority="42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BW10:ABW12">
    <cfRule type="cellIs" dxfId="394" priority="422" operator="equal">
      <formula>0</formula>
    </cfRule>
    <cfRule type="cellIs" dxfId="393" priority="423" operator="lessThan">
      <formula>0</formula>
    </cfRule>
  </conditionalFormatting>
  <conditionalFormatting sqref="ABW16">
    <cfRule type="cellIs" dxfId="392" priority="425" operator="lessThan">
      <formula>0</formula>
    </cfRule>
    <cfRule type="cellIs" dxfId="391" priority="424" operator="equal">
      <formula>0</formula>
    </cfRule>
  </conditionalFormatting>
  <conditionalFormatting sqref="ABY10:ABY12">
    <cfRule type="cellIs" dxfId="390" priority="426" operator="equal">
      <formula>0</formula>
    </cfRule>
    <cfRule type="cellIs" dxfId="389" priority="428" operator="greaterThan">
      <formula>0</formula>
    </cfRule>
    <cfRule type="cellIs" dxfId="388" priority="427" operator="lessThan">
      <formula>0</formula>
    </cfRule>
  </conditionalFormatting>
  <conditionalFormatting sqref="ABY16">
    <cfRule type="cellIs" dxfId="387" priority="429" operator="equal">
      <formula>0</formula>
    </cfRule>
    <cfRule type="cellIs" dxfId="386" priority="430" operator="lessThan">
      <formula>0</formula>
    </cfRule>
    <cfRule type="cellIs" dxfId="385" priority="431" operator="greaterThan">
      <formula>0</formula>
    </cfRule>
  </conditionalFormatting>
  <conditionalFormatting sqref="ACA18">
    <cfRule type="colorScale" priority="41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G10:ACG12">
    <cfRule type="cellIs" dxfId="384" priority="412" operator="lessThan">
      <formula>0</formula>
    </cfRule>
    <cfRule type="cellIs" dxfId="383" priority="411" operator="equal">
      <formula>0</formula>
    </cfRule>
  </conditionalFormatting>
  <conditionalFormatting sqref="ACG16">
    <cfRule type="cellIs" dxfId="382" priority="414" operator="lessThan">
      <formula>0</formula>
    </cfRule>
    <cfRule type="cellIs" dxfId="381" priority="413" operator="equal">
      <formula>0</formula>
    </cfRule>
  </conditionalFormatting>
  <conditionalFormatting sqref="ACI10:ACI12">
    <cfRule type="cellIs" dxfId="380" priority="417" operator="greaterThan">
      <formula>0</formula>
    </cfRule>
    <cfRule type="cellIs" dxfId="379" priority="416" operator="lessThan">
      <formula>0</formula>
    </cfRule>
    <cfRule type="cellIs" dxfId="378" priority="415" operator="equal">
      <formula>0</formula>
    </cfRule>
  </conditionalFormatting>
  <conditionalFormatting sqref="ACI16">
    <cfRule type="cellIs" dxfId="377" priority="420" operator="greaterThan">
      <formula>0</formula>
    </cfRule>
    <cfRule type="cellIs" dxfId="376" priority="419" operator="lessThan">
      <formula>0</formula>
    </cfRule>
    <cfRule type="cellIs" dxfId="375" priority="418" operator="equal">
      <formula>0</formula>
    </cfRule>
  </conditionalFormatting>
  <conditionalFormatting sqref="ACK18">
    <cfRule type="colorScale" priority="3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CQ10:ACQ12">
    <cfRule type="cellIs" dxfId="374" priority="401" operator="lessThan">
      <formula>0</formula>
    </cfRule>
    <cfRule type="cellIs" dxfId="373" priority="400" operator="equal">
      <formula>0</formula>
    </cfRule>
  </conditionalFormatting>
  <conditionalFormatting sqref="ACQ16">
    <cfRule type="cellIs" dxfId="372" priority="403" operator="lessThan">
      <formula>0</formula>
    </cfRule>
    <cfRule type="cellIs" dxfId="371" priority="402" operator="equal">
      <formula>0</formula>
    </cfRule>
  </conditionalFormatting>
  <conditionalFormatting sqref="ACS10:ACS12">
    <cfRule type="cellIs" dxfId="370" priority="405" operator="lessThan">
      <formula>0</formula>
    </cfRule>
    <cfRule type="cellIs" dxfId="369" priority="404" operator="equal">
      <formula>0</formula>
    </cfRule>
    <cfRule type="cellIs" dxfId="368" priority="406" operator="greaterThan">
      <formula>0</formula>
    </cfRule>
  </conditionalFormatting>
  <conditionalFormatting sqref="ACS16">
    <cfRule type="cellIs" dxfId="367" priority="409" operator="greaterThan">
      <formula>0</formula>
    </cfRule>
    <cfRule type="cellIs" dxfId="366" priority="408" operator="lessThan">
      <formula>0</formula>
    </cfRule>
    <cfRule type="cellIs" dxfId="365" priority="407" operator="equal">
      <formula>0</formula>
    </cfRule>
  </conditionalFormatting>
  <conditionalFormatting sqref="ACU18">
    <cfRule type="colorScale" priority="38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A10:ADA12">
    <cfRule type="cellIs" dxfId="364" priority="390" operator="lessThan">
      <formula>0</formula>
    </cfRule>
    <cfRule type="cellIs" dxfId="363" priority="389" operator="equal">
      <formula>0</formula>
    </cfRule>
  </conditionalFormatting>
  <conditionalFormatting sqref="ADA16">
    <cfRule type="cellIs" dxfId="362" priority="392" operator="lessThan">
      <formula>0</formula>
    </cfRule>
    <cfRule type="cellIs" dxfId="361" priority="391" operator="equal">
      <formula>0</formula>
    </cfRule>
  </conditionalFormatting>
  <conditionalFormatting sqref="ADC10:ADC12">
    <cfRule type="cellIs" dxfId="360" priority="395" operator="greaterThan">
      <formula>0</formula>
    </cfRule>
    <cfRule type="cellIs" dxfId="359" priority="394" operator="lessThan">
      <formula>0</formula>
    </cfRule>
    <cfRule type="cellIs" dxfId="358" priority="393" operator="equal">
      <formula>0</formula>
    </cfRule>
  </conditionalFormatting>
  <conditionalFormatting sqref="ADC16">
    <cfRule type="cellIs" dxfId="357" priority="397" operator="lessThan">
      <formula>0</formula>
    </cfRule>
    <cfRule type="cellIs" dxfId="356" priority="396" operator="equal">
      <formula>0</formula>
    </cfRule>
    <cfRule type="cellIs" dxfId="355" priority="398" operator="greaterThan">
      <formula>0</formula>
    </cfRule>
  </conditionalFormatting>
  <conditionalFormatting sqref="ADE18">
    <cfRule type="colorScale" priority="37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K10:ADK12">
    <cfRule type="cellIs" dxfId="354" priority="379" operator="lessThan">
      <formula>0</formula>
    </cfRule>
    <cfRule type="cellIs" dxfId="353" priority="378" operator="equal">
      <formula>0</formula>
    </cfRule>
  </conditionalFormatting>
  <conditionalFormatting sqref="ADK16">
    <cfRule type="cellIs" dxfId="352" priority="381" operator="lessThan">
      <formula>0</formula>
    </cfRule>
    <cfRule type="cellIs" dxfId="351" priority="380" operator="equal">
      <formula>0</formula>
    </cfRule>
  </conditionalFormatting>
  <conditionalFormatting sqref="ADM10:ADM12">
    <cfRule type="cellIs" dxfId="350" priority="382" operator="equal">
      <formula>0</formula>
    </cfRule>
    <cfRule type="cellIs" dxfId="349" priority="383" operator="lessThan">
      <formula>0</formula>
    </cfRule>
    <cfRule type="cellIs" dxfId="348" priority="384" operator="greaterThan">
      <formula>0</formula>
    </cfRule>
  </conditionalFormatting>
  <conditionalFormatting sqref="ADM16">
    <cfRule type="cellIs" dxfId="347" priority="387" operator="greaterThan">
      <formula>0</formula>
    </cfRule>
    <cfRule type="cellIs" dxfId="346" priority="386" operator="lessThan">
      <formula>0</formula>
    </cfRule>
    <cfRule type="cellIs" dxfId="345" priority="385" operator="equal">
      <formula>0</formula>
    </cfRule>
  </conditionalFormatting>
  <conditionalFormatting sqref="ADO18">
    <cfRule type="colorScale" priority="36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DU10:ADU12">
    <cfRule type="cellIs" dxfId="344" priority="368" operator="lessThan">
      <formula>0</formula>
    </cfRule>
    <cfRule type="cellIs" dxfId="343" priority="367" operator="equal">
      <formula>0</formula>
    </cfRule>
  </conditionalFormatting>
  <conditionalFormatting sqref="ADU16">
    <cfRule type="cellIs" dxfId="342" priority="370" operator="lessThan">
      <formula>0</formula>
    </cfRule>
    <cfRule type="cellIs" dxfId="341" priority="369" operator="equal">
      <formula>0</formula>
    </cfRule>
  </conditionalFormatting>
  <conditionalFormatting sqref="ADW10:ADW12">
    <cfRule type="cellIs" dxfId="340" priority="373" operator="greaterThan">
      <formula>0</formula>
    </cfRule>
    <cfRule type="cellIs" dxfId="339" priority="372" operator="lessThan">
      <formula>0</formula>
    </cfRule>
    <cfRule type="cellIs" dxfId="338" priority="371" operator="equal">
      <formula>0</formula>
    </cfRule>
  </conditionalFormatting>
  <conditionalFormatting sqref="ADW16">
    <cfRule type="cellIs" dxfId="337" priority="375" operator="lessThan">
      <formula>0</formula>
    </cfRule>
    <cfRule type="cellIs" dxfId="336" priority="376" operator="greaterThan">
      <formula>0</formula>
    </cfRule>
    <cfRule type="cellIs" dxfId="335" priority="374" operator="equal">
      <formula>0</formula>
    </cfRule>
  </conditionalFormatting>
  <conditionalFormatting sqref="ADY18">
    <cfRule type="colorScale" priority="35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E10:AEE12">
    <cfRule type="cellIs" dxfId="334" priority="356" operator="equal">
      <formula>0</formula>
    </cfRule>
    <cfRule type="cellIs" dxfId="333" priority="357" operator="lessThan">
      <formula>0</formula>
    </cfRule>
  </conditionalFormatting>
  <conditionalFormatting sqref="AEE16">
    <cfRule type="cellIs" dxfId="332" priority="359" operator="lessThan">
      <formula>0</formula>
    </cfRule>
    <cfRule type="cellIs" dxfId="331" priority="358" operator="equal">
      <formula>0</formula>
    </cfRule>
  </conditionalFormatting>
  <conditionalFormatting sqref="AEG10:AEG12">
    <cfRule type="cellIs" dxfId="330" priority="362" operator="greaterThan">
      <formula>0</formula>
    </cfRule>
    <cfRule type="cellIs" dxfId="329" priority="361" operator="lessThan">
      <formula>0</formula>
    </cfRule>
    <cfRule type="cellIs" dxfId="328" priority="360" operator="equal">
      <formula>0</formula>
    </cfRule>
  </conditionalFormatting>
  <conditionalFormatting sqref="AEG16">
    <cfRule type="cellIs" dxfId="327" priority="365" operator="greaterThan">
      <formula>0</formula>
    </cfRule>
    <cfRule type="cellIs" dxfId="326" priority="364" operator="lessThan">
      <formula>0</formula>
    </cfRule>
    <cfRule type="cellIs" dxfId="325" priority="363" operator="equal">
      <formula>0</formula>
    </cfRule>
  </conditionalFormatting>
  <conditionalFormatting sqref="AEI18">
    <cfRule type="colorScale" priority="344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O10:AEO12">
    <cfRule type="cellIs" dxfId="324" priority="346" operator="lessThan">
      <formula>0</formula>
    </cfRule>
    <cfRule type="cellIs" dxfId="323" priority="345" operator="equal">
      <formula>0</formula>
    </cfRule>
  </conditionalFormatting>
  <conditionalFormatting sqref="AEO16">
    <cfRule type="cellIs" dxfId="322" priority="348" operator="lessThan">
      <formula>0</formula>
    </cfRule>
    <cfRule type="cellIs" dxfId="321" priority="347" operator="equal">
      <formula>0</formula>
    </cfRule>
  </conditionalFormatting>
  <conditionalFormatting sqref="AEQ10:AEQ12">
    <cfRule type="cellIs" dxfId="320" priority="351" operator="greaterThan">
      <formula>0</formula>
    </cfRule>
    <cfRule type="cellIs" dxfId="319" priority="350" operator="lessThan">
      <formula>0</formula>
    </cfRule>
    <cfRule type="cellIs" dxfId="318" priority="349" operator="equal">
      <formula>0</formula>
    </cfRule>
  </conditionalFormatting>
  <conditionalFormatting sqref="AEQ16">
    <cfRule type="cellIs" dxfId="317" priority="354" operator="greaterThan">
      <formula>0</formula>
    </cfRule>
    <cfRule type="cellIs" dxfId="316" priority="353" operator="lessThan">
      <formula>0</formula>
    </cfRule>
    <cfRule type="cellIs" dxfId="315" priority="352" operator="equal">
      <formula>0</formula>
    </cfRule>
  </conditionalFormatting>
  <conditionalFormatting sqref="AES18">
    <cfRule type="colorScale" priority="33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EY10:AEY12">
    <cfRule type="cellIs" dxfId="314" priority="334" operator="equal">
      <formula>0</formula>
    </cfRule>
    <cfRule type="cellIs" dxfId="313" priority="335" operator="lessThan">
      <formula>0</formula>
    </cfRule>
  </conditionalFormatting>
  <conditionalFormatting sqref="AEY16">
    <cfRule type="cellIs" dxfId="312" priority="337" operator="lessThan">
      <formula>0</formula>
    </cfRule>
    <cfRule type="cellIs" dxfId="311" priority="336" operator="equal">
      <formula>0</formula>
    </cfRule>
  </conditionalFormatting>
  <conditionalFormatting sqref="AFA10:AFA12">
    <cfRule type="cellIs" dxfId="310" priority="340" operator="greaterThan">
      <formula>0</formula>
    </cfRule>
    <cfRule type="cellIs" dxfId="309" priority="339" operator="lessThan">
      <formula>0</formula>
    </cfRule>
    <cfRule type="cellIs" dxfId="308" priority="338" operator="equal">
      <formula>0</formula>
    </cfRule>
  </conditionalFormatting>
  <conditionalFormatting sqref="AFA16">
    <cfRule type="cellIs" dxfId="307" priority="342" operator="lessThan">
      <formula>0</formula>
    </cfRule>
    <cfRule type="cellIs" dxfId="306" priority="343" operator="greaterThan">
      <formula>0</formula>
    </cfRule>
    <cfRule type="cellIs" dxfId="305" priority="341" operator="equal">
      <formula>0</formula>
    </cfRule>
  </conditionalFormatting>
  <conditionalFormatting sqref="AFC18">
    <cfRule type="colorScale" priority="3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I10:AFI12">
    <cfRule type="cellIs" dxfId="304" priority="324" operator="lessThan">
      <formula>0</formula>
    </cfRule>
    <cfRule type="cellIs" dxfId="303" priority="323" operator="equal">
      <formula>0</formula>
    </cfRule>
  </conditionalFormatting>
  <conditionalFormatting sqref="AFI16">
    <cfRule type="cellIs" dxfId="302" priority="326" operator="lessThan">
      <formula>0</formula>
    </cfRule>
    <cfRule type="cellIs" dxfId="301" priority="325" operator="equal">
      <formula>0</formula>
    </cfRule>
  </conditionalFormatting>
  <conditionalFormatting sqref="AFK10:AFK12">
    <cfRule type="cellIs" dxfId="300" priority="328" operator="lessThan">
      <formula>0</formula>
    </cfRule>
    <cfRule type="cellIs" dxfId="299" priority="327" operator="equal">
      <formula>0</formula>
    </cfRule>
    <cfRule type="cellIs" dxfId="298" priority="329" operator="greaterThan">
      <formula>0</formula>
    </cfRule>
  </conditionalFormatting>
  <conditionalFormatting sqref="AFK16">
    <cfRule type="cellIs" dxfId="297" priority="332" operator="greaterThan">
      <formula>0</formula>
    </cfRule>
    <cfRule type="cellIs" dxfId="296" priority="330" operator="equal">
      <formula>0</formula>
    </cfRule>
    <cfRule type="cellIs" dxfId="295" priority="331" operator="lessThan">
      <formula>0</formula>
    </cfRule>
  </conditionalFormatting>
  <conditionalFormatting sqref="AFM18">
    <cfRule type="colorScale" priority="3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FS10:AFS12">
    <cfRule type="cellIs" dxfId="294" priority="312" operator="equal">
      <formula>0</formula>
    </cfRule>
    <cfRule type="cellIs" dxfId="293" priority="313" operator="lessThan">
      <formula>0</formula>
    </cfRule>
  </conditionalFormatting>
  <conditionalFormatting sqref="AFS16">
    <cfRule type="cellIs" dxfId="292" priority="315" operator="lessThan">
      <formula>0</formula>
    </cfRule>
    <cfRule type="cellIs" dxfId="291" priority="314" operator="equal">
      <formula>0</formula>
    </cfRule>
  </conditionalFormatting>
  <conditionalFormatting sqref="AFU10:AFU12">
    <cfRule type="cellIs" dxfId="290" priority="317" operator="lessThan">
      <formula>0</formula>
    </cfRule>
    <cfRule type="cellIs" dxfId="289" priority="316" operator="equal">
      <formula>0</formula>
    </cfRule>
    <cfRule type="cellIs" dxfId="288" priority="318" operator="greaterThan">
      <formula>0</formula>
    </cfRule>
  </conditionalFormatting>
  <conditionalFormatting sqref="AFU16">
    <cfRule type="cellIs" dxfId="287" priority="321" operator="greaterThan">
      <formula>0</formula>
    </cfRule>
    <cfRule type="cellIs" dxfId="286" priority="320" operator="lessThan">
      <formula>0</formula>
    </cfRule>
    <cfRule type="cellIs" dxfId="285" priority="319" operator="equal">
      <formula>0</formula>
    </cfRule>
  </conditionalFormatting>
  <conditionalFormatting sqref="AFW18">
    <cfRule type="colorScale" priority="30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C10:AGC12">
    <cfRule type="cellIs" dxfId="284" priority="302" operator="lessThan">
      <formula>0</formula>
    </cfRule>
    <cfRule type="cellIs" dxfId="283" priority="301" operator="equal">
      <formula>0</formula>
    </cfRule>
  </conditionalFormatting>
  <conditionalFormatting sqref="AGC16">
    <cfRule type="cellIs" dxfId="282" priority="304" operator="lessThan">
      <formula>0</formula>
    </cfRule>
    <cfRule type="cellIs" dxfId="281" priority="303" operator="equal">
      <formula>0</formula>
    </cfRule>
  </conditionalFormatting>
  <conditionalFormatting sqref="AGE10:AGE12">
    <cfRule type="cellIs" dxfId="280" priority="307" operator="greaterThan">
      <formula>0</formula>
    </cfRule>
    <cfRule type="cellIs" dxfId="279" priority="306" operator="lessThan">
      <formula>0</formula>
    </cfRule>
    <cfRule type="cellIs" dxfId="278" priority="305" operator="equal">
      <formula>0</formula>
    </cfRule>
  </conditionalFormatting>
  <conditionalFormatting sqref="AGE16">
    <cfRule type="cellIs" dxfId="277" priority="308" operator="equal">
      <formula>0</formula>
    </cfRule>
    <cfRule type="cellIs" dxfId="276" priority="310" operator="greaterThan">
      <formula>0</formula>
    </cfRule>
    <cfRule type="cellIs" dxfId="275" priority="309" operator="lessThan">
      <formula>0</formula>
    </cfRule>
  </conditionalFormatting>
  <conditionalFormatting sqref="AGG18">
    <cfRule type="colorScale" priority="2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M10:AGM12">
    <cfRule type="cellIs" dxfId="274" priority="290" operator="equal">
      <formula>0</formula>
    </cfRule>
    <cfRule type="cellIs" dxfId="273" priority="291" operator="lessThan">
      <formula>0</formula>
    </cfRule>
  </conditionalFormatting>
  <conditionalFormatting sqref="AGM16">
    <cfRule type="cellIs" dxfId="272" priority="293" operator="lessThan">
      <formula>0</formula>
    </cfRule>
    <cfRule type="cellIs" dxfId="271" priority="292" operator="equal">
      <formula>0</formula>
    </cfRule>
  </conditionalFormatting>
  <conditionalFormatting sqref="AGO10:AGO12">
    <cfRule type="cellIs" dxfId="270" priority="296" operator="greaterThan">
      <formula>0</formula>
    </cfRule>
    <cfRule type="cellIs" dxfId="269" priority="295" operator="lessThan">
      <formula>0</formula>
    </cfRule>
    <cfRule type="cellIs" dxfId="268" priority="294" operator="equal">
      <formula>0</formula>
    </cfRule>
  </conditionalFormatting>
  <conditionalFormatting sqref="AGO16">
    <cfRule type="cellIs" dxfId="267" priority="299" operator="greaterThan">
      <formula>0</formula>
    </cfRule>
    <cfRule type="cellIs" dxfId="266" priority="298" operator="lessThan">
      <formula>0</formula>
    </cfRule>
    <cfRule type="cellIs" dxfId="265" priority="297" operator="equal">
      <formula>0</formula>
    </cfRule>
  </conditionalFormatting>
  <conditionalFormatting sqref="AGQ18">
    <cfRule type="colorScale" priority="2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GW10:AGW12">
    <cfRule type="cellIs" dxfId="264" priority="280" operator="lessThan">
      <formula>0</formula>
    </cfRule>
    <cfRule type="cellIs" dxfId="263" priority="279" operator="equal">
      <formula>0</formula>
    </cfRule>
  </conditionalFormatting>
  <conditionalFormatting sqref="AGW16">
    <cfRule type="cellIs" dxfId="262" priority="282" operator="lessThan">
      <formula>0</formula>
    </cfRule>
    <cfRule type="cellIs" dxfId="261" priority="281" operator="equal">
      <formula>0</formula>
    </cfRule>
  </conditionalFormatting>
  <conditionalFormatting sqref="AGY10:AGY12">
    <cfRule type="cellIs" dxfId="260" priority="285" operator="greaterThan">
      <formula>0</formula>
    </cfRule>
    <cfRule type="cellIs" dxfId="259" priority="283" operator="equal">
      <formula>0</formula>
    </cfRule>
    <cfRule type="cellIs" dxfId="258" priority="284" operator="lessThan">
      <formula>0</formula>
    </cfRule>
  </conditionalFormatting>
  <conditionalFormatting sqref="AGY16">
    <cfRule type="cellIs" dxfId="257" priority="288" operator="greaterThan">
      <formula>0</formula>
    </cfRule>
    <cfRule type="cellIs" dxfId="256" priority="287" operator="lessThan">
      <formula>0</formula>
    </cfRule>
    <cfRule type="cellIs" dxfId="255" priority="286" operator="equal">
      <formula>0</formula>
    </cfRule>
  </conditionalFormatting>
  <conditionalFormatting sqref="AHA18">
    <cfRule type="colorScale" priority="2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G10:AHG12">
    <cfRule type="cellIs" dxfId="254" priority="269" operator="lessThan">
      <formula>0</formula>
    </cfRule>
    <cfRule type="cellIs" dxfId="253" priority="268" operator="equal">
      <formula>0</formula>
    </cfRule>
  </conditionalFormatting>
  <conditionalFormatting sqref="AHG16">
    <cfRule type="cellIs" dxfId="252" priority="271" operator="lessThan">
      <formula>0</formula>
    </cfRule>
    <cfRule type="cellIs" dxfId="251" priority="270" operator="equal">
      <formula>0</formula>
    </cfRule>
  </conditionalFormatting>
  <conditionalFormatting sqref="AHI10:AHI12">
    <cfRule type="cellIs" dxfId="250" priority="274" operator="greaterThan">
      <formula>0</formula>
    </cfRule>
    <cfRule type="cellIs" dxfId="249" priority="273" operator="lessThan">
      <formula>0</formula>
    </cfRule>
    <cfRule type="cellIs" dxfId="248" priority="272" operator="equal">
      <formula>0</formula>
    </cfRule>
  </conditionalFormatting>
  <conditionalFormatting sqref="AHI16">
    <cfRule type="cellIs" dxfId="247" priority="275" operator="equal">
      <formula>0</formula>
    </cfRule>
    <cfRule type="cellIs" dxfId="246" priority="276" operator="lessThan">
      <formula>0</formula>
    </cfRule>
    <cfRule type="cellIs" dxfId="245" priority="277" operator="greaterThan">
      <formula>0</formula>
    </cfRule>
  </conditionalFormatting>
  <conditionalFormatting sqref="AHK18">
    <cfRule type="colorScale" priority="25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HQ10:AHQ12">
    <cfRule type="cellIs" dxfId="244" priority="257" operator="equal">
      <formula>0</formula>
    </cfRule>
    <cfRule type="cellIs" dxfId="243" priority="258" operator="lessThan">
      <formula>0</formula>
    </cfRule>
  </conditionalFormatting>
  <conditionalFormatting sqref="AHQ16">
    <cfRule type="cellIs" dxfId="242" priority="260" operator="lessThan">
      <formula>0</formula>
    </cfRule>
    <cfRule type="cellIs" dxfId="241" priority="259" operator="equal">
      <formula>0</formula>
    </cfRule>
  </conditionalFormatting>
  <conditionalFormatting sqref="AHS10:AHS12">
    <cfRule type="cellIs" dxfId="240" priority="262" operator="lessThan">
      <formula>0</formula>
    </cfRule>
    <cfRule type="cellIs" dxfId="239" priority="261" operator="equal">
      <formula>0</formula>
    </cfRule>
    <cfRule type="cellIs" dxfId="238" priority="263" operator="greaterThan">
      <formula>0</formula>
    </cfRule>
  </conditionalFormatting>
  <conditionalFormatting sqref="AHS16">
    <cfRule type="cellIs" dxfId="237" priority="265" operator="lessThan">
      <formula>0</formula>
    </cfRule>
    <cfRule type="cellIs" dxfId="236" priority="266" operator="greaterThan">
      <formula>0</formula>
    </cfRule>
    <cfRule type="cellIs" dxfId="235" priority="264" operator="equal">
      <formula>0</formula>
    </cfRule>
  </conditionalFormatting>
  <conditionalFormatting sqref="AHU18">
    <cfRule type="colorScale" priority="24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A10:AIA12">
    <cfRule type="cellIs" dxfId="234" priority="247" operator="lessThan">
      <formula>0</formula>
    </cfRule>
    <cfRule type="cellIs" dxfId="233" priority="246" operator="equal">
      <formula>0</formula>
    </cfRule>
  </conditionalFormatting>
  <conditionalFormatting sqref="AIA16">
    <cfRule type="cellIs" dxfId="232" priority="249" operator="lessThan">
      <formula>0</formula>
    </cfRule>
    <cfRule type="cellIs" dxfId="231" priority="248" operator="equal">
      <formula>0</formula>
    </cfRule>
  </conditionalFormatting>
  <conditionalFormatting sqref="AIC10:AIC12">
    <cfRule type="cellIs" dxfId="230" priority="250" operator="equal">
      <formula>0</formula>
    </cfRule>
    <cfRule type="cellIs" dxfId="229" priority="251" operator="lessThan">
      <formula>0</formula>
    </cfRule>
    <cfRule type="cellIs" dxfId="228" priority="252" operator="greaterThan">
      <formula>0</formula>
    </cfRule>
  </conditionalFormatting>
  <conditionalFormatting sqref="AIC16">
    <cfRule type="cellIs" dxfId="227" priority="253" operator="equal">
      <formula>0</formula>
    </cfRule>
    <cfRule type="cellIs" dxfId="226" priority="255" operator="greaterThan">
      <formula>0</formula>
    </cfRule>
    <cfRule type="cellIs" dxfId="225" priority="254" operator="lessThan">
      <formula>0</formula>
    </cfRule>
  </conditionalFormatting>
  <conditionalFormatting sqref="AIE18">
    <cfRule type="colorScale" priority="23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K10:AIK12">
    <cfRule type="cellIs" dxfId="224" priority="237" operator="lessThan">
      <formula>0</formula>
    </cfRule>
    <cfRule type="cellIs" dxfId="223" priority="236" operator="equal">
      <formula>0</formula>
    </cfRule>
  </conditionalFormatting>
  <conditionalFormatting sqref="AIK16">
    <cfRule type="cellIs" dxfId="222" priority="241" operator="lessThan">
      <formula>0</formula>
    </cfRule>
    <cfRule type="cellIs" dxfId="221" priority="240" operator="equal">
      <formula>0</formula>
    </cfRule>
  </conditionalFormatting>
  <conditionalFormatting sqref="AIM10:AIM12">
    <cfRule type="cellIs" dxfId="220" priority="235" operator="greaterThan">
      <formula>0</formula>
    </cfRule>
    <cfRule type="cellIs" dxfId="219" priority="234" operator="lessThan">
      <formula>0</formula>
    </cfRule>
    <cfRule type="cellIs" dxfId="218" priority="233" operator="equal">
      <formula>0</formula>
    </cfRule>
  </conditionalFormatting>
  <conditionalFormatting sqref="AIM16">
    <cfRule type="cellIs" dxfId="217" priority="244" operator="greaterThan">
      <formula>0</formula>
    </cfRule>
    <cfRule type="cellIs" dxfId="216" priority="243" operator="lessThan">
      <formula>0</formula>
    </cfRule>
    <cfRule type="cellIs" dxfId="215" priority="242" operator="equal">
      <formula>0</formula>
    </cfRule>
  </conditionalFormatting>
  <conditionalFormatting sqref="AIO18">
    <cfRule type="colorScale" priority="222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IU10:AIU12">
    <cfRule type="cellIs" dxfId="214" priority="223" operator="equal">
      <formula>0</formula>
    </cfRule>
    <cfRule type="cellIs" dxfId="213" priority="224" operator="lessThan">
      <formula>0</formula>
    </cfRule>
  </conditionalFormatting>
  <conditionalFormatting sqref="AIU16">
    <cfRule type="cellIs" dxfId="212" priority="225" operator="equal">
      <formula>0</formula>
    </cfRule>
    <cfRule type="cellIs" dxfId="211" priority="226" operator="lessThan">
      <formula>0</formula>
    </cfRule>
  </conditionalFormatting>
  <conditionalFormatting sqref="AIW10:AIW12">
    <cfRule type="cellIs" dxfId="210" priority="227" operator="equal">
      <formula>0</formula>
    </cfRule>
    <cfRule type="cellIs" dxfId="209" priority="229" operator="greaterThan">
      <formula>0</formula>
    </cfRule>
    <cfRule type="cellIs" dxfId="208" priority="228" operator="lessThan">
      <formula>0</formula>
    </cfRule>
  </conditionalFormatting>
  <conditionalFormatting sqref="AIW16">
    <cfRule type="cellIs" dxfId="207" priority="232" operator="greaterThan">
      <formula>0</formula>
    </cfRule>
    <cfRule type="cellIs" dxfId="206" priority="231" operator="lessThan">
      <formula>0</formula>
    </cfRule>
    <cfRule type="cellIs" dxfId="205" priority="230" operator="equal">
      <formula>0</formula>
    </cfRule>
  </conditionalFormatting>
  <conditionalFormatting sqref="AIY18">
    <cfRule type="colorScale" priority="21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E10:AJE12">
    <cfRule type="cellIs" dxfId="204" priority="213" operator="lessThan">
      <formula>0</formula>
    </cfRule>
    <cfRule type="cellIs" dxfId="203" priority="212" operator="equal">
      <formula>0</formula>
    </cfRule>
  </conditionalFormatting>
  <conditionalFormatting sqref="AJE16">
    <cfRule type="cellIs" dxfId="202" priority="215" operator="lessThan">
      <formula>0</formula>
    </cfRule>
    <cfRule type="cellIs" dxfId="201" priority="214" operator="equal">
      <formula>0</formula>
    </cfRule>
  </conditionalFormatting>
  <conditionalFormatting sqref="AJG10:AJG12">
    <cfRule type="cellIs" dxfId="200" priority="218" operator="greaterThan">
      <formula>0</formula>
    </cfRule>
    <cfRule type="cellIs" dxfId="199" priority="217" operator="lessThan">
      <formula>0</formula>
    </cfRule>
    <cfRule type="cellIs" dxfId="198" priority="216" operator="equal">
      <formula>0</formula>
    </cfRule>
  </conditionalFormatting>
  <conditionalFormatting sqref="AJG16">
    <cfRule type="cellIs" dxfId="197" priority="221" operator="greaterThan">
      <formula>0</formula>
    </cfRule>
    <cfRule type="cellIs" dxfId="196" priority="220" operator="lessThan">
      <formula>0</formula>
    </cfRule>
    <cfRule type="cellIs" dxfId="195" priority="219" operator="equal">
      <formula>0</formula>
    </cfRule>
  </conditionalFormatting>
  <conditionalFormatting sqref="AJI18">
    <cfRule type="colorScale" priority="200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O10:AJO12">
    <cfRule type="cellIs" dxfId="194" priority="202" operator="lessThan">
      <formula>0</formula>
    </cfRule>
    <cfRule type="cellIs" dxfId="193" priority="201" operator="equal">
      <formula>0</formula>
    </cfRule>
  </conditionalFormatting>
  <conditionalFormatting sqref="AJO16">
    <cfRule type="cellIs" dxfId="192" priority="204" operator="lessThan">
      <formula>0</formula>
    </cfRule>
    <cfRule type="cellIs" dxfId="191" priority="203" operator="equal">
      <formula>0</formula>
    </cfRule>
  </conditionalFormatting>
  <conditionalFormatting sqref="AJQ10:AJQ12">
    <cfRule type="cellIs" dxfId="190" priority="207" operator="greaterThan">
      <formula>0</formula>
    </cfRule>
    <cfRule type="cellIs" dxfId="189" priority="206" operator="lessThan">
      <formula>0</formula>
    </cfRule>
    <cfRule type="cellIs" dxfId="188" priority="205" operator="equal">
      <formula>0</formula>
    </cfRule>
  </conditionalFormatting>
  <conditionalFormatting sqref="AJQ16">
    <cfRule type="cellIs" dxfId="187" priority="208" operator="equal">
      <formula>0</formula>
    </cfRule>
    <cfRule type="cellIs" dxfId="186" priority="209" operator="lessThan">
      <formula>0</formula>
    </cfRule>
    <cfRule type="cellIs" dxfId="185" priority="210" operator="greaterThan">
      <formula>0</formula>
    </cfRule>
  </conditionalFormatting>
  <conditionalFormatting sqref="AJS18">
    <cfRule type="colorScale" priority="18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JY10:AJY12">
    <cfRule type="cellIs" dxfId="184" priority="190" operator="equal">
      <formula>0</formula>
    </cfRule>
    <cfRule type="cellIs" dxfId="183" priority="191" operator="lessThan">
      <formula>0</formula>
    </cfRule>
  </conditionalFormatting>
  <conditionalFormatting sqref="AJY16">
    <cfRule type="cellIs" dxfId="182" priority="193" operator="lessThan">
      <formula>0</formula>
    </cfRule>
    <cfRule type="cellIs" dxfId="181" priority="192" operator="equal">
      <formula>0</formula>
    </cfRule>
  </conditionalFormatting>
  <conditionalFormatting sqref="AKA10:AKA12">
    <cfRule type="cellIs" dxfId="180" priority="196" operator="greaterThan">
      <formula>0</formula>
    </cfRule>
    <cfRule type="cellIs" dxfId="179" priority="195" operator="lessThan">
      <formula>0</formula>
    </cfRule>
    <cfRule type="cellIs" dxfId="178" priority="194" operator="equal">
      <formula>0</formula>
    </cfRule>
  </conditionalFormatting>
  <conditionalFormatting sqref="AKA16">
    <cfRule type="cellIs" dxfId="177" priority="199" operator="greaterThan">
      <formula>0</formula>
    </cfRule>
    <cfRule type="cellIs" dxfId="176" priority="198" operator="lessThan">
      <formula>0</formula>
    </cfRule>
    <cfRule type="cellIs" dxfId="175" priority="197" operator="equal">
      <formula>0</formula>
    </cfRule>
  </conditionalFormatting>
  <conditionalFormatting sqref="AKC18">
    <cfRule type="colorScale" priority="178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I10:AKI12">
    <cfRule type="cellIs" dxfId="174" priority="180" operator="lessThan">
      <formula>0</formula>
    </cfRule>
    <cfRule type="cellIs" dxfId="173" priority="179" operator="equal">
      <formula>0</formula>
    </cfRule>
  </conditionalFormatting>
  <conditionalFormatting sqref="AKI16">
    <cfRule type="cellIs" dxfId="172" priority="181" operator="equal">
      <formula>0</formula>
    </cfRule>
    <cfRule type="cellIs" dxfId="171" priority="182" operator="lessThan">
      <formula>0</formula>
    </cfRule>
  </conditionalFormatting>
  <conditionalFormatting sqref="AKK10:AKK12">
    <cfRule type="cellIs" dxfId="170" priority="185" operator="greaterThan">
      <formula>0</formula>
    </cfRule>
    <cfRule type="cellIs" dxfId="169" priority="183" operator="equal">
      <formula>0</formula>
    </cfRule>
    <cfRule type="cellIs" dxfId="168" priority="184" operator="lessThan">
      <formula>0</formula>
    </cfRule>
  </conditionalFormatting>
  <conditionalFormatting sqref="AKK16">
    <cfRule type="cellIs" dxfId="167" priority="188" operator="greaterThan">
      <formula>0</formula>
    </cfRule>
    <cfRule type="cellIs" dxfId="166" priority="187" operator="lessThan">
      <formula>0</formula>
    </cfRule>
    <cfRule type="cellIs" dxfId="165" priority="186" operator="equal">
      <formula>0</formula>
    </cfRule>
  </conditionalFormatting>
  <conditionalFormatting sqref="AKM18">
    <cfRule type="colorScale" priority="1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KS10:AKS12">
    <cfRule type="cellIs" dxfId="164" priority="169" operator="lessThan">
      <formula>0</formula>
    </cfRule>
    <cfRule type="cellIs" dxfId="163" priority="168" operator="equal">
      <formula>0</formula>
    </cfRule>
  </conditionalFormatting>
  <conditionalFormatting sqref="AKS16">
    <cfRule type="cellIs" dxfId="162" priority="171" operator="lessThan">
      <formula>0</formula>
    </cfRule>
    <cfRule type="cellIs" dxfId="161" priority="170" operator="equal">
      <formula>0</formula>
    </cfRule>
  </conditionalFormatting>
  <conditionalFormatting sqref="AKU10:AKU12">
    <cfRule type="cellIs" dxfId="160" priority="174" operator="greaterThan">
      <formula>0</formula>
    </cfRule>
    <cfRule type="cellIs" dxfId="159" priority="173" operator="lessThan">
      <formula>0</formula>
    </cfRule>
    <cfRule type="cellIs" dxfId="158" priority="172" operator="equal">
      <formula>0</formula>
    </cfRule>
  </conditionalFormatting>
  <conditionalFormatting sqref="AKU16">
    <cfRule type="cellIs" dxfId="157" priority="177" operator="greaterThan">
      <formula>0</formula>
    </cfRule>
    <cfRule type="cellIs" dxfId="156" priority="176" operator="lessThan">
      <formula>0</formula>
    </cfRule>
    <cfRule type="cellIs" dxfId="155" priority="175" operator="equal">
      <formula>0</formula>
    </cfRule>
  </conditionalFormatting>
  <conditionalFormatting sqref="AKW18">
    <cfRule type="colorScale" priority="156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C10:ALC12">
    <cfRule type="cellIs" dxfId="154" priority="158" operator="lessThan">
      <formula>0</formula>
    </cfRule>
    <cfRule type="cellIs" dxfId="153" priority="157" operator="equal">
      <formula>0</formula>
    </cfRule>
  </conditionalFormatting>
  <conditionalFormatting sqref="ALC16">
    <cfRule type="cellIs" dxfId="152" priority="160" operator="lessThan">
      <formula>0</formula>
    </cfRule>
    <cfRule type="cellIs" dxfId="151" priority="159" operator="equal">
      <formula>0</formula>
    </cfRule>
  </conditionalFormatting>
  <conditionalFormatting sqref="ALE10:ALE12">
    <cfRule type="cellIs" dxfId="150" priority="163" operator="greaterThan">
      <formula>0</formula>
    </cfRule>
    <cfRule type="cellIs" dxfId="149" priority="162" operator="lessThan">
      <formula>0</formula>
    </cfRule>
    <cfRule type="cellIs" dxfId="148" priority="161" operator="equal">
      <formula>0</formula>
    </cfRule>
  </conditionalFormatting>
  <conditionalFormatting sqref="ALE16">
    <cfRule type="cellIs" dxfId="147" priority="165" operator="lessThan">
      <formula>0</formula>
    </cfRule>
    <cfRule type="cellIs" dxfId="146" priority="164" operator="equal">
      <formula>0</formula>
    </cfRule>
    <cfRule type="cellIs" dxfId="145" priority="166" operator="greaterThan">
      <formula>0</formula>
    </cfRule>
  </conditionalFormatting>
  <conditionalFormatting sqref="ALG18">
    <cfRule type="colorScale" priority="14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M10:ALM12">
    <cfRule type="cellIs" dxfId="144" priority="146" operator="equal">
      <formula>0</formula>
    </cfRule>
    <cfRule type="cellIs" dxfId="143" priority="147" operator="lessThan">
      <formula>0</formula>
    </cfRule>
  </conditionalFormatting>
  <conditionalFormatting sqref="ALM16">
    <cfRule type="cellIs" dxfId="142" priority="149" operator="lessThan">
      <formula>0</formula>
    </cfRule>
    <cfRule type="cellIs" dxfId="141" priority="148" operator="equal">
      <formula>0</formula>
    </cfRule>
  </conditionalFormatting>
  <conditionalFormatting sqref="ALO10:ALO12">
    <cfRule type="cellIs" dxfId="140" priority="150" operator="equal">
      <formula>0</formula>
    </cfRule>
    <cfRule type="cellIs" dxfId="139" priority="152" operator="greaterThan">
      <formula>0</formula>
    </cfRule>
    <cfRule type="cellIs" dxfId="138" priority="151" operator="lessThan">
      <formula>0</formula>
    </cfRule>
  </conditionalFormatting>
  <conditionalFormatting sqref="ALO16">
    <cfRule type="cellIs" dxfId="137" priority="154" operator="lessThan">
      <formula>0</formula>
    </cfRule>
    <cfRule type="cellIs" dxfId="136" priority="155" operator="greaterThan">
      <formula>0</formula>
    </cfRule>
    <cfRule type="cellIs" dxfId="135" priority="153" operator="equal">
      <formula>0</formula>
    </cfRule>
  </conditionalFormatting>
  <conditionalFormatting sqref="ALQ18">
    <cfRule type="colorScale" priority="12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LW3:ALW7">
    <cfRule type="cellIs" dxfId="134" priority="141" operator="lessThan">
      <formula>0</formula>
    </cfRule>
    <cfRule type="cellIs" dxfId="133" priority="140" operator="equal">
      <formula>0</formula>
    </cfRule>
  </conditionalFormatting>
  <conditionalFormatting sqref="ALW10:ALW12">
    <cfRule type="cellIs" dxfId="132" priority="131" operator="lessThan">
      <formula>0</formula>
    </cfRule>
    <cfRule type="cellIs" dxfId="131" priority="130" operator="equal">
      <formula>0</formula>
    </cfRule>
  </conditionalFormatting>
  <conditionalFormatting sqref="ALW16">
    <cfRule type="cellIs" dxfId="130" priority="132" operator="equal">
      <formula>0</formula>
    </cfRule>
    <cfRule type="cellIs" dxfId="129" priority="133" operator="lessThan">
      <formula>0</formula>
    </cfRule>
  </conditionalFormatting>
  <conditionalFormatting sqref="ALY3:ALY7">
    <cfRule type="cellIs" dxfId="128" priority="144" operator="greaterThan">
      <formula>0</formula>
    </cfRule>
    <cfRule type="cellIs" dxfId="127" priority="143" operator="lessThan">
      <formula>0</formula>
    </cfRule>
    <cfRule type="cellIs" dxfId="126" priority="142" operator="equal">
      <formula>0</formula>
    </cfRule>
  </conditionalFormatting>
  <conditionalFormatting sqref="ALY10:ALY12">
    <cfRule type="cellIs" dxfId="125" priority="136" operator="greaterThan">
      <formula>0</formula>
    </cfRule>
    <cfRule type="cellIs" dxfId="124" priority="135" operator="lessThan">
      <formula>0</formula>
    </cfRule>
    <cfRule type="cellIs" dxfId="123" priority="134" operator="equal">
      <formula>0</formula>
    </cfRule>
  </conditionalFormatting>
  <conditionalFormatting sqref="ALY16">
    <cfRule type="cellIs" dxfId="122" priority="139" operator="greaterThan">
      <formula>0</formula>
    </cfRule>
    <cfRule type="cellIs" dxfId="121" priority="138" operator="lessThan">
      <formula>0</formula>
    </cfRule>
    <cfRule type="cellIs" dxfId="120" priority="137" operator="equal">
      <formula>0</formula>
    </cfRule>
  </conditionalFormatting>
  <conditionalFormatting sqref="AMA18">
    <cfRule type="colorScale" priority="11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G3:AMG7">
    <cfRule type="cellIs" dxfId="119" priority="125" operator="lessThan">
      <formula>0</formula>
    </cfRule>
    <cfRule type="cellIs" dxfId="118" priority="124" operator="equal">
      <formula>0</formula>
    </cfRule>
  </conditionalFormatting>
  <conditionalFormatting sqref="AMG10:AMG12">
    <cfRule type="cellIs" dxfId="117" priority="114" operator="lessThan">
      <formula>0</formula>
    </cfRule>
    <cfRule type="cellIs" dxfId="116" priority="113" operator="equal">
      <formula>0</formula>
    </cfRule>
  </conditionalFormatting>
  <conditionalFormatting sqref="AMG16">
    <cfRule type="cellIs" dxfId="115" priority="116" operator="equal">
      <formula>0</formula>
    </cfRule>
    <cfRule type="cellIs" dxfId="114" priority="117" operator="lessThan">
      <formula>0</formula>
    </cfRule>
  </conditionalFormatting>
  <conditionalFormatting sqref="AMI3:AMI7">
    <cfRule type="cellIs" dxfId="113" priority="128" operator="greaterThan">
      <formula>0</formula>
    </cfRule>
    <cfRule type="cellIs" dxfId="112" priority="127" operator="lessThan">
      <formula>0</formula>
    </cfRule>
    <cfRule type="cellIs" dxfId="111" priority="126" operator="equal">
      <formula>0</formula>
    </cfRule>
  </conditionalFormatting>
  <conditionalFormatting sqref="AMI10:AMI12">
    <cfRule type="cellIs" dxfId="110" priority="120" operator="greaterThan">
      <formula>0</formula>
    </cfRule>
    <cfRule type="cellIs" dxfId="109" priority="118" operator="equal">
      <formula>0</formula>
    </cfRule>
    <cfRule type="cellIs" dxfId="108" priority="119" operator="lessThan">
      <formula>0</formula>
    </cfRule>
  </conditionalFormatting>
  <conditionalFormatting sqref="AMI16">
    <cfRule type="cellIs" dxfId="107" priority="123" operator="greaterThan">
      <formula>0</formula>
    </cfRule>
    <cfRule type="cellIs" dxfId="106" priority="122" operator="lessThan">
      <formula>0</formula>
    </cfRule>
    <cfRule type="cellIs" dxfId="105" priority="121" operator="equal">
      <formula>0</formula>
    </cfRule>
  </conditionalFormatting>
  <conditionalFormatting sqref="AMK18">
    <cfRule type="colorScale" priority="9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MQ3:AMQ7">
    <cfRule type="cellIs" dxfId="104" priority="109" operator="lessThan">
      <formula>0</formula>
    </cfRule>
    <cfRule type="cellIs" dxfId="103" priority="108" operator="equal">
      <formula>0</formula>
    </cfRule>
  </conditionalFormatting>
  <conditionalFormatting sqref="AMQ10:AMQ12">
    <cfRule type="cellIs" dxfId="102" priority="98" operator="lessThan">
      <formula>0</formula>
    </cfRule>
    <cfRule type="cellIs" dxfId="101" priority="97" operator="equal">
      <formula>0</formula>
    </cfRule>
  </conditionalFormatting>
  <conditionalFormatting sqref="AMQ16">
    <cfRule type="cellIs" dxfId="100" priority="101" operator="lessThan">
      <formula>0</formula>
    </cfRule>
    <cfRule type="cellIs" dxfId="99" priority="100" operator="equal">
      <formula>0</formula>
    </cfRule>
  </conditionalFormatting>
  <conditionalFormatting sqref="AMS3:AMS7">
    <cfRule type="cellIs" dxfId="98" priority="112" operator="greaterThan">
      <formula>0</formula>
    </cfRule>
    <cfRule type="cellIs" dxfId="97" priority="111" operator="lessThan">
      <formula>0</formula>
    </cfRule>
    <cfRule type="cellIs" dxfId="96" priority="110" operator="equal">
      <formula>0</formula>
    </cfRule>
  </conditionalFormatting>
  <conditionalFormatting sqref="AMS10:AMS12">
    <cfRule type="cellIs" dxfId="95" priority="104" operator="greaterThan">
      <formula>0</formula>
    </cfRule>
    <cfRule type="cellIs" dxfId="94" priority="102" operator="equal">
      <formula>0</formula>
    </cfRule>
    <cfRule type="cellIs" dxfId="93" priority="103" operator="lessThan">
      <formula>0</formula>
    </cfRule>
  </conditionalFormatting>
  <conditionalFormatting sqref="AMS16">
    <cfRule type="cellIs" dxfId="92" priority="107" operator="greaterThan">
      <formula>0</formula>
    </cfRule>
    <cfRule type="cellIs" dxfId="91" priority="106" operator="lessThan">
      <formula>0</formula>
    </cfRule>
    <cfRule type="cellIs" dxfId="90" priority="105" operator="equal">
      <formula>0</formula>
    </cfRule>
  </conditionalFormatting>
  <conditionalFormatting sqref="AMU18">
    <cfRule type="colorScale" priority="8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A3:ANA7">
    <cfRule type="cellIs" dxfId="89" priority="93" operator="lessThan">
      <formula>0</formula>
    </cfRule>
    <cfRule type="cellIs" dxfId="88" priority="92" operator="equal">
      <formula>0</formula>
    </cfRule>
  </conditionalFormatting>
  <conditionalFormatting sqref="ANA10:ANA12">
    <cfRule type="cellIs" dxfId="87" priority="81" operator="equal">
      <formula>0</formula>
    </cfRule>
    <cfRule type="cellIs" dxfId="86" priority="82" operator="lessThan">
      <formula>0</formula>
    </cfRule>
  </conditionalFormatting>
  <conditionalFormatting sqref="ANA16">
    <cfRule type="cellIs" dxfId="85" priority="85" operator="lessThan">
      <formula>0</formula>
    </cfRule>
    <cfRule type="cellIs" dxfId="84" priority="84" operator="equal">
      <formula>0</formula>
    </cfRule>
  </conditionalFormatting>
  <conditionalFormatting sqref="ANC3:ANC7">
    <cfRule type="cellIs" dxfId="83" priority="94" operator="equal">
      <formula>0</formula>
    </cfRule>
    <cfRule type="cellIs" dxfId="82" priority="96" operator="greaterThan">
      <formula>0</formula>
    </cfRule>
    <cfRule type="cellIs" dxfId="81" priority="95" operator="lessThan">
      <formula>0</formula>
    </cfRule>
  </conditionalFormatting>
  <conditionalFormatting sqref="ANC10:ANC12">
    <cfRule type="cellIs" dxfId="80" priority="88" operator="greaterThan">
      <formula>0</formula>
    </cfRule>
    <cfRule type="cellIs" dxfId="79" priority="87" operator="lessThan">
      <formula>0</formula>
    </cfRule>
    <cfRule type="cellIs" dxfId="78" priority="86" operator="equal">
      <formula>0</formula>
    </cfRule>
  </conditionalFormatting>
  <conditionalFormatting sqref="ANC16">
    <cfRule type="cellIs" dxfId="77" priority="90" operator="lessThan">
      <formula>0</formula>
    </cfRule>
    <cfRule type="cellIs" dxfId="76" priority="89" operator="equal">
      <formula>0</formula>
    </cfRule>
    <cfRule type="cellIs" dxfId="75" priority="91" operator="greaterThan">
      <formula>0</formula>
    </cfRule>
  </conditionalFormatting>
  <conditionalFormatting sqref="ANE18">
    <cfRule type="colorScale" priority="67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K3:ANK7">
    <cfRule type="cellIs" dxfId="74" priority="76" operator="equal">
      <formula>0</formula>
    </cfRule>
    <cfRule type="cellIs" dxfId="73" priority="77" operator="lessThan">
      <formula>0</formula>
    </cfRule>
  </conditionalFormatting>
  <conditionalFormatting sqref="ANK10:ANK12">
    <cfRule type="cellIs" dxfId="72" priority="66" operator="lessThan">
      <formula>0</formula>
    </cfRule>
    <cfRule type="cellIs" dxfId="71" priority="65" operator="equal">
      <formula>0</formula>
    </cfRule>
  </conditionalFormatting>
  <conditionalFormatting sqref="ANK16">
    <cfRule type="cellIs" dxfId="70" priority="69" operator="lessThan">
      <formula>0</formula>
    </cfRule>
    <cfRule type="cellIs" dxfId="69" priority="68" operator="equal">
      <formula>0</formula>
    </cfRule>
  </conditionalFormatting>
  <conditionalFormatting sqref="ANM3:ANM7">
    <cfRule type="cellIs" dxfId="68" priority="80" operator="greaterThan">
      <formula>0</formula>
    </cfRule>
    <cfRule type="cellIs" dxfId="67" priority="79" operator="lessThan">
      <formula>0</formula>
    </cfRule>
    <cfRule type="cellIs" dxfId="66" priority="78" operator="equal">
      <formula>0</formula>
    </cfRule>
  </conditionalFormatting>
  <conditionalFormatting sqref="ANM10:ANM12">
    <cfRule type="cellIs" dxfId="65" priority="71" operator="lessThan">
      <formula>0</formula>
    </cfRule>
    <cfRule type="cellIs" dxfId="64" priority="72" operator="greaterThan">
      <formula>0</formula>
    </cfRule>
    <cfRule type="cellIs" dxfId="63" priority="70" operator="equal">
      <formula>0</formula>
    </cfRule>
  </conditionalFormatting>
  <conditionalFormatting sqref="ANM16">
    <cfRule type="cellIs" dxfId="62" priority="75" operator="greaterThan">
      <formula>0</formula>
    </cfRule>
    <cfRule type="cellIs" dxfId="61" priority="74" operator="lessThan">
      <formula>0</formula>
    </cfRule>
    <cfRule type="cellIs" dxfId="60" priority="73" operator="equal">
      <formula>0</formula>
    </cfRule>
  </conditionalFormatting>
  <conditionalFormatting sqref="ANO18">
    <cfRule type="colorScale" priority="51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NU3:ANU7">
    <cfRule type="cellIs" dxfId="59" priority="61" operator="lessThan">
      <formula>0</formula>
    </cfRule>
    <cfRule type="cellIs" dxfId="58" priority="60" operator="equal">
      <formula>0</formula>
    </cfRule>
  </conditionalFormatting>
  <conditionalFormatting sqref="ANU10:ANU12">
    <cfRule type="cellIs" dxfId="57" priority="50" operator="lessThan">
      <formula>0</formula>
    </cfRule>
    <cfRule type="cellIs" dxfId="56" priority="49" operator="equal">
      <formula>0</formula>
    </cfRule>
  </conditionalFormatting>
  <conditionalFormatting sqref="ANU16">
    <cfRule type="cellIs" dxfId="55" priority="53" operator="lessThan">
      <formula>0</formula>
    </cfRule>
    <cfRule type="cellIs" dxfId="54" priority="52" operator="equal">
      <formula>0</formula>
    </cfRule>
  </conditionalFormatting>
  <conditionalFormatting sqref="ANW3:ANW7">
    <cfRule type="cellIs" dxfId="53" priority="62" operator="equal">
      <formula>0</formula>
    </cfRule>
    <cfRule type="cellIs" dxfId="52" priority="64" operator="greaterThan">
      <formula>0</formula>
    </cfRule>
    <cfRule type="cellIs" dxfId="51" priority="63" operator="lessThan">
      <formula>0</formula>
    </cfRule>
  </conditionalFormatting>
  <conditionalFormatting sqref="ANW10:ANW12">
    <cfRule type="cellIs" dxfId="50" priority="56" operator="greaterThan">
      <formula>0</formula>
    </cfRule>
    <cfRule type="cellIs" dxfId="49" priority="55" operator="lessThan">
      <formula>0</formula>
    </cfRule>
    <cfRule type="cellIs" dxfId="48" priority="54" operator="equal">
      <formula>0</formula>
    </cfRule>
  </conditionalFormatting>
  <conditionalFormatting sqref="ANW16">
    <cfRule type="cellIs" dxfId="47" priority="59" operator="greaterThan">
      <formula>0</formula>
    </cfRule>
    <cfRule type="cellIs" dxfId="46" priority="58" operator="lessThan">
      <formula>0</formula>
    </cfRule>
    <cfRule type="cellIs" dxfId="45" priority="57" operator="equal">
      <formula>0</formula>
    </cfRule>
  </conditionalFormatting>
  <conditionalFormatting sqref="ANY18">
    <cfRule type="colorScale" priority="35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E3:AOE7">
    <cfRule type="cellIs" dxfId="44" priority="45" operator="lessThan">
      <formula>0</formula>
    </cfRule>
    <cfRule type="cellIs" dxfId="43" priority="44" operator="equal">
      <formula>0</formula>
    </cfRule>
  </conditionalFormatting>
  <conditionalFormatting sqref="AOE10:AOE12">
    <cfRule type="cellIs" dxfId="42" priority="33" operator="equal">
      <formula>0</formula>
    </cfRule>
    <cfRule type="cellIs" dxfId="41" priority="34" operator="lessThan">
      <formula>0</formula>
    </cfRule>
  </conditionalFormatting>
  <conditionalFormatting sqref="AOE16">
    <cfRule type="cellIs" dxfId="40" priority="36" operator="equal">
      <formula>0</formula>
    </cfRule>
    <cfRule type="cellIs" dxfId="39" priority="37" operator="lessThan">
      <formula>0</formula>
    </cfRule>
  </conditionalFormatting>
  <conditionalFormatting sqref="AOG3:AOG7">
    <cfRule type="cellIs" dxfId="38" priority="48" operator="greaterThan">
      <formula>0</formula>
    </cfRule>
    <cfRule type="cellIs" dxfId="37" priority="47" operator="lessThan">
      <formula>0</formula>
    </cfRule>
    <cfRule type="cellIs" dxfId="36" priority="46" operator="equal">
      <formula>0</formula>
    </cfRule>
  </conditionalFormatting>
  <conditionalFormatting sqref="AOG10:AOG12">
    <cfRule type="cellIs" dxfId="35" priority="40" operator="greaterThan">
      <formula>0</formula>
    </cfRule>
    <cfRule type="cellIs" dxfId="34" priority="39" operator="lessThan">
      <formula>0</formula>
    </cfRule>
    <cfRule type="cellIs" dxfId="33" priority="38" operator="equal">
      <formula>0</formula>
    </cfRule>
  </conditionalFormatting>
  <conditionalFormatting sqref="AOG16">
    <cfRule type="cellIs" dxfId="32" priority="43" operator="greaterThan">
      <formula>0</formula>
    </cfRule>
    <cfRule type="cellIs" dxfId="31" priority="41" operator="equal">
      <formula>0</formula>
    </cfRule>
    <cfRule type="cellIs" dxfId="30" priority="42" operator="lessThan">
      <formula>0</formula>
    </cfRule>
  </conditionalFormatting>
  <conditionalFormatting sqref="AOI18">
    <cfRule type="colorScale" priority="19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O3:AOO7">
    <cfRule type="cellIs" dxfId="29" priority="28" operator="equal">
      <formula>0</formula>
    </cfRule>
    <cfRule type="cellIs" dxfId="28" priority="29" operator="lessThan">
      <formula>0</formula>
    </cfRule>
  </conditionalFormatting>
  <conditionalFormatting sqref="AOO10:AOO12">
    <cfRule type="cellIs" dxfId="27" priority="17" operator="equal">
      <formula>0</formula>
    </cfRule>
    <cfRule type="cellIs" dxfId="26" priority="18" operator="lessThan">
      <formula>0</formula>
    </cfRule>
  </conditionalFormatting>
  <conditionalFormatting sqref="AOO16">
    <cfRule type="cellIs" dxfId="25" priority="21" operator="lessThan">
      <formula>0</formula>
    </cfRule>
    <cfRule type="cellIs" dxfId="24" priority="20" operator="equal">
      <formula>0</formula>
    </cfRule>
  </conditionalFormatting>
  <conditionalFormatting sqref="AOQ3:AOQ7">
    <cfRule type="cellIs" dxfId="23" priority="30" operator="equal">
      <formula>0</formula>
    </cfRule>
    <cfRule type="cellIs" dxfId="22" priority="32" operator="greaterThan">
      <formula>0</formula>
    </cfRule>
    <cfRule type="cellIs" dxfId="21" priority="31" operator="lessThan">
      <formula>0</formula>
    </cfRule>
  </conditionalFormatting>
  <conditionalFormatting sqref="AOQ10:AOQ12">
    <cfRule type="cellIs" dxfId="20" priority="24" operator="greaterThan">
      <formula>0</formula>
    </cfRule>
    <cfRule type="cellIs" dxfId="19" priority="23" operator="lessThan">
      <formula>0</formula>
    </cfRule>
    <cfRule type="cellIs" dxfId="18" priority="22" operator="equal">
      <formula>0</formula>
    </cfRule>
  </conditionalFormatting>
  <conditionalFormatting sqref="AOQ16">
    <cfRule type="cellIs" dxfId="17" priority="26" operator="lessThan">
      <formula>0</formula>
    </cfRule>
    <cfRule type="cellIs" dxfId="16" priority="25" operator="equal">
      <formula>0</formula>
    </cfRule>
    <cfRule type="cellIs" dxfId="15" priority="27" operator="greaterThan">
      <formula>0</formula>
    </cfRule>
  </conditionalFormatting>
  <conditionalFormatting sqref="AOS18">
    <cfRule type="colorScale" priority="3">
      <colorScale>
        <cfvo type="num" val="25"/>
        <cfvo type="num" val="40"/>
        <cfvo type="max"/>
        <color rgb="FFF8696B"/>
        <color rgb="FFFFEB84"/>
        <color theme="0"/>
      </colorScale>
    </cfRule>
  </conditionalFormatting>
  <conditionalFormatting sqref="AOY3:AOY7">
    <cfRule type="cellIs" dxfId="14" priority="13" operator="lessThan">
      <formula>0</formula>
    </cfRule>
    <cfRule type="cellIs" dxfId="13" priority="12" operator="equal">
      <formula>0</formula>
    </cfRule>
  </conditionalFormatting>
  <conditionalFormatting sqref="AOY10:AOY12">
    <cfRule type="cellIs" dxfId="12" priority="2" operator="lessThan">
      <formula>0</formula>
    </cfRule>
    <cfRule type="cellIs" dxfId="11" priority="1" operator="equal">
      <formula>0</formula>
    </cfRule>
  </conditionalFormatting>
  <conditionalFormatting sqref="AOY16">
    <cfRule type="cellIs" dxfId="10" priority="4" operator="equal">
      <formula>0</formula>
    </cfRule>
    <cfRule type="cellIs" dxfId="9" priority="5" operator="lessThan">
      <formula>0</formula>
    </cfRule>
  </conditionalFormatting>
  <conditionalFormatting sqref="APA3:APA7">
    <cfRule type="cellIs" dxfId="8" priority="16" operator="greaterThan">
      <formula>0</formula>
    </cfRule>
    <cfRule type="cellIs" dxfId="7" priority="15" operator="lessThan">
      <formula>0</formula>
    </cfRule>
    <cfRule type="cellIs" dxfId="6" priority="14" operator="equal">
      <formula>0</formula>
    </cfRule>
  </conditionalFormatting>
  <conditionalFormatting sqref="APA10:APA12">
    <cfRule type="cellIs" dxfId="5" priority="8" operator="greaterThan">
      <formula>0</formula>
    </cfRule>
    <cfRule type="cellIs" dxfId="4" priority="7" operator="lessThan">
      <formula>0</formula>
    </cfRule>
    <cfRule type="cellIs" dxfId="3" priority="6" operator="equal">
      <formula>0</formula>
    </cfRule>
  </conditionalFormatting>
  <conditionalFormatting sqref="APA16">
    <cfRule type="cellIs" dxfId="2" priority="11" operator="greaterThan">
      <formula>0</formula>
    </cfRule>
    <cfRule type="cellIs" dxfId="1" priority="10" operator="lessThan">
      <formula>0</formula>
    </cfRule>
    <cfRule type="cellIs" dxfId="0" priority="9" operator="equal">
      <formula>0</formula>
    </cfRule>
  </conditionalFormatting>
  <pageMargins left="0.25" right="0.25" top="0.80208333333333337" bottom="0.5608974358974359" header="0.3" footer="0.3"/>
  <pageSetup fitToWidth="0" fitToHeight="0" orientation="landscape" r:id="rId1"/>
  <headerFooter>
    <oddHeader>&amp;L&amp;"Calibri,Bold"&amp;16NORTH&amp;C&amp;"Calibri,Bold"&amp;16BEER - PREMIUM&amp;R&amp;"Calibri,Bold"&amp;16MON for TUE - &amp;UAS&amp;"Calibri,Regular"&amp;11&amp;U
&amp;7Printed &amp;D &amp;T</oddHeader>
    <oddFooter>&amp;C&amp;7&amp;Z&amp;F(GV 10/13/25)&amp;R&amp;7&amp;P of &amp;N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45970E7B-05A1-4F43-88BB-6BD995AB5F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239BF7-9D6B-4AA5-8546-239B1A501B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C28DBB-A7E6-42F2-A5BC-DA1E1F82A3F8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 BEER</vt:lpstr>
      <vt:lpstr>PURCHASING ONLY TAB</vt:lpstr>
      <vt:lpstr>9.4 pmix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 Assistant</cp:lastModifiedBy>
  <cp:revision/>
  <cp:lastPrinted>2026-09-21T10:34:57Z</cp:lastPrinted>
  <dcterms:created xsi:type="dcterms:W3CDTF">2024-08-19T13:55:33Z</dcterms:created>
  <dcterms:modified xsi:type="dcterms:W3CDTF">2026-09-25T17:28:08Z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